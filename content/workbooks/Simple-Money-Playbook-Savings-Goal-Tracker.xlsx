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rt Here" sheetId="1" r:id="rId1"/>
    <sheet name="My Goals" sheetId="2" r:id="rId3"/>
  </sheets>
  <calcPr fullCalcOnLoad="1"/>
</workbook>
</file>

<file path=xl/sharedStrings.xml><?xml version="1.0" encoding="utf-8"?>
<sst xmlns="http://schemas.openxmlformats.org/spreadsheetml/2006/main" count="33" uniqueCount="33">
  <si>
    <t>Simple Money Playbook</t>
  </si>
  <si>
    <t>Savings Goal Tracker</t>
  </si>
  <si>
    <t>Make this yours first</t>
  </si>
  <si>
    <t>This copy is view-only. Go to File -&gt; Make a copy to save your own editable version -- then fill in your own goals.</t>
  </si>
  <si>
    <t>How it works</t>
  </si>
  <si>
    <t>Name each goal, what it costs, when you want it, and how much you can set aside each month. The tracker does the rest: how much you still need, whether you're on pace, and the month you'll actually get there.</t>
  </si>
  <si>
    <t>How to use it</t>
  </si>
  <si>
    <t>1. Make your own copy (File -&gt; Make a copy).</t>
  </si>
  <si>
    <t>2. Fill in the blue cells on the 'My Goals' tab -- those are yours. Everything else calculates itself.</t>
  </si>
  <si>
    <t>3. Update 'Saved So Far' whenever you add to a goal, and watch the bar fill.</t>
  </si>
  <si>
    <t>One idea to keep in mind</t>
  </si>
  <si>
    <t>A goal with a date and a monthly number is a plan. A goal without them is a wish. This turns your wishes into plans -- one line at a time.</t>
  </si>
  <si>
    <t>This isn't financial advice -- it's a starting point for organizing your own numbers. For decisions about your own money, talk to a qualified professional.</t>
  </si>
  <si>
    <t>More free lessons + recipes: simplemoneyplaybook.com</t>
  </si>
  <si>
    <t>Name each goal, what it costs, and when you want it -- this shows you the monthly number to get there, and the month you'll arrive.</t>
  </si>
  <si>
    <t>The Big Picture</t>
  </si>
  <si>
    <t>Saved so far</t>
  </si>
  <si>
    <t>You're setting aside</t>
  </si>
  <si>
    <t>To stay on pace</t>
  </si>
  <si>
    <t>Overall progress</t>
  </si>
  <si>
    <t>Your Goals</t>
  </si>
  <si>
    <t>Goal</t>
  </si>
  <si>
    <t>Target $</t>
  </si>
  <si>
    <t>Saved $</t>
  </si>
  <si>
    <t>Target Date</t>
  </si>
  <si>
    <t>Your $/mo</t>
  </si>
  <si>
    <t>Progress</t>
  </si>
  <si>
    <t>%</t>
  </si>
  <si>
    <t>Need $/mo</t>
  </si>
  <si>
    <t>On Track?</t>
  </si>
  <si>
    <t>Finish By</t>
  </si>
  <si>
    <t>Tip: give every goal a real target date -- that's what turns 'someday' into a monthly number. 'Need $/mo' is what it takes to hit the date; 'Your $/mo' is what you've planned.</t>
  </si>
  <si>
    <t>Not financial advice -- a tool for organizing your own numbers. simplemoneyplaybook.com</t>
  </si>
</sst>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m/d/yyyy"/>
    <numFmt numFmtId="166" formatCode="mmm yyyy"/>
  </numFmts>
  <fonts count="16">
    <font>
      <sz val="11"/>
      <name val="Calibri"/>
    </font>
    <font>
      <b/>
      <sz val="20"/>
      <color rgb="FF16263F" tint="0"/>
      <name val="Calibri"/>
    </font>
    <font>
      <b/>
      <sz val="13"/>
      <color rgb="FF8A6D1F" tint="0"/>
      <name val="Calibri"/>
    </font>
    <font>
      <b/>
      <sz val="13"/>
      <color rgb="FF16263F" tint="0"/>
      <name val="Calibri"/>
    </font>
    <font>
      <sz val="11"/>
      <color rgb="FF2D3748" tint="0"/>
      <name val="Calibri"/>
    </font>
    <font>
      <i/>
      <sz val="10"/>
      <color rgb="FF5A6572" tint="0"/>
      <name val="Calibri"/>
    </font>
    <font>
      <b/>
      <sz val="18"/>
      <color rgb="FFFFFFFF" tint="0"/>
      <name val="Calibri"/>
    </font>
    <font>
      <b/>
      <sz val="12"/>
      <color rgb="FFFFFFFF" tint="0"/>
      <name val="Calibri"/>
    </font>
    <font>
      <sz val="11"/>
      <color rgb="FF5A6572" tint="0"/>
      <name val="Calibri"/>
    </font>
    <font>
      <i/>
      <sz val="12"/>
      <color rgb="FF5A6572" tint="0"/>
      <name val="Calibri"/>
    </font>
    <font>
      <b/>
      <sz val="14"/>
      <color rgb="FF16263F" tint="0"/>
      <name val="Calibri"/>
    </font>
    <font>
      <b/>
      <sz val="12"/>
      <color rgb="FF16263F" tint="0"/>
      <name val="Calibri"/>
    </font>
    <font>
      <b/>
      <sz val="10"/>
      <color rgb="FFFFFFFF" tint="0"/>
      <name val="Calibri"/>
    </font>
    <font>
      <b/>
      <sz val="11"/>
      <color rgb="FFFFFFFF" tint="0"/>
      <name val="Calibri"/>
    </font>
    <font>
      <b/>
      <sz val="11"/>
      <color rgb="FF1A202C" tint="0"/>
      <name val="Calibri"/>
    </font>
    <font>
      <i/>
      <sz val="9"/>
      <color rgb="FF5A6572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263F" tint="0"/>
      </patternFill>
    </fill>
    <fill>
      <patternFill patternType="solid">
        <fgColor rgb="FFE2A43C" tint="0"/>
      </patternFill>
    </fill>
    <fill>
      <patternFill patternType="solid">
        <fgColor rgb="FF2F6BB0" tint="0"/>
      </patternFill>
    </fill>
  </fills>
  <borders count="3">
    <border>
      <left/>
      <right/>
      <top/>
      <bottom/>
      <diagonal/>
    </border>
    <border>
      <left style="thin">
        <color rgb="FF255488" tint="0"/>
      </left>
      <right style="thin">
        <color rgb="FF255488" tint="0"/>
      </right>
      <top style="thin">
        <color rgb="FF255488" tint="0"/>
      </top>
      <bottom style="thin">
        <color rgb="FF255488" tint="0"/>
      </bottom>
      <diagonal/>
    </border>
    <border>
      <left style="thin">
        <color rgb="FFE2E8F0" tint="0"/>
      </left>
      <right style="thin">
        <color rgb="FFE2E8F0" tint="0"/>
      </right>
      <top style="thin">
        <color rgb="FFE2E8F0" tint="0"/>
      </top>
      <bottom style="thin">
        <color rgb="FFE2E8F0" tint="0"/>
      </bottom>
      <diagonal/>
    </border>
  </borders>
  <cellStyleXfs count="1">
    <xf numFmtId="0" fontId="0"/>
  </cellStyleXfs>
  <cellXfs count="26">
    <xf numFmtId="0" applyNumberFormat="1" fontId="0" applyFont="1" xfId="0" applyProtection="1"/>
    <xf numFmtId="0" applyNumberFormat="1" fontId="1" applyFont="1" xfId="0" applyProtection="1" applyAlignment="1">
      <alignment vertical="center"/>
    </xf>
    <xf numFmtId="0" applyNumberFormat="1" fontId="2" applyFont="1" xfId="0" applyProtection="1"/>
    <xf numFmtId="0" applyNumberFormat="1" fontId="3" applyFont="1" xfId="0" applyProtection="1" applyAlignment="1">
      <alignment vertical="top"/>
    </xf>
    <xf numFmtId="0" applyNumberFormat="1" fontId="4" applyFont="1" xfId="0" applyProtection="1" applyAlignment="1">
      <alignment vertical="top" wrapText="1"/>
    </xf>
    <xf numFmtId="0" applyNumberFormat="1" fontId="5" applyFont="1" xfId="0" applyProtection="1">
      <alignment wrapText="1"/>
    </xf>
    <xf numFmtId="0" applyNumberFormat="1" fontId="5" applyFont="1" xfId="0" applyProtection="1" applyAlignment="1">
      <alignment vertical="top" wrapText="1"/>
    </xf>
    <xf numFmtId="0" applyNumberFormat="1" fontId="6" applyFont="1" fillId="2" applyFill="1" xfId="0" applyProtection="1" applyAlignment="1">
      <alignment vertical="center" indent="1"/>
    </xf>
    <xf numFmtId="0" applyNumberFormat="1" fontId="7" applyFont="1" fillId="3" applyFill="1" xfId="0" applyProtection="1" applyAlignment="1">
      <alignment vertical="center" indent="1"/>
    </xf>
    <xf numFmtId="0" applyNumberFormat="1" fontId="8" applyFont="1" xfId="0" applyProtection="1"/>
    <xf numFmtId="164" applyNumberFormat="1" fontId="1" applyFont="1" xfId="0" applyProtection="1"/>
    <xf numFmtId="0" applyNumberFormat="1" fontId="9" applyFont="1" xfId="0" applyProtection="1" applyAlignment="1">
      <alignment vertical="center"/>
    </xf>
    <xf numFmtId="0" applyNumberFormat="1" fontId="10" applyFont="1" xfId="0" applyProtection="1" applyAlignment="1">
      <alignment vertical="center"/>
    </xf>
    <xf numFmtId="0" applyNumberFormat="1" fontId="11" applyFont="1" xfId="0" applyProtection="1" applyAlignment="1">
      <alignment vertical="center"/>
    </xf>
    <xf numFmtId="0" applyNumberFormat="1" fontId="0" applyFont="1" xfId="0" applyProtection="1" applyAlignment="1">
      <alignment vertical="center"/>
    </xf>
    <xf numFmtId="0" applyNumberFormat="1" fontId="7" applyFont="1" fillId="2" applyFill="1" xfId="0" applyProtection="1" applyAlignment="1">
      <alignment vertical="center" indent="1"/>
    </xf>
    <xf numFmtId="0" applyNumberFormat="1" fontId="12" applyFont="1" fillId="2" applyFill="1" xfId="0" applyProtection="1" applyAlignment="1">
      <alignment horizontal="center" vertical="center" wrapText="1"/>
    </xf>
    <xf numFmtId="0" applyNumberFormat="1" fontId="13" applyFont="1" fillId="4" applyFill="1" borderId="1" applyBorder="1" xfId="0" applyProtection="1"/>
    <xf numFmtId="164" applyNumberFormat="1" fontId="13" applyFont="1" fillId="4" applyFill="1" borderId="1" applyBorder="1" xfId="0" applyProtection="1"/>
    <xf numFmtId="165" applyNumberFormat="1" fontId="13" applyFont="1" fillId="4" applyFill="1" borderId="1" applyBorder="1" xfId="0" applyProtection="1" applyAlignment="1">
      <alignment horizontal="center"/>
    </xf>
    <xf numFmtId="0" applyNumberFormat="1" fontId="0" applyFont="1" borderId="2" applyBorder="1" xfId="0" applyProtection="1"/>
    <xf numFmtId="9" applyNumberFormat="1" fontId="14" applyFont="1" borderId="2" applyBorder="1" xfId="0" applyProtection="1" applyAlignment="1">
      <alignment horizontal="center"/>
    </xf>
    <xf numFmtId="164" applyNumberFormat="1" fontId="0" applyFont="1" borderId="2" applyBorder="1" xfId="0" applyProtection="1"/>
    <xf numFmtId="0" applyNumberFormat="1" fontId="14" applyFont="1" borderId="2" applyBorder="1" xfId="0" applyProtection="1" applyAlignment="1">
      <alignment horizontal="center"/>
    </xf>
    <xf numFmtId="166" applyNumberFormat="1" fontId="0" applyFont="1" borderId="2" applyBorder="1" xfId="0" applyProtection="1" applyAlignment="1">
      <alignment horizontal="center"/>
    </xf>
    <xf numFmtId="0" applyNumberFormat="1" fontId="15" applyFont="1" xfId="0" applyProtection="1">
      <alignment wrapText="1"/>
    </xf>
  </cellXfs>
  <cellStyles count="1">
    <cellStyle name="Normal" xfId="0" builtinId="0"/>
  </cellStyles>
  <dxfs count="2">
    <d:dxf xmlns:d="http://schemas.openxmlformats.org/spreadsheetml/2006/main">
      <font>
        <b val="1"/>
        <color rgb="ff1e7f3c"/>
      </font>
    </d:dxf>
    <d:dxf xmlns:d="http://schemas.openxmlformats.org/spreadsheetml/2006/main">
      <font>
        <b val="1"/>
        <color rgb="ffb7791f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22"/>
  <sheetViews>
    <sheetView workbookViewId="0" showGridLines="0"/>
  </sheetViews>
  <sheetFormatPr defaultRowHeight="15"/>
  <cols>
    <col min="1" max="1" width="3" customWidth="1"/>
    <col min="2" max="2" width="94" customWidth="1"/>
    <col min="3" max="3" width="3" customWidth="1"/>
  </cols>
  <sheetData>
    <row r="2">
      <c r="B2" s="1" t="s">
        <v>0</v>
      </c>
    </row>
    <row r="3">
      <c r="B3" s="1"/>
    </row>
    <row r="4">
      <c r="B4" s="2" t="s">
        <v>1</v>
      </c>
    </row>
    <row r="6" ht="20" customHeight="1">
      <c r="B6" s="3" t="s">
        <v>2</v>
      </c>
    </row>
    <row r="7" ht="32" customHeight="1">
      <c r="B7" s="4" t="s">
        <v>3</v>
      </c>
    </row>
    <row r="9" ht="20" customHeight="1">
      <c r="B9" s="3" t="s">
        <v>4</v>
      </c>
    </row>
    <row r="10" ht="32" customHeight="1">
      <c r="B10" s="4" t="s">
        <v>5</v>
      </c>
    </row>
    <row r="12" ht="20" customHeight="1">
      <c r="B12" s="3" t="s">
        <v>6</v>
      </c>
    </row>
    <row r="13" ht="32" customHeight="1">
      <c r="B13" s="4" t="s">
        <v>7</v>
      </c>
    </row>
    <row r="14" ht="32" customHeight="1">
      <c r="B14" s="4" t="s">
        <v>8</v>
      </c>
    </row>
    <row r="15" ht="32" customHeight="1">
      <c r="B15" s="4" t="s">
        <v>9</v>
      </c>
    </row>
    <row r="17" ht="20" customHeight="1">
      <c r="B17" s="3" t="s">
        <v>10</v>
      </c>
    </row>
    <row r="18" ht="32" customHeight="1">
      <c r="B18" s="4" t="s">
        <v>11</v>
      </c>
    </row>
    <row r="20" ht="30" customHeight="1">
      <c r="B20" s="6" t="s">
        <v>12</v>
      </c>
    </row>
    <row r="22" ht="30" customHeight="1">
      <c r="B22" s="6" t="s">
        <v>13</v>
      </c>
    </row>
  </sheetData>
  <mergeCells>
    <mergeCell ref="B2: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25"/>
  <sheetViews>
    <sheetView workbookViewId="0" showGridLines="0">
      <pane xSplit="1" ySplit="11" topLeftCell="B12" state="frozen" activePane="bottomRight"/>
      <selection pane="topRight" activeCell="B1" sqref="B1"/>
      <selection pane="bottomLeft" activeCell="A12" sqref="A12"/>
      <selection pane="bottomRight" activeCell="A1" sqref="A1"/>
    </sheetView>
  </sheetViews>
  <sheetFormatPr defaultRowHeight="15"/>
  <cols>
    <col min="1" max="1" width="3" customWidth="1"/>
    <col min="2" max="2" width="26" customWidth="1"/>
    <col min="3" max="3" width="13" customWidth="1"/>
    <col min="4" max="4" width="13" customWidth="1"/>
    <col min="5" max="5" width="13" customWidth="1"/>
    <col min="6" max="6" width="12" customWidth="1"/>
    <col min="7" max="7" width="16" customWidth="1"/>
    <col min="8" max="8" width="8" customWidth="1"/>
    <col min="9" max="9" width="14" customWidth="1"/>
    <col min="10" max="10" width="13" customWidth="1"/>
    <col min="11" max="11" width="13" customWidth="1"/>
    <col min="12" max="12" width="3" customWidth="1"/>
  </cols>
  <sheetData>
    <row r="1" ht="32" customHeight="1">
      <c r="B1" s="7" t="s">
        <v>1</v>
      </c>
      <c r="C1" s="7"/>
      <c r="D1" s="7"/>
      <c r="E1" s="7"/>
      <c r="F1" s="7"/>
      <c r="G1" s="7"/>
      <c r="H1" s="7"/>
      <c r="I1" s="7"/>
      <c r="J1" s="7"/>
      <c r="K1" s="7"/>
    </row>
    <row r="2" ht="24" customHeight="1">
      <c r="B2" s="5" t="s">
        <v>14</v>
      </c>
      <c r="C2" s="5"/>
      <c r="D2" s="5"/>
      <c r="E2" s="5"/>
      <c r="F2" s="5"/>
      <c r="G2" s="5"/>
      <c r="H2" s="5"/>
      <c r="I2" s="5"/>
      <c r="J2" s="5"/>
      <c r="K2" s="5"/>
    </row>
    <row r="4" ht="22" customHeight="1">
      <c r="B4" s="8" t="s">
        <v>15</v>
      </c>
      <c r="C4" s="8"/>
      <c r="D4" s="8"/>
      <c r="E4" s="8"/>
      <c r="F4" s="8"/>
      <c r="G4" s="8"/>
      <c r="H4" s="8"/>
      <c r="I4" s="8"/>
      <c r="J4" s="8"/>
      <c r="K4" s="8"/>
    </row>
    <row r="5">
      <c r="B5" s="9" t="s">
        <v>16</v>
      </c>
      <c r="E5" s="9" t="s">
        <v>17</v>
      </c>
      <c r="G5" s="9" t="s">
        <v>18</v>
      </c>
      <c r="I5" s="9" t="s">
        <v>19</v>
      </c>
    </row>
    <row r="6" ht="26" customHeight="1">
      <c r="B6" s="10">
        <f>SUM(D12:D21)</f>
      </c>
      <c r="C6" s="11">
        <f>"of $"&amp;TEXT(SUM(C12:C21),"#,##0")</f>
      </c>
      <c r="E6" s="12">
        <f>IF(SUM(F12:F21)=0,"-",TEXT(SUM(F12:F21),"$#,##0")&amp;" /mo")</f>
      </c>
      <c r="G6" s="12">
        <f>IF(SUM(I12:I21)=0,"-",TEXT(SUM(I12:I21),"$#,##0")&amp;" /mo")</f>
      </c>
      <c r="I6" s="0">
        <f>IF(SUM(C12:C21)=0,"",SPARKLINE(MIN(1,SUM(D12:D21)/SUM(C12:C21)),{"charttype","bar";"max",1;"empty","zero";"color1","#E2A43C";"color2","#EAEEF3"}))</f>
      </c>
    </row>
    <row r="8" ht="26" customHeight="1">
      <c r="B8" s="13">
        <f>IF(SUM(C12:C21)=0,"Add your goals below to see the whole picture.","You are "&amp;TEXT(SUM(D12:D21)/SUM(C12:C21),"0%")&amp;" of the way to $"&amp;TEXT(SUM(C12:C21),"#,##0")&amp;" in goals -- keep stacking.")</f>
      </c>
      <c r="C8" s="14"/>
      <c r="D8" s="14"/>
      <c r="E8" s="14"/>
      <c r="F8" s="14"/>
      <c r="G8" s="14"/>
      <c r="H8" s="14"/>
      <c r="I8" s="14"/>
      <c r="J8" s="14"/>
      <c r="K8" s="14"/>
    </row>
    <row r="10" ht="22" customHeight="1">
      <c r="B10" s="15" t="s">
        <v>20</v>
      </c>
      <c r="C10" s="15"/>
      <c r="D10" s="15"/>
      <c r="E10" s="15"/>
      <c r="F10" s="15"/>
      <c r="G10" s="15"/>
      <c r="H10" s="15"/>
      <c r="I10" s="15"/>
      <c r="J10" s="15"/>
      <c r="K10" s="15"/>
    </row>
    <row r="11" ht="28" customHeight="1">
      <c r="B11" s="16" t="s">
        <v>21</v>
      </c>
      <c r="C11" s="16" t="s">
        <v>22</v>
      </c>
      <c r="D11" s="16" t="s">
        <v>23</v>
      </c>
      <c r="E11" s="16" t="s">
        <v>24</v>
      </c>
      <c r="F11" s="16" t="s">
        <v>25</v>
      </c>
      <c r="G11" s="16" t="s">
        <v>26</v>
      </c>
      <c r="H11" s="16" t="s">
        <v>27</v>
      </c>
      <c r="I11" s="16" t="s">
        <v>28</v>
      </c>
      <c r="J11" s="16" t="s">
        <v>29</v>
      </c>
      <c r="K11" s="16" t="s">
        <v>30</v>
      </c>
    </row>
    <row r="12" ht="20" customHeight="1">
      <c r="B12" s="17"/>
      <c r="C12" s="18"/>
      <c r="D12" s="18"/>
      <c r="E12" s="19"/>
      <c r="F12" s="18"/>
      <c r="G12" s="20">
        <f>IF(OR(B12="",C12=0),"",SPARKLINE(MIN(1,D12/C12),{"charttype","bar";"max",1;"empty","zero";"color1","#E2A43C";"color2","#EAEEF3"}))</f>
      </c>
      <c r="H12" s="21">
        <f>IF(OR(B12="",C12=0),"",MIN(1,D12/C12))</f>
      </c>
      <c r="I12" s="22">
        <f>IF(OR(B12="",E12="",C12=0),"",IF(D12&gt;=C12,0,MAX(0,(C12-D12)/MAX(1,(YEAR(E12)-YEAR(TODAY()))*12+(MONTH(E12)-MONTH(TODAY()))))))</f>
      </c>
      <c r="J12" s="23">
        <f>IF(B12="","",IF(D12&gt;=C12,"Reached",IF(E12="","Add a date",IF(F12&lt;=0,"Add $/mo",IF(F12&gt;=I12,"On track","Behind")))))</f>
      </c>
      <c r="K12" s="24">
        <f>IF(B12="","",IF(D12&gt;=C12,"Reached",IF(F12&lt;=0,"-",EDATE(TODAY(),CEILING((C12-D12)/F12)))))</f>
      </c>
    </row>
    <row r="13" ht="20" customHeight="1">
      <c r="B13" s="17"/>
      <c r="C13" s="18"/>
      <c r="D13" s="18"/>
      <c r="E13" s="19"/>
      <c r="F13" s="18"/>
      <c r="G13" s="20">
        <f>IF(OR(B13="",C13=0),"",SPARKLINE(MIN(1,D13/C13),{"charttype","bar";"max",1;"empty","zero";"color1","#E2A43C";"color2","#EAEEF3"}))</f>
      </c>
      <c r="H13" s="21">
        <f>IF(OR(B13="",C13=0),"",MIN(1,D13/C13))</f>
      </c>
      <c r="I13" s="22">
        <f>IF(OR(B13="",E13="",C13=0),"",IF(D13&gt;=C13,0,MAX(0,(C13-D13)/MAX(1,(YEAR(E13)-YEAR(TODAY()))*12+(MONTH(E13)-MONTH(TODAY()))))))</f>
      </c>
      <c r="J13" s="23">
        <f>IF(B13="","",IF(D13&gt;=C13,"Reached",IF(E13="","Add a date",IF(F13&lt;=0,"Add $/mo",IF(F13&gt;=I13,"On track","Behind")))))</f>
      </c>
      <c r="K13" s="24">
        <f>IF(B13="","",IF(D13&gt;=C13,"Reached",IF(F13&lt;=0,"-",EDATE(TODAY(),CEILING((C13-D13)/F13)))))</f>
      </c>
    </row>
    <row r="14" ht="20" customHeight="1">
      <c r="B14" s="17"/>
      <c r="C14" s="18"/>
      <c r="D14" s="18"/>
      <c r="E14" s="19"/>
      <c r="F14" s="18"/>
      <c r="G14" s="20">
        <f>IF(OR(B14="",C14=0),"",SPARKLINE(MIN(1,D14/C14),{"charttype","bar";"max",1;"empty","zero";"color1","#E2A43C";"color2","#EAEEF3"}))</f>
      </c>
      <c r="H14" s="21">
        <f>IF(OR(B14="",C14=0),"",MIN(1,D14/C14))</f>
      </c>
      <c r="I14" s="22">
        <f>IF(OR(B14="",E14="",C14=0),"",IF(D14&gt;=C14,0,MAX(0,(C14-D14)/MAX(1,(YEAR(E14)-YEAR(TODAY()))*12+(MONTH(E14)-MONTH(TODAY()))))))</f>
      </c>
      <c r="J14" s="23">
        <f>IF(B14="","",IF(D14&gt;=C14,"Reached",IF(E14="","Add a date",IF(F14&lt;=0,"Add $/mo",IF(F14&gt;=I14,"On track","Behind")))))</f>
      </c>
      <c r="K14" s="24">
        <f>IF(B14="","",IF(D14&gt;=C14,"Reached",IF(F14&lt;=0,"-",EDATE(TODAY(),CEILING((C14-D14)/F14)))))</f>
      </c>
    </row>
    <row r="15" ht="20" customHeight="1">
      <c r="B15" s="17"/>
      <c r="C15" s="18"/>
      <c r="D15" s="18"/>
      <c r="E15" s="19"/>
      <c r="F15" s="18"/>
      <c r="G15" s="20">
        <f>IF(OR(B15="",C15=0),"",SPARKLINE(MIN(1,D15/C15),{"charttype","bar";"max",1;"empty","zero";"color1","#E2A43C";"color2","#EAEEF3"}))</f>
      </c>
      <c r="H15" s="21">
        <f>IF(OR(B15="",C15=0),"",MIN(1,D15/C15))</f>
      </c>
      <c r="I15" s="22">
        <f>IF(OR(B15="",E15="",C15=0),"",IF(D15&gt;=C15,0,MAX(0,(C15-D15)/MAX(1,(YEAR(E15)-YEAR(TODAY()))*12+(MONTH(E15)-MONTH(TODAY()))))))</f>
      </c>
      <c r="J15" s="23">
        <f>IF(B15="","",IF(D15&gt;=C15,"Reached",IF(E15="","Add a date",IF(F15&lt;=0,"Add $/mo",IF(F15&gt;=I15,"On track","Behind")))))</f>
      </c>
      <c r="K15" s="24">
        <f>IF(B15="","",IF(D15&gt;=C15,"Reached",IF(F15&lt;=0,"-",EDATE(TODAY(),CEILING((C15-D15)/F15)))))</f>
      </c>
    </row>
    <row r="16" ht="20" customHeight="1">
      <c r="B16" s="17"/>
      <c r="C16" s="18"/>
      <c r="D16" s="18"/>
      <c r="E16" s="19"/>
      <c r="F16" s="18"/>
      <c r="G16" s="20">
        <f>IF(OR(B16="",C16=0),"",SPARKLINE(MIN(1,D16/C16),{"charttype","bar";"max",1;"empty","zero";"color1","#E2A43C";"color2","#EAEEF3"}))</f>
      </c>
      <c r="H16" s="21">
        <f>IF(OR(B16="",C16=0),"",MIN(1,D16/C16))</f>
      </c>
      <c r="I16" s="22">
        <f>IF(OR(B16="",E16="",C16=0),"",IF(D16&gt;=C16,0,MAX(0,(C16-D16)/MAX(1,(YEAR(E16)-YEAR(TODAY()))*12+(MONTH(E16)-MONTH(TODAY()))))))</f>
      </c>
      <c r="J16" s="23">
        <f>IF(B16="","",IF(D16&gt;=C16,"Reached",IF(E16="","Add a date",IF(F16&lt;=0,"Add $/mo",IF(F16&gt;=I16,"On track","Behind")))))</f>
      </c>
      <c r="K16" s="24">
        <f>IF(B16="","",IF(D16&gt;=C16,"Reached",IF(F16&lt;=0,"-",EDATE(TODAY(),CEILING((C16-D16)/F16)))))</f>
      </c>
    </row>
    <row r="17" ht="20" customHeight="1">
      <c r="B17" s="17"/>
      <c r="C17" s="18"/>
      <c r="D17" s="18"/>
      <c r="E17" s="19"/>
      <c r="F17" s="18"/>
      <c r="G17" s="20">
        <f>IF(OR(B17="",C17=0),"",SPARKLINE(MIN(1,D17/C17),{"charttype","bar";"max",1;"empty","zero";"color1","#E2A43C";"color2","#EAEEF3"}))</f>
      </c>
      <c r="H17" s="21">
        <f>IF(OR(B17="",C17=0),"",MIN(1,D17/C17))</f>
      </c>
      <c r="I17" s="22">
        <f>IF(OR(B17="",E17="",C17=0),"",IF(D17&gt;=C17,0,MAX(0,(C17-D17)/MAX(1,(YEAR(E17)-YEAR(TODAY()))*12+(MONTH(E17)-MONTH(TODAY()))))))</f>
      </c>
      <c r="J17" s="23">
        <f>IF(B17="","",IF(D17&gt;=C17,"Reached",IF(E17="","Add a date",IF(F17&lt;=0,"Add $/mo",IF(F17&gt;=I17,"On track","Behind")))))</f>
      </c>
      <c r="K17" s="24">
        <f>IF(B17="","",IF(D17&gt;=C17,"Reached",IF(F17&lt;=0,"-",EDATE(TODAY(),CEILING((C17-D17)/F17)))))</f>
      </c>
    </row>
    <row r="18" ht="20" customHeight="1">
      <c r="B18" s="17"/>
      <c r="C18" s="18"/>
      <c r="D18" s="18"/>
      <c r="E18" s="19"/>
      <c r="F18" s="18"/>
      <c r="G18" s="20">
        <f>IF(OR(B18="",C18=0),"",SPARKLINE(MIN(1,D18/C18),{"charttype","bar";"max",1;"empty","zero";"color1","#E2A43C";"color2","#EAEEF3"}))</f>
      </c>
      <c r="H18" s="21">
        <f>IF(OR(B18="",C18=0),"",MIN(1,D18/C18))</f>
      </c>
      <c r="I18" s="22">
        <f>IF(OR(B18="",E18="",C18=0),"",IF(D18&gt;=C18,0,MAX(0,(C18-D18)/MAX(1,(YEAR(E18)-YEAR(TODAY()))*12+(MONTH(E18)-MONTH(TODAY()))))))</f>
      </c>
      <c r="J18" s="23">
        <f>IF(B18="","",IF(D18&gt;=C18,"Reached",IF(E18="","Add a date",IF(F18&lt;=0,"Add $/mo",IF(F18&gt;=I18,"On track","Behind")))))</f>
      </c>
      <c r="K18" s="24">
        <f>IF(B18="","",IF(D18&gt;=C18,"Reached",IF(F18&lt;=0,"-",EDATE(TODAY(),CEILING((C18-D18)/F18)))))</f>
      </c>
    </row>
    <row r="19" ht="20" customHeight="1">
      <c r="B19" s="17"/>
      <c r="C19" s="18"/>
      <c r="D19" s="18"/>
      <c r="E19" s="19"/>
      <c r="F19" s="18"/>
      <c r="G19" s="20">
        <f>IF(OR(B19="",C19=0),"",SPARKLINE(MIN(1,D19/C19),{"charttype","bar";"max",1;"empty","zero";"color1","#E2A43C";"color2","#EAEEF3"}))</f>
      </c>
      <c r="H19" s="21">
        <f>IF(OR(B19="",C19=0),"",MIN(1,D19/C19))</f>
      </c>
      <c r="I19" s="22">
        <f>IF(OR(B19="",E19="",C19=0),"",IF(D19&gt;=C19,0,MAX(0,(C19-D19)/MAX(1,(YEAR(E19)-YEAR(TODAY()))*12+(MONTH(E19)-MONTH(TODAY()))))))</f>
      </c>
      <c r="J19" s="23">
        <f>IF(B19="","",IF(D19&gt;=C19,"Reached",IF(E19="","Add a date",IF(F19&lt;=0,"Add $/mo",IF(F19&gt;=I19,"On track","Behind")))))</f>
      </c>
      <c r="K19" s="24">
        <f>IF(B19="","",IF(D19&gt;=C19,"Reached",IF(F19&lt;=0,"-",EDATE(TODAY(),CEILING((C19-D19)/F19)))))</f>
      </c>
    </row>
    <row r="20" ht="20" customHeight="1">
      <c r="B20" s="17"/>
      <c r="C20" s="18"/>
      <c r="D20" s="18"/>
      <c r="E20" s="19"/>
      <c r="F20" s="18"/>
      <c r="G20" s="20">
        <f>IF(OR(B20="",C20=0),"",SPARKLINE(MIN(1,D20/C20),{"charttype","bar";"max",1;"empty","zero";"color1","#E2A43C";"color2","#EAEEF3"}))</f>
      </c>
      <c r="H20" s="21">
        <f>IF(OR(B20="",C20=0),"",MIN(1,D20/C20))</f>
      </c>
      <c r="I20" s="22">
        <f>IF(OR(B20="",E20="",C20=0),"",IF(D20&gt;=C20,0,MAX(0,(C20-D20)/MAX(1,(YEAR(E20)-YEAR(TODAY()))*12+(MONTH(E20)-MONTH(TODAY()))))))</f>
      </c>
      <c r="J20" s="23">
        <f>IF(B20="","",IF(D20&gt;=C20,"Reached",IF(E20="","Add a date",IF(F20&lt;=0,"Add $/mo",IF(F20&gt;=I20,"On track","Behind")))))</f>
      </c>
      <c r="K20" s="24">
        <f>IF(B20="","",IF(D20&gt;=C20,"Reached",IF(F20&lt;=0,"-",EDATE(TODAY(),CEILING((C20-D20)/F20)))))</f>
      </c>
    </row>
    <row r="21" ht="20" customHeight="1">
      <c r="B21" s="17"/>
      <c r="C21" s="18"/>
      <c r="D21" s="18"/>
      <c r="E21" s="19"/>
      <c r="F21" s="18"/>
      <c r="G21" s="20">
        <f>IF(OR(B21="",C21=0),"",SPARKLINE(MIN(1,D21/C21),{"charttype","bar";"max",1;"empty","zero";"color1","#E2A43C";"color2","#EAEEF3"}))</f>
      </c>
      <c r="H21" s="21">
        <f>IF(OR(B21="",C21=0),"",MIN(1,D21/C21))</f>
      </c>
      <c r="I21" s="22">
        <f>IF(OR(B21="",E21="",C21=0),"",IF(D21&gt;=C21,0,MAX(0,(C21-D21)/MAX(1,(YEAR(E21)-YEAR(TODAY()))*12+(MONTH(E21)-MONTH(TODAY()))))))</f>
      </c>
      <c r="J21" s="23">
        <f>IF(B21="","",IF(D21&gt;=C21,"Reached",IF(E21="","Add a date",IF(F21&lt;=0,"Add $/mo",IF(F21&gt;=I21,"On track","Behind")))))</f>
      </c>
      <c r="K21" s="24">
        <f>IF(B21="","",IF(D21&gt;=C21,"Reached",IF(F21&lt;=0,"-",EDATE(TODAY(),CEILING((C21-D21)/F21)))))</f>
      </c>
    </row>
    <row r="23" ht="28" customHeight="1">
      <c r="B23" s="5" t="s">
        <v>31</v>
      </c>
      <c r="C23" s="5"/>
      <c r="D23" s="5"/>
      <c r="E23" s="5"/>
      <c r="F23" s="5"/>
      <c r="G23" s="5"/>
      <c r="H23" s="5"/>
      <c r="I23" s="5"/>
      <c r="J23" s="5"/>
      <c r="K23" s="5"/>
    </row>
    <row r="25" ht="18" customHeight="1">
      <c r="B25" s="25" t="s">
        <v>32</v>
      </c>
      <c r="C25" s="25"/>
      <c r="D25" s="25"/>
      <c r="E25" s="25"/>
      <c r="F25" s="25"/>
      <c r="G25" s="25"/>
      <c r="H25" s="25"/>
      <c r="I25" s="25"/>
      <c r="J25" s="25"/>
      <c r="K25" s="25"/>
    </row>
  </sheetData>
  <mergeCells>
    <mergeCell ref="B1:K1"/>
    <mergeCell ref="B2:K2"/>
    <mergeCell ref="B4:K4"/>
    <mergeCell ref="I6:K6"/>
    <mergeCell ref="B8:K8"/>
    <mergeCell ref="B10:K10"/>
    <mergeCell ref="B23:K23"/>
    <mergeCell ref="B25:K25"/>
  </mergeCells>
  <conditionalFormatting sqref="J21">
    <cfRule priority="1" type="expression" dxfId="0">
      <formula>OR(ISNUMBER(SEARCH("track",$J12)),ISNUMBER(SEARCH("Reached",$J12)))</formula>
    </cfRule>
    <cfRule priority="2" type="expression" dxfId="1">
      <formula>ISNUMBER(SEARCH("Behind",$J12))</formula>
    </cfRule>
  </conditionalFormatting>
  <headerFooter/>
</worksheet>
</file>