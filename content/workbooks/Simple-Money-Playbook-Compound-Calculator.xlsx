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art Here" sheetId="1" r:id="rId1"/>
    <sheet name="Calculator" sheetId="2" r:id="rId3"/>
    <sheet name="Growth Data" sheetId="3" r:id="rId4"/>
  </sheets>
  <calcPr fullCalcOnLoad="1"/>
</workbook>
</file>

<file path=xl/sharedStrings.xml><?xml version="1.0" encoding="utf-8"?>
<sst xmlns="http://schemas.openxmlformats.org/spreadsheetml/2006/main" count="31" uniqueCount="31">
  <si>
    <t>Simple Money Playbook</t>
  </si>
  <si>
    <t>Compound Interest Calculator</t>
  </si>
  <si>
    <t>Make this yours first</t>
  </si>
  <si>
    <t>This copy is view-only. Go to File -&gt; Make a copy to save your own editable version, then change the blue cells to your own numbers.</t>
  </si>
  <si>
    <t>What it shows</t>
  </si>
  <si>
    <t>Put in a starting amount, a monthly contribution, a return rate, and a number of years. It shows what that could grow to, how much of it is money you added vs. growth on top, and the price of waiting five years to start.</t>
  </si>
  <si>
    <t>How to use it</t>
  </si>
  <si>
    <t>1. Make your own copy (File -&gt; Make a copy).</t>
  </si>
  <si>
    <t>2. On the 'Calculator' tab, change the four blue cells. Everything else, including the chart, updates itself.</t>
  </si>
  <si>
    <t>The one idea</t>
  </si>
  <si>
    <t>Time is the ingredient you cannot buy back. The chart makes it obvious: the earlier you start, the more the growth does the heavy lifting instead of you.</t>
  </si>
  <si>
    <t>About the numbers</t>
  </si>
  <si>
    <t>Returns are not guaranteed and real markets go up and down; this uses a single steady rate to illustrate the math of compounding. This is educational, not financial advice. For decisions about your own money, talk to a qualified professional.</t>
  </si>
  <si>
    <t>More free lessons + recipes: simplemoneyplaybook.com</t>
  </si>
  <si>
    <t>See what steady saving can become when growth compounds on top of growth, and what it costs to wait.</t>
  </si>
  <si>
    <t>What you'll put in</t>
  </si>
  <si>
    <t>What it becomes</t>
  </si>
  <si>
    <t>Starting amount</t>
  </si>
  <si>
    <t>Future value</t>
  </si>
  <si>
    <t>Monthly contribution</t>
  </si>
  <si>
    <t>Total you put in</t>
  </si>
  <si>
    <t>Annual return %</t>
  </si>
  <si>
    <t>Growth on top</t>
  </si>
  <si>
    <t>Years to grow</t>
  </si>
  <si>
    <t>The chart to the right stacks what you put in (navy) and the growth on top (gold). Watch the gold overtake the navy the longer you stay in.</t>
  </si>
  <si>
    <t>Illustration only, not financial advice. Returns are not guaranteed. simplemoneyplaybook.com</t>
  </si>
  <si>
    <t>Growth Data (the numbers behind the chart)</t>
  </si>
  <si>
    <t>Year</t>
  </si>
  <si>
    <t>Contributed</t>
  </si>
  <si>
    <t>Growth</t>
  </si>
  <si>
    <t>Balance</t>
  </si>
</sst>
</file>

<file path=xl/styles.xml><?xml version="1.0" encoding="utf-8"?>
<styleSheet xmlns="http://schemas.openxmlformats.org/spreadsheetml/2006/main">
  <numFmts count="2">
    <numFmt numFmtId="164" formatCode="$#,##0;($#,##0);&quot;-&quot;"/>
    <numFmt numFmtId="165" formatCode="0.0&quot;%&quot;"/>
  </numFmts>
  <fonts count="16">
    <font>
      <sz val="11"/>
      <name val="Calibri"/>
    </font>
    <font>
      <b/>
      <sz val="20"/>
      <color rgb="FF16263F" tint="0"/>
      <name val="Calibri"/>
    </font>
    <font>
      <b/>
      <sz val="13"/>
      <color rgb="FF8A6D1F" tint="0"/>
      <name val="Calibri"/>
    </font>
    <font>
      <b/>
      <sz val="13"/>
      <color rgb="FF16263F" tint="0"/>
      <name val="Calibri"/>
    </font>
    <font>
      <sz val="11"/>
      <color rgb="FF2D3748" tint="0"/>
      <name val="Calibri"/>
    </font>
    <font>
      <i/>
      <sz val="10"/>
      <color rgb="FF5A6572" tint="0"/>
      <name val="Calibri"/>
    </font>
    <font>
      <b/>
      <sz val="18"/>
      <color rgb="FFFFFFFF" tint="0"/>
      <name val="Calibri"/>
    </font>
    <font>
      <b/>
      <sz val="12"/>
      <color rgb="FFFFFFFF" tint="0"/>
      <name val="Calibri"/>
    </font>
    <font>
      <sz val="11"/>
      <color rgb="FF1A202C" tint="0"/>
      <name val="Calibri"/>
    </font>
    <font>
      <b/>
      <sz val="12"/>
      <color rgb="FF16263F" tint="0"/>
      <name val="Calibri"/>
    </font>
    <font>
      <b/>
      <sz val="16"/>
      <color rgb="FF8A6D1F" tint="0"/>
      <name val="Calibri"/>
    </font>
    <font>
      <b/>
      <sz val="11"/>
      <color rgb="FF1A202C" tint="0"/>
      <name val="Calibri"/>
    </font>
    <font>
      <b/>
      <sz val="11"/>
      <color rgb="FF8A6D1F" tint="0"/>
      <name val="Calibri"/>
    </font>
    <font>
      <i/>
      <sz val="11"/>
      <color rgb="FF8A6D1F" tint="0"/>
      <name val="Calibri"/>
    </font>
    <font>
      <i/>
      <sz val="9"/>
      <color rgb="FF5A6572" tint="0"/>
      <name val="Calibri"/>
    </font>
    <font>
      <b/>
      <sz val="11"/>
      <color rgb="FFFFFFFF" tint="0"/>
      <name val="Calibri"/>
    </font>
  </fonts>
  <fills count="5">
    <fill>
      <patternFill patternType="none"/>
    </fill>
    <fill>
      <patternFill patternType="gray125"/>
    </fill>
    <fill>
      <patternFill patternType="solid">
        <fgColor rgb="FF16263F" tint="0"/>
      </patternFill>
    </fill>
    <fill>
      <patternFill patternType="solid">
        <fgColor rgb="FFE2A43C" tint="0"/>
      </patternFill>
    </fill>
    <fill>
      <patternFill patternType="solid">
        <fgColor rgb="FF2F6BB0" tint="0"/>
      </patternFill>
    </fill>
  </fills>
  <borders count="3">
    <border>
      <left/>
      <right/>
      <top/>
      <bottom/>
      <diagonal/>
    </border>
    <border>
      <left style="thin">
        <color rgb="FF255488" tint="0"/>
      </left>
      <right style="thin">
        <color rgb="FF255488" tint="0"/>
      </right>
      <top style="thin">
        <color rgb="FF255488" tint="0"/>
      </top>
      <bottom style="thin">
        <color rgb="FF255488" tint="0"/>
      </bottom>
      <diagonal/>
    </border>
    <border>
      <left/>
      <right/>
      <top/>
      <bottom style="thin">
        <color rgb="FFE2E8F0" tint="0"/>
      </bottom>
      <diagonal/>
    </border>
  </borders>
  <cellStyleXfs count="1">
    <xf numFmtId="0" fontId="0"/>
  </cellStyleXfs>
  <cellXfs count="27">
    <xf numFmtId="0" applyNumberFormat="1" fontId="0" applyFont="1" xfId="0" applyProtection="1"/>
    <xf numFmtId="0" applyNumberFormat="1" fontId="1" applyFont="1" xfId="0" applyProtection="1" applyAlignment="1">
      <alignment vertical="center"/>
    </xf>
    <xf numFmtId="0" applyNumberFormat="1" fontId="2" applyFont="1" xfId="0" applyProtection="1"/>
    <xf numFmtId="0" applyNumberFormat="1" fontId="3" applyFont="1" xfId="0" applyProtection="1" applyAlignment="1">
      <alignment vertical="top"/>
    </xf>
    <xf numFmtId="0" applyNumberFormat="1" fontId="4" applyFont="1" xfId="0" applyProtection="1" applyAlignment="1">
      <alignment vertical="top" wrapText="1"/>
    </xf>
    <xf numFmtId="0" applyNumberFormat="1" fontId="5" applyFont="1" xfId="0" applyProtection="1">
      <alignment wrapText="1"/>
    </xf>
    <xf numFmtId="0" applyNumberFormat="1" fontId="5" applyFont="1" xfId="0" applyProtection="1" applyAlignment="1">
      <alignment vertical="top" wrapText="1"/>
    </xf>
    <xf numFmtId="0" applyNumberFormat="1" fontId="6" applyFont="1" fillId="2" applyFill="1" xfId="0" applyProtection="1" applyAlignment="1">
      <alignment vertical="center" indent="1"/>
    </xf>
    <xf numFmtId="0" applyNumberFormat="1" fontId="7" applyFont="1" fillId="3" applyFill="1" xfId="0" applyProtection="1" applyAlignment="1">
      <alignment vertical="center" indent="1"/>
    </xf>
    <xf numFmtId="0" applyNumberFormat="1" fontId="8" applyFont="1" xfId="0" applyProtection="1"/>
    <xf numFmtId="164" applyNumberFormat="1" fontId="7" applyFont="1" fillId="4" applyFill="1" borderId="1" applyBorder="1" xfId="0" applyProtection="1" applyAlignment="1">
      <alignment horizontal="center"/>
    </xf>
    <xf numFmtId="165" applyNumberFormat="1" fontId="7" applyFont="1" fillId="4" applyFill="1" borderId="1" applyBorder="1" xfId="0" applyProtection="1" applyAlignment="1">
      <alignment horizontal="center"/>
    </xf>
    <xf numFmtId="1" applyNumberFormat="1" fontId="7" applyFont="1" fillId="4" applyFill="1" borderId="1" applyBorder="1" xfId="0" applyProtection="1" applyAlignment="1">
      <alignment horizontal="center"/>
    </xf>
    <xf numFmtId="0" applyNumberFormat="1" fontId="9" applyFont="1" borderId="2" applyBorder="1" xfId="0" applyProtection="1"/>
    <xf numFmtId="164" applyNumberFormat="1" fontId="10" applyFont="1" borderId="2" applyBorder="1" xfId="0" applyProtection="1"/>
    <xf numFmtId="0" applyNumberFormat="1" fontId="8" applyFont="1" borderId="2" applyBorder="1" xfId="0" applyProtection="1"/>
    <xf numFmtId="164" applyNumberFormat="1" fontId="11" applyFont="1" borderId="2" applyBorder="1" xfId="0" applyProtection="1"/>
    <xf numFmtId="164" applyNumberFormat="1" fontId="12" applyFont="1" borderId="2" applyBorder="1" xfId="0" applyProtection="1"/>
    <xf numFmtId="0" applyNumberFormat="1" fontId="9" applyFont="1" xfId="0" applyProtection="1" applyAlignment="1">
      <alignment vertical="center" wrapText="1"/>
    </xf>
    <xf numFmtId="0" applyNumberFormat="1" fontId="0" applyFont="1" xfId="0" applyProtection="1" applyAlignment="1">
      <alignment vertical="center" wrapText="1"/>
    </xf>
    <xf numFmtId="0" applyNumberFormat="1" fontId="13" applyFont="1" xfId="0" applyProtection="1" applyAlignment="1">
      <alignment vertical="center" wrapText="1"/>
    </xf>
    <xf numFmtId="0" applyNumberFormat="1" fontId="5" applyFont="1" xfId="0" applyProtection="1" applyAlignment="1">
      <alignment vertical="center" wrapText="1"/>
    </xf>
    <xf numFmtId="0" applyNumberFormat="1" fontId="14" applyFont="1" xfId="0" applyProtection="1">
      <alignment wrapText="1"/>
    </xf>
    <xf numFmtId="0" applyNumberFormat="1" fontId="7" applyFont="1" fillId="2" applyFill="1" xfId="0" applyProtection="1" applyAlignment="1">
      <alignment vertical="center" indent="1"/>
    </xf>
    <xf numFmtId="0" applyNumberFormat="1" fontId="15" applyFont="1" fillId="2" applyFill="1" xfId="0" applyProtection="1" applyAlignment="1">
      <alignment horizontal="center"/>
    </xf>
    <xf numFmtId="0" applyNumberFormat="1" fontId="0" applyFont="1" xfId="0" applyProtection="1" applyAlignment="1">
      <alignment horizontal="center"/>
    </xf>
    <xf numFmtId="164"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2:B22"/>
  <sheetViews>
    <sheetView workbookViewId="0" showGridLines="0"/>
  </sheetViews>
  <sheetFormatPr defaultRowHeight="15"/>
  <cols>
    <col min="1" max="1" width="3" customWidth="1"/>
    <col min="2" max="2" width="94" customWidth="1"/>
    <col min="3" max="3" width="3" customWidth="1"/>
  </cols>
  <sheetData>
    <row r="2">
      <c r="B2" s="1" t="s">
        <v>0</v>
      </c>
    </row>
    <row r="3">
      <c r="B3" s="1"/>
    </row>
    <row r="4">
      <c r="B4" s="2" t="s">
        <v>1</v>
      </c>
    </row>
    <row r="6" ht="20" customHeight="1">
      <c r="B6" s="3" t="s">
        <v>2</v>
      </c>
    </row>
    <row r="7" ht="34" customHeight="1">
      <c r="B7" s="4" t="s">
        <v>3</v>
      </c>
    </row>
    <row r="9" ht="20" customHeight="1">
      <c r="B9" s="3" t="s">
        <v>4</v>
      </c>
    </row>
    <row r="10" ht="34" customHeight="1">
      <c r="B10" s="4" t="s">
        <v>5</v>
      </c>
    </row>
    <row r="12" ht="20" customHeight="1">
      <c r="B12" s="3" t="s">
        <v>6</v>
      </c>
    </row>
    <row r="13" ht="34" customHeight="1">
      <c r="B13" s="4" t="s">
        <v>7</v>
      </c>
    </row>
    <row r="14" ht="34" customHeight="1">
      <c r="B14" s="4" t="s">
        <v>8</v>
      </c>
    </row>
    <row r="16" ht="20" customHeight="1">
      <c r="B16" s="3" t="s">
        <v>9</v>
      </c>
    </row>
    <row r="17" ht="34" customHeight="1">
      <c r="B17" s="4" t="s">
        <v>10</v>
      </c>
    </row>
    <row r="19" ht="32" customHeight="1">
      <c r="B19" s="6" t="s">
        <v>11</v>
      </c>
    </row>
    <row r="20" ht="32" customHeight="1">
      <c r="B20" s="6" t="s">
        <v>12</v>
      </c>
    </row>
    <row r="22" ht="32" customHeight="1">
      <c r="B22" s="6" t="s">
        <v>13</v>
      </c>
    </row>
  </sheetData>
  <mergeCells>
    <mergeCell ref="B2:B3"/>
  </mergeCells>
  <headerFooter/>
</worksheet>
</file>

<file path=xl/worksheets/sheet2.xml><?xml version="1.0" encoding="utf-8"?>
<worksheet xmlns:r="http://schemas.openxmlformats.org/officeDocument/2006/relationships" xmlns="http://schemas.openxmlformats.org/spreadsheetml/2006/main">
  <dimension ref="A1:O17"/>
  <sheetViews>
    <sheetView workbookViewId="0" showGridLines="0"/>
  </sheetViews>
  <sheetFormatPr defaultRowHeight="15"/>
  <cols>
    <col min="1" max="1" width="3" customWidth="1"/>
    <col min="2" max="2" width="26" customWidth="1"/>
    <col min="3" max="3" width="15" customWidth="1"/>
    <col min="4" max="4" width="3" customWidth="1"/>
    <col min="5" max="5" width="26" customWidth="1"/>
    <col min="6" max="6" width="16" customWidth="1"/>
    <col min="7" max="7" width="3"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9" customWidth="1"/>
  </cols>
  <sheetData>
    <row r="1" ht="32" customHeight="1">
      <c r="B1" s="7" t="s">
        <v>1</v>
      </c>
      <c r="C1" s="7"/>
      <c r="D1" s="7"/>
      <c r="E1" s="7"/>
      <c r="F1" s="7"/>
      <c r="G1" s="7"/>
      <c r="H1" s="7"/>
      <c r="I1" s="7"/>
      <c r="J1" s="7"/>
      <c r="K1" s="7"/>
      <c r="L1" s="7"/>
      <c r="M1" s="7"/>
      <c r="N1" s="7"/>
      <c r="O1" s="7"/>
    </row>
    <row r="2" ht="22" customHeight="1">
      <c r="B2" s="5" t="s">
        <v>14</v>
      </c>
      <c r="C2" s="5"/>
      <c r="D2" s="5"/>
      <c r="E2" s="5"/>
      <c r="F2" s="5"/>
      <c r="G2" s="5"/>
      <c r="H2" s="5"/>
      <c r="I2" s="5"/>
      <c r="J2" s="5"/>
      <c r="K2" s="5"/>
      <c r="L2" s="5"/>
      <c r="M2" s="5"/>
      <c r="N2" s="5"/>
      <c r="O2" s="5"/>
    </row>
    <row r="4" ht="22" customHeight="1">
      <c r="B4" s="8" t="s">
        <v>15</v>
      </c>
      <c r="C4" s="8"/>
      <c r="E4" s="8" t="s">
        <v>16</v>
      </c>
      <c r="F4" s="8"/>
    </row>
    <row r="5" ht="20" customHeight="1">
      <c r="B5" s="9" t="s">
        <v>17</v>
      </c>
      <c r="C5" s="10">
        <v>1000</v>
      </c>
      <c r="E5" s="13" t="s">
        <v>18</v>
      </c>
      <c r="F5" s="14">
        <f>FV(C7/100/12,C8*12,-C6,-C5)</f>
      </c>
    </row>
    <row r="6" ht="20" customHeight="1">
      <c r="B6" s="9" t="s">
        <v>19</v>
      </c>
      <c r="C6" s="10">
        <v>250</v>
      </c>
      <c r="E6" s="15" t="s">
        <v>20</v>
      </c>
      <c r="F6" s="16">
        <f>C5+C6*12*C8</f>
      </c>
    </row>
    <row r="7" ht="20" customHeight="1">
      <c r="B7" s="9" t="s">
        <v>21</v>
      </c>
      <c r="C7" s="11">
        <v>7</v>
      </c>
      <c r="E7" s="15" t="s">
        <v>22</v>
      </c>
      <c r="F7" s="17">
        <f>F5-F6</f>
      </c>
    </row>
    <row r="8" ht="20" customHeight="1">
      <c r="B8" s="9" t="s">
        <v>23</v>
      </c>
      <c r="C8" s="12">
        <v>30</v>
      </c>
    </row>
    <row r="10">
      <c r="B10" s="18">
        <f>IF(C8&lt;=0,"Enter your numbers above to see the projection.","In "&amp;C8&amp;" years, putting in $"&amp;TEXT(C6,"#,##0")&amp;"/mo at "&amp;C7&amp;"% could grow to $"&amp;TEXT(F5,"#,##0")&amp;". Of that, $"&amp;TEXT(F7,"#,##0")&amp;" is growth you did not put in.")</f>
      </c>
      <c r="C10" s="19"/>
      <c r="D10" s="19"/>
      <c r="E10" s="19"/>
      <c r="F10" s="19"/>
    </row>
    <row r="11">
      <c r="B11" s="19"/>
      <c r="C11" s="19"/>
      <c r="D11" s="19"/>
      <c r="E11" s="19"/>
      <c r="F11" s="19"/>
    </row>
    <row r="12">
      <c r="B12" s="20">
        <f>IF(C8&gt;5,"Wait 5 years to start and you would reach only $"&amp;TEXT(FV(C7/100/12,(C8-5)*12,-C6,-C5),"#,##0")&amp;". That 5-year delay costs about $"&amp;TEXT(F5-FV(C7/100/12,(C8-5)*12,-C6,-C5),"#,##0")&amp;".","Starting early is the whole game. Even a few years makes a real difference.")</f>
      </c>
      <c r="C12" s="19"/>
      <c r="D12" s="19"/>
      <c r="E12" s="19"/>
      <c r="F12" s="19"/>
    </row>
    <row r="13">
      <c r="B13" s="19"/>
      <c r="C13" s="19"/>
      <c r="D13" s="19"/>
      <c r="E13" s="19"/>
      <c r="F13" s="19"/>
    </row>
    <row r="15" ht="40" customHeight="1">
      <c r="B15" s="21" t="s">
        <v>24</v>
      </c>
      <c r="C15" s="21"/>
      <c r="D15" s="21"/>
      <c r="E15" s="21"/>
      <c r="F15" s="21"/>
    </row>
    <row r="17">
      <c r="B17" s="22" t="s">
        <v>25</v>
      </c>
      <c r="C17" s="22"/>
      <c r="D17" s="22"/>
      <c r="E17" s="22"/>
      <c r="F17" s="22"/>
    </row>
  </sheetData>
  <mergeCells>
    <mergeCell ref="B1:O1"/>
    <mergeCell ref="B2:O2"/>
    <mergeCell ref="B4:C4"/>
    <mergeCell ref="E4:F4"/>
    <mergeCell ref="B10:F11"/>
    <mergeCell ref="B12:F13"/>
    <mergeCell ref="B15:F15"/>
    <mergeCell ref="B17:F17"/>
  </mergeCells>
  <headerFooter/>
</worksheet>
</file>

<file path=xl/worksheets/sheet3.xml><?xml version="1.0" encoding="utf-8"?>
<worksheet xmlns:r="http://schemas.openxmlformats.org/officeDocument/2006/relationships" xmlns="http://schemas.openxmlformats.org/spreadsheetml/2006/main">
  <dimension ref="A1:E44"/>
  <sheetViews>
    <sheetView workbookViewId="0" showGridLines="0">
      <pane xSplit="1" ySplit="3" topLeftCell="B4" state="frozen" activePane="bottomRight"/>
      <selection pane="topRight" activeCell="B1" sqref="B1"/>
      <selection pane="bottomLeft" activeCell="A4" sqref="A4"/>
      <selection pane="bottomRight" activeCell="A1" sqref="A1"/>
    </sheetView>
  </sheetViews>
  <sheetFormatPr defaultRowHeight="15"/>
  <cols>
    <col min="1" max="1" width="3" customWidth="1"/>
    <col min="2" max="2" width="10" customWidth="1"/>
    <col min="3" max="3" width="16" customWidth="1"/>
    <col min="4" max="4" width="16" customWidth="1"/>
    <col min="5" max="5" width="16" customWidth="1"/>
  </cols>
  <sheetData>
    <row r="1" ht="22" customHeight="1">
      <c r="B1" s="23" t="s">
        <v>26</v>
      </c>
      <c r="C1" s="23"/>
      <c r="D1" s="23"/>
      <c r="E1" s="23"/>
    </row>
    <row r="3" ht="22" customHeight="1">
      <c r="B3" s="24" t="s">
        <v>27</v>
      </c>
      <c r="C3" s="24" t="s">
        <v>28</v>
      </c>
      <c r="D3" s="24" t="s">
        <v>29</v>
      </c>
      <c r="E3" s="24" t="s">
        <v>30</v>
      </c>
    </row>
    <row r="4">
      <c r="B4" s="25">
        <f>IF(0&lt;=Calculator!$C$8,0,NA())</f>
      </c>
      <c r="C4" s="26">
        <f>IF(ISNA(B4),NA(),Calculator!$C$5+Calculator!$C$6*12*B4)</f>
      </c>
      <c r="D4" s="26">
        <f>IF(ISNA(B4),NA(),E4-C4)</f>
      </c>
      <c r="E4" s="26">
        <f>IF(ISNA(B4),NA(),FV(Calculator!$C$7/100/12,B4*12,-Calculator!$C$6,-Calculator!$C$5))</f>
      </c>
    </row>
    <row r="5">
      <c r="B5" s="25">
        <f>IF(1&lt;=Calculator!$C$8,1,NA())</f>
      </c>
      <c r="C5" s="26">
        <f>IF(ISNA(B5),NA(),Calculator!$C$5+Calculator!$C$6*12*B5)</f>
      </c>
      <c r="D5" s="26">
        <f>IF(ISNA(B5),NA(),E5-C5)</f>
      </c>
      <c r="E5" s="26">
        <f>IF(ISNA(B5),NA(),FV(Calculator!$C$7/100/12,B5*12,-Calculator!$C$6,-Calculator!$C$5))</f>
      </c>
    </row>
    <row r="6">
      <c r="B6" s="25">
        <f>IF(2&lt;=Calculator!$C$8,2,NA())</f>
      </c>
      <c r="C6" s="26">
        <f>IF(ISNA(B6),NA(),Calculator!$C$5+Calculator!$C$6*12*B6)</f>
      </c>
      <c r="D6" s="26">
        <f>IF(ISNA(B6),NA(),E6-C6)</f>
      </c>
      <c r="E6" s="26">
        <f>IF(ISNA(B6),NA(),FV(Calculator!$C$7/100/12,B6*12,-Calculator!$C$6,-Calculator!$C$5))</f>
      </c>
    </row>
    <row r="7">
      <c r="B7" s="25">
        <f>IF(3&lt;=Calculator!$C$8,3,NA())</f>
      </c>
      <c r="C7" s="26">
        <f>IF(ISNA(B7),NA(),Calculator!$C$5+Calculator!$C$6*12*B7)</f>
      </c>
      <c r="D7" s="26">
        <f>IF(ISNA(B7),NA(),E7-C7)</f>
      </c>
      <c r="E7" s="26">
        <f>IF(ISNA(B7),NA(),FV(Calculator!$C$7/100/12,B7*12,-Calculator!$C$6,-Calculator!$C$5))</f>
      </c>
    </row>
    <row r="8">
      <c r="B8" s="25">
        <f>IF(4&lt;=Calculator!$C$8,4,NA())</f>
      </c>
      <c r="C8" s="26">
        <f>IF(ISNA(B8),NA(),Calculator!$C$5+Calculator!$C$6*12*B8)</f>
      </c>
      <c r="D8" s="26">
        <f>IF(ISNA(B8),NA(),E8-C8)</f>
      </c>
      <c r="E8" s="26">
        <f>IF(ISNA(B8),NA(),FV(Calculator!$C$7/100/12,B8*12,-Calculator!$C$6,-Calculator!$C$5))</f>
      </c>
    </row>
    <row r="9">
      <c r="B9" s="25">
        <f>IF(5&lt;=Calculator!$C$8,5,NA())</f>
      </c>
      <c r="C9" s="26">
        <f>IF(ISNA(B9),NA(),Calculator!$C$5+Calculator!$C$6*12*B9)</f>
      </c>
      <c r="D9" s="26">
        <f>IF(ISNA(B9),NA(),E9-C9)</f>
      </c>
      <c r="E9" s="26">
        <f>IF(ISNA(B9),NA(),FV(Calculator!$C$7/100/12,B9*12,-Calculator!$C$6,-Calculator!$C$5))</f>
      </c>
    </row>
    <row r="10">
      <c r="B10" s="25">
        <f>IF(6&lt;=Calculator!$C$8,6,NA())</f>
      </c>
      <c r="C10" s="26">
        <f>IF(ISNA(B10),NA(),Calculator!$C$5+Calculator!$C$6*12*B10)</f>
      </c>
      <c r="D10" s="26">
        <f>IF(ISNA(B10),NA(),E10-C10)</f>
      </c>
      <c r="E10" s="26">
        <f>IF(ISNA(B10),NA(),FV(Calculator!$C$7/100/12,B10*12,-Calculator!$C$6,-Calculator!$C$5))</f>
      </c>
    </row>
    <row r="11">
      <c r="B11" s="25">
        <f>IF(7&lt;=Calculator!$C$8,7,NA())</f>
      </c>
      <c r="C11" s="26">
        <f>IF(ISNA(B11),NA(),Calculator!$C$5+Calculator!$C$6*12*B11)</f>
      </c>
      <c r="D11" s="26">
        <f>IF(ISNA(B11),NA(),E11-C11)</f>
      </c>
      <c r="E11" s="26">
        <f>IF(ISNA(B11),NA(),FV(Calculator!$C$7/100/12,B11*12,-Calculator!$C$6,-Calculator!$C$5))</f>
      </c>
    </row>
    <row r="12">
      <c r="B12" s="25">
        <f>IF(8&lt;=Calculator!$C$8,8,NA())</f>
      </c>
      <c r="C12" s="26">
        <f>IF(ISNA(B12),NA(),Calculator!$C$5+Calculator!$C$6*12*B12)</f>
      </c>
      <c r="D12" s="26">
        <f>IF(ISNA(B12),NA(),E12-C12)</f>
      </c>
      <c r="E12" s="26">
        <f>IF(ISNA(B12),NA(),FV(Calculator!$C$7/100/12,B12*12,-Calculator!$C$6,-Calculator!$C$5))</f>
      </c>
    </row>
    <row r="13">
      <c r="B13" s="25">
        <f>IF(9&lt;=Calculator!$C$8,9,NA())</f>
      </c>
      <c r="C13" s="26">
        <f>IF(ISNA(B13),NA(),Calculator!$C$5+Calculator!$C$6*12*B13)</f>
      </c>
      <c r="D13" s="26">
        <f>IF(ISNA(B13),NA(),E13-C13)</f>
      </c>
      <c r="E13" s="26">
        <f>IF(ISNA(B13),NA(),FV(Calculator!$C$7/100/12,B13*12,-Calculator!$C$6,-Calculator!$C$5))</f>
      </c>
    </row>
    <row r="14">
      <c r="B14" s="25">
        <f>IF(10&lt;=Calculator!$C$8,10,NA())</f>
      </c>
      <c r="C14" s="26">
        <f>IF(ISNA(B14),NA(),Calculator!$C$5+Calculator!$C$6*12*B14)</f>
      </c>
      <c r="D14" s="26">
        <f>IF(ISNA(B14),NA(),E14-C14)</f>
      </c>
      <c r="E14" s="26">
        <f>IF(ISNA(B14),NA(),FV(Calculator!$C$7/100/12,B14*12,-Calculator!$C$6,-Calculator!$C$5))</f>
      </c>
    </row>
    <row r="15">
      <c r="B15" s="25">
        <f>IF(11&lt;=Calculator!$C$8,11,NA())</f>
      </c>
      <c r="C15" s="26">
        <f>IF(ISNA(B15),NA(),Calculator!$C$5+Calculator!$C$6*12*B15)</f>
      </c>
      <c r="D15" s="26">
        <f>IF(ISNA(B15),NA(),E15-C15)</f>
      </c>
      <c r="E15" s="26">
        <f>IF(ISNA(B15),NA(),FV(Calculator!$C$7/100/12,B15*12,-Calculator!$C$6,-Calculator!$C$5))</f>
      </c>
    </row>
    <row r="16">
      <c r="B16" s="25">
        <f>IF(12&lt;=Calculator!$C$8,12,NA())</f>
      </c>
      <c r="C16" s="26">
        <f>IF(ISNA(B16),NA(),Calculator!$C$5+Calculator!$C$6*12*B16)</f>
      </c>
      <c r="D16" s="26">
        <f>IF(ISNA(B16),NA(),E16-C16)</f>
      </c>
      <c r="E16" s="26">
        <f>IF(ISNA(B16),NA(),FV(Calculator!$C$7/100/12,B16*12,-Calculator!$C$6,-Calculator!$C$5))</f>
      </c>
    </row>
    <row r="17">
      <c r="B17" s="25">
        <f>IF(13&lt;=Calculator!$C$8,13,NA())</f>
      </c>
      <c r="C17" s="26">
        <f>IF(ISNA(B17),NA(),Calculator!$C$5+Calculator!$C$6*12*B17)</f>
      </c>
      <c r="D17" s="26">
        <f>IF(ISNA(B17),NA(),E17-C17)</f>
      </c>
      <c r="E17" s="26">
        <f>IF(ISNA(B17),NA(),FV(Calculator!$C$7/100/12,B17*12,-Calculator!$C$6,-Calculator!$C$5))</f>
      </c>
    </row>
    <row r="18">
      <c r="B18" s="25">
        <f>IF(14&lt;=Calculator!$C$8,14,NA())</f>
      </c>
      <c r="C18" s="26">
        <f>IF(ISNA(B18),NA(),Calculator!$C$5+Calculator!$C$6*12*B18)</f>
      </c>
      <c r="D18" s="26">
        <f>IF(ISNA(B18),NA(),E18-C18)</f>
      </c>
      <c r="E18" s="26">
        <f>IF(ISNA(B18),NA(),FV(Calculator!$C$7/100/12,B18*12,-Calculator!$C$6,-Calculator!$C$5))</f>
      </c>
    </row>
    <row r="19">
      <c r="B19" s="25">
        <f>IF(15&lt;=Calculator!$C$8,15,NA())</f>
      </c>
      <c r="C19" s="26">
        <f>IF(ISNA(B19),NA(),Calculator!$C$5+Calculator!$C$6*12*B19)</f>
      </c>
      <c r="D19" s="26">
        <f>IF(ISNA(B19),NA(),E19-C19)</f>
      </c>
      <c r="E19" s="26">
        <f>IF(ISNA(B19),NA(),FV(Calculator!$C$7/100/12,B19*12,-Calculator!$C$6,-Calculator!$C$5))</f>
      </c>
    </row>
    <row r="20">
      <c r="B20" s="25">
        <f>IF(16&lt;=Calculator!$C$8,16,NA())</f>
      </c>
      <c r="C20" s="26">
        <f>IF(ISNA(B20),NA(),Calculator!$C$5+Calculator!$C$6*12*B20)</f>
      </c>
      <c r="D20" s="26">
        <f>IF(ISNA(B20),NA(),E20-C20)</f>
      </c>
      <c r="E20" s="26">
        <f>IF(ISNA(B20),NA(),FV(Calculator!$C$7/100/12,B20*12,-Calculator!$C$6,-Calculator!$C$5))</f>
      </c>
    </row>
    <row r="21">
      <c r="B21" s="25">
        <f>IF(17&lt;=Calculator!$C$8,17,NA())</f>
      </c>
      <c r="C21" s="26">
        <f>IF(ISNA(B21),NA(),Calculator!$C$5+Calculator!$C$6*12*B21)</f>
      </c>
      <c r="D21" s="26">
        <f>IF(ISNA(B21),NA(),E21-C21)</f>
      </c>
      <c r="E21" s="26">
        <f>IF(ISNA(B21),NA(),FV(Calculator!$C$7/100/12,B21*12,-Calculator!$C$6,-Calculator!$C$5))</f>
      </c>
    </row>
    <row r="22">
      <c r="B22" s="25">
        <f>IF(18&lt;=Calculator!$C$8,18,NA())</f>
      </c>
      <c r="C22" s="26">
        <f>IF(ISNA(B22),NA(),Calculator!$C$5+Calculator!$C$6*12*B22)</f>
      </c>
      <c r="D22" s="26">
        <f>IF(ISNA(B22),NA(),E22-C22)</f>
      </c>
      <c r="E22" s="26">
        <f>IF(ISNA(B22),NA(),FV(Calculator!$C$7/100/12,B22*12,-Calculator!$C$6,-Calculator!$C$5))</f>
      </c>
    </row>
    <row r="23">
      <c r="B23" s="25">
        <f>IF(19&lt;=Calculator!$C$8,19,NA())</f>
      </c>
      <c r="C23" s="26">
        <f>IF(ISNA(B23),NA(),Calculator!$C$5+Calculator!$C$6*12*B23)</f>
      </c>
      <c r="D23" s="26">
        <f>IF(ISNA(B23),NA(),E23-C23)</f>
      </c>
      <c r="E23" s="26">
        <f>IF(ISNA(B23),NA(),FV(Calculator!$C$7/100/12,B23*12,-Calculator!$C$6,-Calculator!$C$5))</f>
      </c>
    </row>
    <row r="24">
      <c r="B24" s="25">
        <f>IF(20&lt;=Calculator!$C$8,20,NA())</f>
      </c>
      <c r="C24" s="26">
        <f>IF(ISNA(B24),NA(),Calculator!$C$5+Calculator!$C$6*12*B24)</f>
      </c>
      <c r="D24" s="26">
        <f>IF(ISNA(B24),NA(),E24-C24)</f>
      </c>
      <c r="E24" s="26">
        <f>IF(ISNA(B24),NA(),FV(Calculator!$C$7/100/12,B24*12,-Calculator!$C$6,-Calculator!$C$5))</f>
      </c>
    </row>
    <row r="25">
      <c r="B25" s="25">
        <f>IF(21&lt;=Calculator!$C$8,21,NA())</f>
      </c>
      <c r="C25" s="26">
        <f>IF(ISNA(B25),NA(),Calculator!$C$5+Calculator!$C$6*12*B25)</f>
      </c>
      <c r="D25" s="26">
        <f>IF(ISNA(B25),NA(),E25-C25)</f>
      </c>
      <c r="E25" s="26">
        <f>IF(ISNA(B25),NA(),FV(Calculator!$C$7/100/12,B25*12,-Calculator!$C$6,-Calculator!$C$5))</f>
      </c>
    </row>
    <row r="26">
      <c r="B26" s="25">
        <f>IF(22&lt;=Calculator!$C$8,22,NA())</f>
      </c>
      <c r="C26" s="26">
        <f>IF(ISNA(B26),NA(),Calculator!$C$5+Calculator!$C$6*12*B26)</f>
      </c>
      <c r="D26" s="26">
        <f>IF(ISNA(B26),NA(),E26-C26)</f>
      </c>
      <c r="E26" s="26">
        <f>IF(ISNA(B26),NA(),FV(Calculator!$C$7/100/12,B26*12,-Calculator!$C$6,-Calculator!$C$5))</f>
      </c>
    </row>
    <row r="27">
      <c r="B27" s="25">
        <f>IF(23&lt;=Calculator!$C$8,23,NA())</f>
      </c>
      <c r="C27" s="26">
        <f>IF(ISNA(B27),NA(),Calculator!$C$5+Calculator!$C$6*12*B27)</f>
      </c>
      <c r="D27" s="26">
        <f>IF(ISNA(B27),NA(),E27-C27)</f>
      </c>
      <c r="E27" s="26">
        <f>IF(ISNA(B27),NA(),FV(Calculator!$C$7/100/12,B27*12,-Calculator!$C$6,-Calculator!$C$5))</f>
      </c>
    </row>
    <row r="28">
      <c r="B28" s="25">
        <f>IF(24&lt;=Calculator!$C$8,24,NA())</f>
      </c>
      <c r="C28" s="26">
        <f>IF(ISNA(B28),NA(),Calculator!$C$5+Calculator!$C$6*12*B28)</f>
      </c>
      <c r="D28" s="26">
        <f>IF(ISNA(B28),NA(),E28-C28)</f>
      </c>
      <c r="E28" s="26">
        <f>IF(ISNA(B28),NA(),FV(Calculator!$C$7/100/12,B28*12,-Calculator!$C$6,-Calculator!$C$5))</f>
      </c>
    </row>
    <row r="29">
      <c r="B29" s="25">
        <f>IF(25&lt;=Calculator!$C$8,25,NA())</f>
      </c>
      <c r="C29" s="26">
        <f>IF(ISNA(B29),NA(),Calculator!$C$5+Calculator!$C$6*12*B29)</f>
      </c>
      <c r="D29" s="26">
        <f>IF(ISNA(B29),NA(),E29-C29)</f>
      </c>
      <c r="E29" s="26">
        <f>IF(ISNA(B29),NA(),FV(Calculator!$C$7/100/12,B29*12,-Calculator!$C$6,-Calculator!$C$5))</f>
      </c>
    </row>
    <row r="30">
      <c r="B30" s="25">
        <f>IF(26&lt;=Calculator!$C$8,26,NA())</f>
      </c>
      <c r="C30" s="26">
        <f>IF(ISNA(B30),NA(),Calculator!$C$5+Calculator!$C$6*12*B30)</f>
      </c>
      <c r="D30" s="26">
        <f>IF(ISNA(B30),NA(),E30-C30)</f>
      </c>
      <c r="E30" s="26">
        <f>IF(ISNA(B30),NA(),FV(Calculator!$C$7/100/12,B30*12,-Calculator!$C$6,-Calculator!$C$5))</f>
      </c>
    </row>
    <row r="31">
      <c r="B31" s="25">
        <f>IF(27&lt;=Calculator!$C$8,27,NA())</f>
      </c>
      <c r="C31" s="26">
        <f>IF(ISNA(B31),NA(),Calculator!$C$5+Calculator!$C$6*12*B31)</f>
      </c>
      <c r="D31" s="26">
        <f>IF(ISNA(B31),NA(),E31-C31)</f>
      </c>
      <c r="E31" s="26">
        <f>IF(ISNA(B31),NA(),FV(Calculator!$C$7/100/12,B31*12,-Calculator!$C$6,-Calculator!$C$5))</f>
      </c>
    </row>
    <row r="32">
      <c r="B32" s="25">
        <f>IF(28&lt;=Calculator!$C$8,28,NA())</f>
      </c>
      <c r="C32" s="26">
        <f>IF(ISNA(B32),NA(),Calculator!$C$5+Calculator!$C$6*12*B32)</f>
      </c>
      <c r="D32" s="26">
        <f>IF(ISNA(B32),NA(),E32-C32)</f>
      </c>
      <c r="E32" s="26">
        <f>IF(ISNA(B32),NA(),FV(Calculator!$C$7/100/12,B32*12,-Calculator!$C$6,-Calculator!$C$5))</f>
      </c>
    </row>
    <row r="33">
      <c r="B33" s="25">
        <f>IF(29&lt;=Calculator!$C$8,29,NA())</f>
      </c>
      <c r="C33" s="26">
        <f>IF(ISNA(B33),NA(),Calculator!$C$5+Calculator!$C$6*12*B33)</f>
      </c>
      <c r="D33" s="26">
        <f>IF(ISNA(B33),NA(),E33-C33)</f>
      </c>
      <c r="E33" s="26">
        <f>IF(ISNA(B33),NA(),FV(Calculator!$C$7/100/12,B33*12,-Calculator!$C$6,-Calculator!$C$5))</f>
      </c>
    </row>
    <row r="34">
      <c r="B34" s="25">
        <f>IF(30&lt;=Calculator!$C$8,30,NA())</f>
      </c>
      <c r="C34" s="26">
        <f>IF(ISNA(B34),NA(),Calculator!$C$5+Calculator!$C$6*12*B34)</f>
      </c>
      <c r="D34" s="26">
        <f>IF(ISNA(B34),NA(),E34-C34)</f>
      </c>
      <c r="E34" s="26">
        <f>IF(ISNA(B34),NA(),FV(Calculator!$C$7/100/12,B34*12,-Calculator!$C$6,-Calculator!$C$5))</f>
      </c>
    </row>
    <row r="35">
      <c r="B35" s="25">
        <f>IF(31&lt;=Calculator!$C$8,31,NA())</f>
      </c>
      <c r="C35" s="26">
        <f>IF(ISNA(B35),NA(),Calculator!$C$5+Calculator!$C$6*12*B35)</f>
      </c>
      <c r="D35" s="26">
        <f>IF(ISNA(B35),NA(),E35-C35)</f>
      </c>
      <c r="E35" s="26">
        <f>IF(ISNA(B35),NA(),FV(Calculator!$C$7/100/12,B35*12,-Calculator!$C$6,-Calculator!$C$5))</f>
      </c>
    </row>
    <row r="36">
      <c r="B36" s="25">
        <f>IF(32&lt;=Calculator!$C$8,32,NA())</f>
      </c>
      <c r="C36" s="26">
        <f>IF(ISNA(B36),NA(),Calculator!$C$5+Calculator!$C$6*12*B36)</f>
      </c>
      <c r="D36" s="26">
        <f>IF(ISNA(B36),NA(),E36-C36)</f>
      </c>
      <c r="E36" s="26">
        <f>IF(ISNA(B36),NA(),FV(Calculator!$C$7/100/12,B36*12,-Calculator!$C$6,-Calculator!$C$5))</f>
      </c>
    </row>
    <row r="37">
      <c r="B37" s="25">
        <f>IF(33&lt;=Calculator!$C$8,33,NA())</f>
      </c>
      <c r="C37" s="26">
        <f>IF(ISNA(B37),NA(),Calculator!$C$5+Calculator!$C$6*12*B37)</f>
      </c>
      <c r="D37" s="26">
        <f>IF(ISNA(B37),NA(),E37-C37)</f>
      </c>
      <c r="E37" s="26">
        <f>IF(ISNA(B37),NA(),FV(Calculator!$C$7/100/12,B37*12,-Calculator!$C$6,-Calculator!$C$5))</f>
      </c>
    </row>
    <row r="38">
      <c r="B38" s="25">
        <f>IF(34&lt;=Calculator!$C$8,34,NA())</f>
      </c>
      <c r="C38" s="26">
        <f>IF(ISNA(B38),NA(),Calculator!$C$5+Calculator!$C$6*12*B38)</f>
      </c>
      <c r="D38" s="26">
        <f>IF(ISNA(B38),NA(),E38-C38)</f>
      </c>
      <c r="E38" s="26">
        <f>IF(ISNA(B38),NA(),FV(Calculator!$C$7/100/12,B38*12,-Calculator!$C$6,-Calculator!$C$5))</f>
      </c>
    </row>
    <row r="39">
      <c r="B39" s="25">
        <f>IF(35&lt;=Calculator!$C$8,35,NA())</f>
      </c>
      <c r="C39" s="26">
        <f>IF(ISNA(B39),NA(),Calculator!$C$5+Calculator!$C$6*12*B39)</f>
      </c>
      <c r="D39" s="26">
        <f>IF(ISNA(B39),NA(),E39-C39)</f>
      </c>
      <c r="E39" s="26">
        <f>IF(ISNA(B39),NA(),FV(Calculator!$C$7/100/12,B39*12,-Calculator!$C$6,-Calculator!$C$5))</f>
      </c>
    </row>
    <row r="40">
      <c r="B40" s="25">
        <f>IF(36&lt;=Calculator!$C$8,36,NA())</f>
      </c>
      <c r="C40" s="26">
        <f>IF(ISNA(B40),NA(),Calculator!$C$5+Calculator!$C$6*12*B40)</f>
      </c>
      <c r="D40" s="26">
        <f>IF(ISNA(B40),NA(),E40-C40)</f>
      </c>
      <c r="E40" s="26">
        <f>IF(ISNA(B40),NA(),FV(Calculator!$C$7/100/12,B40*12,-Calculator!$C$6,-Calculator!$C$5))</f>
      </c>
    </row>
    <row r="41">
      <c r="B41" s="25">
        <f>IF(37&lt;=Calculator!$C$8,37,NA())</f>
      </c>
      <c r="C41" s="26">
        <f>IF(ISNA(B41),NA(),Calculator!$C$5+Calculator!$C$6*12*B41)</f>
      </c>
      <c r="D41" s="26">
        <f>IF(ISNA(B41),NA(),E41-C41)</f>
      </c>
      <c r="E41" s="26">
        <f>IF(ISNA(B41),NA(),FV(Calculator!$C$7/100/12,B41*12,-Calculator!$C$6,-Calculator!$C$5))</f>
      </c>
    </row>
    <row r="42">
      <c r="B42" s="25">
        <f>IF(38&lt;=Calculator!$C$8,38,NA())</f>
      </c>
      <c r="C42" s="26">
        <f>IF(ISNA(B42),NA(),Calculator!$C$5+Calculator!$C$6*12*B42)</f>
      </c>
      <c r="D42" s="26">
        <f>IF(ISNA(B42),NA(),E42-C42)</f>
      </c>
      <c r="E42" s="26">
        <f>IF(ISNA(B42),NA(),FV(Calculator!$C$7/100/12,B42*12,-Calculator!$C$6,-Calculator!$C$5))</f>
      </c>
    </row>
    <row r="43">
      <c r="B43" s="25">
        <f>IF(39&lt;=Calculator!$C$8,39,NA())</f>
      </c>
      <c r="C43" s="26">
        <f>IF(ISNA(B43),NA(),Calculator!$C$5+Calculator!$C$6*12*B43)</f>
      </c>
      <c r="D43" s="26">
        <f>IF(ISNA(B43),NA(),E43-C43)</f>
      </c>
      <c r="E43" s="26">
        <f>IF(ISNA(B43),NA(),FV(Calculator!$C$7/100/12,B43*12,-Calculator!$C$6,-Calculator!$C$5))</f>
      </c>
    </row>
    <row r="44">
      <c r="B44" s="25">
        <f>IF(40&lt;=Calculator!$C$8,40,NA())</f>
      </c>
      <c r="C44" s="26">
        <f>IF(ISNA(B44),NA(),Calculator!$C$5+Calculator!$C$6*12*B44)</f>
      </c>
      <c r="D44" s="26">
        <f>IF(ISNA(B44),NA(),E44-C44)</f>
      </c>
      <c r="E44" s="26">
        <f>IF(ISNA(B44),NA(),FV(Calculator!$C$7/100/12,B44*12,-Calculator!$C$6,-Calculator!$C$5))</f>
      </c>
    </row>
  </sheetData>
  <mergeCells>
    <mergeCell ref="B1:E1"/>
  </mergeCells>
  <headerFooter/>
</worksheet>
</file>