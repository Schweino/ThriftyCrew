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art Here" sheetId="1" r:id="rId1"/>
    <sheet name="Calculator" sheetId="2" r:id="rId3"/>
    <sheet name="Engine" sheetId="3" r:id="rId4" state="hidden"/>
  </sheets>
  <calcPr fullCalcOnLoad="1"/>
</workbook>
</file>

<file path=xl/sharedStrings.xml><?xml version="1.0" encoding="utf-8"?>
<sst xmlns="http://schemas.openxmlformats.org/spreadsheetml/2006/main" count="34" uniqueCount="34">
  <si>
    <t>Simple Money Playbook</t>
  </si>
  <si>
    <t>Debt Payoff Date Calculator</t>
  </si>
  <si>
    <t>Make this yours first</t>
  </si>
  <si>
    <t>This copy is view-only. Go to File -&gt; Make a copy to save your own editable version, then fill in your own debts.</t>
  </si>
  <si>
    <t>What it does</t>
  </si>
  <si>
    <t>List every debt with its balance, interest rate, and minimum payment, then add whatever extra you can pay each month. It simulates paying them off month by month and tells you the exact date you'll be debt-free and the total interest you'll pay.</t>
  </si>
  <si>
    <t>Avalanche vs. Snowball</t>
  </si>
  <si>
    <t>Type either method in the blue Method cell. Avalanche attacks the highest interest rate first (usually the least interest paid). Snowball attacks the smallest balance first (fastest first win). Switch between them and watch the date and interest change.</t>
  </si>
  <si>
    <t>How to use it</t>
  </si>
  <si>
    <t>1. Make your own copy. 2. Fill the blue cells on the 'Calculator' tab: your debts, and your extra monthly payment. 3. Everything else, including the chart and your debt-free date, updates itself.</t>
  </si>
  <si>
    <t>About the numbers</t>
  </si>
  <si>
    <t>This assumes you keep paying the same total each month (as a debt is cleared, its payment rolls onto the next one). Interest is estimated monthly from the rate you enter. Educational only, not financial advice; for decisions about your own money, talk to a qualified professional.</t>
  </si>
  <si>
    <t>More free lessons + recipes: simplemoneyplaybook.com</t>
  </si>
  <si>
    <t>List your debts, add whatever extra you can pay, and see the exact month you'll be free. Switch Avalanche/Snowball to compare.</t>
  </si>
  <si>
    <t>The plan</t>
  </si>
  <si>
    <t>Your payoff</t>
  </si>
  <si>
    <t>Method</t>
  </si>
  <si>
    <t>Avalanche</t>
  </si>
  <si>
    <t>Debt-free date</t>
  </si>
  <si>
    <t>Extra monthly payment</t>
  </si>
  <si>
    <t>Time to freedom</t>
  </si>
  <si>
    <t>Total interest you'll pay</t>
  </si>
  <si>
    <t>Total you'll pay</t>
  </si>
  <si>
    <t>Debt</t>
  </si>
  <si>
    <t>Balance</t>
  </si>
  <si>
    <t>APR %</t>
  </si>
  <si>
    <t>Min payment</t>
  </si>
  <si>
    <t>Priority</t>
  </si>
  <si>
    <t>Paid off by</t>
  </si>
  <si>
    <t>Credit Card</t>
  </si>
  <si>
    <t>Car Loan</t>
  </si>
  <si>
    <t>Student Loan</t>
  </si>
  <si>
    <t>Priority shows the order this method pays your debts. Illustration only, not financial advice. simplemoneyplaybook.com</t>
  </si>
  <si>
    <t>Simulation engine (do not edit)</t>
  </si>
</sst>
</file>

<file path=xl/styles.xml><?xml version="1.0" encoding="utf-8"?>
<styleSheet xmlns="http://schemas.openxmlformats.org/spreadsheetml/2006/main">
  <numFmts count="3">
    <numFmt numFmtId="164" formatCode="$#,##0;($#,##0);&quot;-&quot;"/>
    <numFmt numFmtId="165" formatCode="mmm yyyy"/>
    <numFmt numFmtId="166" formatCode="0.0&quot;%&quot;"/>
  </numFmts>
  <fonts count="16">
    <font>
      <sz val="11"/>
      <name val="Calibri"/>
    </font>
    <font>
      <b/>
      <sz val="20"/>
      <color rgb="FF16263F" tint="0"/>
      <name val="Calibri"/>
    </font>
    <font>
      <b/>
      <sz val="13"/>
      <color rgb="FF8A6D1F" tint="0"/>
      <name val="Calibri"/>
    </font>
    <font>
      <b/>
      <sz val="13"/>
      <color rgb="FF16263F" tint="0"/>
      <name val="Calibri"/>
    </font>
    <font>
      <sz val="11"/>
      <color rgb="FF2D3748" tint="0"/>
      <name val="Calibri"/>
    </font>
    <font>
      <i/>
      <sz val="10"/>
      <color rgb="FF5A6572" tint="0"/>
      <name val="Calibri"/>
    </font>
    <font>
      <b/>
      <sz val="18"/>
      <color rgb="FFFFFFFF" tint="0"/>
      <name val="Calibri"/>
    </font>
    <font>
      <b/>
      <sz val="12"/>
      <color rgb="FFFFFFFF" tint="0"/>
      <name val="Calibri"/>
    </font>
    <font>
      <sz val="11"/>
      <color rgb="FF1A202C" tint="0"/>
      <name val="Calibri"/>
    </font>
    <font>
      <b/>
      <sz val="11"/>
      <color rgb="FFFFFFFF" tint="0"/>
      <name val="Calibri"/>
    </font>
    <font>
      <b/>
      <sz val="16"/>
      <color rgb="FF8A6D1F" tint="0"/>
      <name val="Calibri"/>
    </font>
    <font>
      <b/>
      <sz val="12"/>
      <color rgb="FF16263F" tint="0"/>
      <name val="Calibri"/>
    </font>
    <font>
      <b/>
      <sz val="10"/>
      <color rgb="FFFFFFFF" tint="0"/>
      <name val="Calibri"/>
    </font>
    <font>
      <b/>
      <sz val="11"/>
      <color rgb="FF1A202C" tint="0"/>
      <name val="Calibri"/>
    </font>
    <font>
      <i/>
      <sz val="9"/>
      <color rgb="FF5A6572" tint="0"/>
      <name val="Calibri"/>
    </font>
    <font>
      <b/>
      <sz val="9"/>
      <color rgb="FF16263F" tint="0"/>
      <name val="Calibri"/>
    </font>
  </fonts>
  <fills count="5">
    <fill>
      <patternFill patternType="none"/>
    </fill>
    <fill>
      <patternFill patternType="gray125"/>
    </fill>
    <fill>
      <patternFill patternType="solid">
        <fgColor rgb="FF16263F" tint="0"/>
      </patternFill>
    </fill>
    <fill>
      <patternFill patternType="solid">
        <fgColor rgb="FFE2A43C" tint="0"/>
      </patternFill>
    </fill>
    <fill>
      <patternFill patternType="solid">
        <fgColor rgb="FF2F6BB0" tint="0"/>
      </patternFill>
    </fill>
  </fills>
  <borders count="4">
    <border>
      <left/>
      <right/>
      <top/>
      <bottom/>
      <diagonal/>
    </border>
    <border>
      <left style="thin">
        <color rgb="FF255488" tint="0"/>
      </left>
      <right style="thin">
        <color rgb="FF255488" tint="0"/>
      </right>
      <top style="thin">
        <color rgb="FF255488" tint="0"/>
      </top>
      <bottom style="thin">
        <color rgb="FF255488" tint="0"/>
      </bottom>
      <diagonal/>
    </border>
    <border>
      <left/>
      <right/>
      <top/>
      <bottom style="thin">
        <color rgb="FFE2E8F0" tint="0"/>
      </bottom>
      <diagonal/>
    </border>
    <border>
      <left style="thin">
        <color rgb="FFE2E8F0" tint="0"/>
      </left>
      <right style="thin">
        <color rgb="FFE2E8F0" tint="0"/>
      </right>
      <top style="thin">
        <color rgb="FFE2E8F0" tint="0"/>
      </top>
      <bottom style="thin">
        <color rgb="FFE2E8F0" tint="0"/>
      </bottom>
      <diagonal/>
    </border>
  </borders>
  <cellStyleXfs count="1">
    <xf numFmtId="0" fontId="0"/>
  </cellStyleXfs>
  <cellXfs count="28">
    <xf numFmtId="0" applyNumberFormat="1" fontId="0" applyFont="1" xfId="0" applyProtection="1"/>
    <xf numFmtId="0" applyNumberFormat="1" fontId="1" applyFont="1" xfId="0" applyProtection="1" applyAlignment="1">
      <alignment vertical="center"/>
    </xf>
    <xf numFmtId="0" applyNumberFormat="1" fontId="2" applyFont="1" xfId="0" applyProtection="1"/>
    <xf numFmtId="0" applyNumberFormat="1" fontId="3" applyFont="1" xfId="0" applyProtection="1" applyAlignment="1">
      <alignment vertical="top"/>
    </xf>
    <xf numFmtId="0" applyNumberFormat="1" fontId="4" applyFont="1" xfId="0" applyProtection="1" applyAlignment="1">
      <alignment vertical="top" wrapText="1"/>
    </xf>
    <xf numFmtId="0" applyNumberFormat="1" fontId="5" applyFont="1" xfId="0" applyProtection="1"/>
    <xf numFmtId="0" applyNumberFormat="1" fontId="5" applyFont="1" xfId="0" applyProtection="1">
      <alignment wrapText="1"/>
    </xf>
    <xf numFmtId="0" applyNumberFormat="1" fontId="5" applyFont="1" xfId="0" applyProtection="1" applyAlignment="1">
      <alignment vertical="top" wrapText="1"/>
    </xf>
    <xf numFmtId="0" applyNumberFormat="1" fontId="6" applyFont="1" fillId="2" applyFill="1" xfId="0" applyProtection="1" applyAlignment="1">
      <alignment vertical="center" indent="1"/>
    </xf>
    <xf numFmtId="0" applyNumberFormat="1" fontId="7" applyFont="1" fillId="3" applyFill="1" xfId="0" applyProtection="1" applyAlignment="1">
      <alignment vertical="center" indent="1"/>
    </xf>
    <xf numFmtId="0" applyNumberFormat="1" fontId="7" applyFont="1" fillId="2" applyFill="1" xfId="0" applyProtection="1" applyAlignment="1">
      <alignment vertical="center" indent="1"/>
    </xf>
    <xf numFmtId="0" applyNumberFormat="1" fontId="8" applyFont="1" xfId="0" applyProtection="1"/>
    <xf numFmtId="0" applyNumberFormat="1" fontId="9" applyFont="1" fillId="4" applyFill="1" borderId="1" applyBorder="1" xfId="0" applyProtection="1"/>
    <xf numFmtId="0" applyNumberFormat="1" fontId="9" applyFont="1" fillId="4" applyFill="1" borderId="1" applyBorder="1" xfId="0" applyProtection="1" applyAlignment="1">
      <alignment horizontal="center"/>
    </xf>
    <xf numFmtId="164" applyNumberFormat="1" fontId="9" applyFont="1" fillId="4" applyFill="1" borderId="1" applyBorder="1" xfId="0" applyProtection="1"/>
    <xf numFmtId="0" applyNumberFormat="1" fontId="8" applyFont="1" borderId="2" applyBorder="1" xfId="0" applyProtection="1" applyAlignment="1">
      <alignment vertical="center"/>
    </xf>
    <xf numFmtId="0" applyNumberFormat="1" fontId="0" applyFont="1" borderId="2" applyBorder="1" xfId="0" applyProtection="1" applyAlignment="1">
      <alignment vertical="center"/>
    </xf>
    <xf numFmtId="165" applyNumberFormat="1" fontId="10" applyFont="1" borderId="2" applyBorder="1" xfId="0" applyProtection="1" applyAlignment="1">
      <alignment horizontal="right"/>
    </xf>
    <xf numFmtId="0" applyNumberFormat="1" fontId="11" applyFont="1" borderId="2" applyBorder="1" xfId="0" applyProtection="1" applyAlignment="1">
      <alignment horizontal="right"/>
    </xf>
    <xf numFmtId="164" applyNumberFormat="1" fontId="11" applyFont="1" borderId="2" applyBorder="1" xfId="0" applyProtection="1" applyAlignment="1">
      <alignment horizontal="right"/>
    </xf>
    <xf numFmtId="0" applyNumberFormat="1" fontId="12" applyFont="1" fillId="2" applyFill="1" xfId="0" applyProtection="1" applyAlignment="1">
      <alignment horizontal="center" vertical="center" wrapText="1"/>
    </xf>
    <xf numFmtId="166" applyNumberFormat="1" fontId="9" applyFont="1" fillId="4" applyFill="1" borderId="1" applyBorder="1" xfId="0" applyProtection="1" applyAlignment="1">
      <alignment horizontal="center"/>
    </xf>
    <xf numFmtId="0" applyNumberFormat="1" fontId="13" applyFont="1" borderId="3" applyBorder="1" xfId="0" applyProtection="1" applyAlignment="1">
      <alignment horizontal="center"/>
    </xf>
    <xf numFmtId="165" applyNumberFormat="1" fontId="0" applyFont="1" borderId="3" applyBorder="1" xfId="0" applyProtection="1" applyAlignment="1">
      <alignment horizontal="center"/>
    </xf>
    <xf numFmtId="0" applyNumberFormat="1" fontId="11" applyFont="1" xfId="0" applyProtection="1" applyAlignment="1">
      <alignment vertical="center" wrapText="1"/>
    </xf>
    <xf numFmtId="0" applyNumberFormat="1" fontId="0" applyFont="1" xfId="0" applyProtection="1" applyAlignment="1">
      <alignment vertical="center" wrapText="1"/>
    </xf>
    <xf numFmtId="0" applyNumberFormat="1" fontId="14" applyFont="1" xfId="0" applyProtection="1">
      <alignment wrapText="1"/>
    </xf>
    <xf numFmtId="0" applyNumberFormat="1" fontId="15"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2:B21"/>
  <sheetViews>
    <sheetView workbookViewId="0" showGridLines="0"/>
  </sheetViews>
  <sheetFormatPr defaultRowHeight="15"/>
  <cols>
    <col min="1" max="1" width="3" customWidth="1"/>
    <col min="2" max="2" width="94" customWidth="1"/>
    <col min="3" max="3" width="3" customWidth="1"/>
  </cols>
  <sheetData>
    <row r="2">
      <c r="B2" s="1" t="s">
        <v>0</v>
      </c>
    </row>
    <row r="3">
      <c r="B3" s="1"/>
    </row>
    <row r="4">
      <c r="B4" s="2" t="s">
        <v>1</v>
      </c>
    </row>
    <row r="6" ht="20" customHeight="1">
      <c r="B6" s="3" t="s">
        <v>2</v>
      </c>
    </row>
    <row r="7" ht="36" customHeight="1">
      <c r="B7" s="4" t="s">
        <v>3</v>
      </c>
    </row>
    <row r="9" ht="20" customHeight="1">
      <c r="B9" s="3" t="s">
        <v>4</v>
      </c>
    </row>
    <row r="10" ht="36" customHeight="1">
      <c r="B10" s="4" t="s">
        <v>5</v>
      </c>
    </row>
    <row r="12" ht="20" customHeight="1">
      <c r="B12" s="3" t="s">
        <v>6</v>
      </c>
    </row>
    <row r="13" ht="36" customHeight="1">
      <c r="B13" s="4" t="s">
        <v>7</v>
      </c>
    </row>
    <row r="15" ht="20" customHeight="1">
      <c r="B15" s="3" t="s">
        <v>8</v>
      </c>
    </row>
    <row r="16" ht="36" customHeight="1">
      <c r="B16" s="4" t="s">
        <v>9</v>
      </c>
    </row>
    <row r="18" ht="34" customHeight="1">
      <c r="B18" s="7" t="s">
        <v>10</v>
      </c>
    </row>
    <row r="19" ht="34" customHeight="1">
      <c r="B19" s="7" t="s">
        <v>11</v>
      </c>
    </row>
    <row r="21" ht="34" customHeight="1">
      <c r="B21" s="7" t="s">
        <v>12</v>
      </c>
    </row>
  </sheetData>
  <mergeCells>
    <mergeCell ref="B2:B3"/>
  </mergeCells>
  <headerFooter/>
</worksheet>
</file>

<file path=xl/worksheets/sheet2.xml><?xml version="1.0" encoding="utf-8"?>
<worksheet xmlns:r="http://schemas.openxmlformats.org/officeDocument/2006/relationships" xmlns="http://schemas.openxmlformats.org/spreadsheetml/2006/main">
  <dimension ref="A1:Q32"/>
  <sheetViews>
    <sheetView workbookViewId="0" showGridLines="0"/>
  </sheetViews>
  <sheetFormatPr defaultRowHeight="15"/>
  <cols>
    <col min="1" max="1" width="3" customWidth="1"/>
    <col min="2" max="2" width="24" customWidth="1"/>
    <col min="3" max="3" width="15" customWidth="1"/>
    <col min="4" max="4" width="11" customWidth="1"/>
    <col min="5" max="5" width="17" customWidth="1"/>
    <col min="6" max="6" width="13" customWidth="1"/>
    <col min="7" max="7" width="15" customWidth="1"/>
    <col min="8" max="8" width="3" customWidth="1"/>
    <col min="9" max="9" width="9" customWidth="1"/>
    <col min="10" max="10" hidden="1" width="9" customWidth="1"/>
    <col min="11" max="11" width="9" customWidth="1"/>
    <col min="12" max="12" width="9" customWidth="1"/>
    <col min="13" max="13" width="9" customWidth="1"/>
    <col min="14" max="14" width="9" customWidth="1"/>
    <col min="15" max="15" width="9" customWidth="1"/>
    <col min="16" max="16" width="9" customWidth="1"/>
    <col min="17" max="17" width="9" customWidth="1"/>
  </cols>
  <sheetData>
    <row r="1" ht="32" customHeight="1">
      <c r="B1" s="8" t="s">
        <v>1</v>
      </c>
      <c r="C1" s="8"/>
      <c r="D1" s="8"/>
      <c r="E1" s="8"/>
      <c r="F1" s="8"/>
      <c r="G1" s="8"/>
      <c r="H1" s="8"/>
      <c r="I1" s="8"/>
      <c r="J1" s="8"/>
      <c r="K1" s="8"/>
      <c r="L1" s="8"/>
      <c r="M1" s="8"/>
      <c r="N1" s="8"/>
      <c r="O1" s="8"/>
      <c r="P1" s="8"/>
      <c r="Q1" s="8"/>
    </row>
    <row r="2" ht="22" customHeight="1">
      <c r="B2" s="6" t="s">
        <v>13</v>
      </c>
      <c r="C2" s="6"/>
      <c r="D2" s="6"/>
      <c r="E2" s="6"/>
      <c r="F2" s="6"/>
      <c r="G2" s="6"/>
      <c r="H2" s="6"/>
      <c r="I2" s="6"/>
      <c r="J2" s="6"/>
      <c r="K2" s="6"/>
      <c r="L2" s="6"/>
      <c r="M2" s="6"/>
      <c r="N2" s="6"/>
      <c r="O2" s="6"/>
      <c r="P2" s="6"/>
      <c r="Q2" s="6"/>
    </row>
    <row r="4" ht="22" customHeight="1">
      <c r="B4" s="9" t="s">
        <v>14</v>
      </c>
      <c r="C4" s="9"/>
      <c r="E4" s="10" t="s">
        <v>15</v>
      </c>
      <c r="F4" s="10"/>
      <c r="G4" s="10"/>
    </row>
    <row r="5">
      <c r="B5" s="11" t="s">
        <v>16</v>
      </c>
      <c r="C5" s="13" t="s">
        <v>17</v>
      </c>
      <c r="E5" s="15" t="s">
        <v>18</v>
      </c>
      <c r="F5" s="16"/>
      <c r="G5" s="17">
        <f>IF(SUM(C11:C28)=0,"-",IF(Engine!$CD$1=0,"30+ yrs",EDATE(TODAY(),Engine!$CD$1)))</f>
      </c>
    </row>
    <row r="6">
      <c r="B6" s="11" t="s">
        <v>19</v>
      </c>
      <c r="C6" s="14">
        <v>250</v>
      </c>
      <c r="E6" s="15" t="s">
        <v>20</v>
      </c>
      <c r="F6" s="16"/>
      <c r="G6" s="18">
        <f>IF(SUM(C11:C28)=0,"-",IF(Engine!$CD$1=0,"&gt;360 mo",Engine!$CD$1&amp;" mo"))</f>
      </c>
    </row>
    <row r="7">
      <c r="E7" s="15" t="s">
        <v>21</v>
      </c>
      <c r="F7" s="16"/>
      <c r="G7" s="19">
        <f>SUM(Engine!$BZ$4:$BZ$363)</f>
      </c>
    </row>
    <row r="8">
      <c r="E8" s="15" t="s">
        <v>22</v>
      </c>
      <c r="F8" s="16"/>
      <c r="G8" s="19">
        <f>SUM(C11:C28)+SUM(Engine!$BZ$4:$BZ$363)</f>
      </c>
    </row>
    <row r="10" ht="26" customHeight="1">
      <c r="B10" s="20" t="s">
        <v>23</v>
      </c>
      <c r="C10" s="20" t="s">
        <v>24</v>
      </c>
      <c r="D10" s="20" t="s">
        <v>25</v>
      </c>
      <c r="E10" s="20" t="s">
        <v>26</v>
      </c>
      <c r="F10" s="20" t="s">
        <v>27</v>
      </c>
      <c r="G10" s="20" t="s">
        <v>28</v>
      </c>
    </row>
    <row r="11" ht="20" customHeight="1">
      <c r="B11" s="12" t="s">
        <v>29</v>
      </c>
      <c r="C11" s="14">
        <v>4800</v>
      </c>
      <c r="D11" s="21">
        <v>22.9</v>
      </c>
      <c r="E11" s="14">
        <v>120</v>
      </c>
      <c r="F11" s="22">
        <f>IF(B11="","",RANK(J11,$J$11:$J$28,1))</f>
      </c>
      <c r="G11" s="23">
        <f>IF(B11="","",IF(MINIFS(Engine!$A$4:$A$363,Engine!$BD$4:$BD$363,"&lt;=0.01")=0,"30+ yrs",EDATE(TODAY(),MINIFS(Engine!$A$4:$A$363,Engine!$BD$4:$BD$363,"&lt;=0.01"))))</f>
      </c>
      <c r="J11" s="0">
        <f>IF(B11="",1000000000+ROW()*0.000001,IF($C$5="Snowball",C11,-D11)+ROW()*0.000001)</f>
      </c>
    </row>
    <row r="12" ht="20" customHeight="1">
      <c r="B12" s="12" t="s">
        <v>30</v>
      </c>
      <c r="C12" s="14">
        <v>9500</v>
      </c>
      <c r="D12" s="21">
        <v>6.5</v>
      </c>
      <c r="E12" s="14">
        <v>210</v>
      </c>
      <c r="F12" s="22">
        <f>IF(B12="","",RANK(J12,$J$11:$J$28,1))</f>
      </c>
      <c r="G12" s="23">
        <f>IF(B12="","",IF(MINIFS(Engine!$A$4:$A$363,Engine!$BE$4:$BE$363,"&lt;=0.01")=0,"30+ yrs",EDATE(TODAY(),MINIFS(Engine!$A$4:$A$363,Engine!$BE$4:$BE$363,"&lt;=0.01"))))</f>
      </c>
      <c r="J12" s="0">
        <f>IF(B12="",1000000000+ROW()*0.000001,IF($C$5="Snowball",C12,-D12)+ROW()*0.000001)</f>
      </c>
    </row>
    <row r="13" ht="20" customHeight="1">
      <c r="B13" s="12" t="s">
        <v>31</v>
      </c>
      <c r="C13" s="14">
        <v>14000</v>
      </c>
      <c r="D13" s="21">
        <v>5.2</v>
      </c>
      <c r="E13" s="14">
        <v>150</v>
      </c>
      <c r="F13" s="22">
        <f>IF(B13="","",RANK(J13,$J$11:$J$28,1))</f>
      </c>
      <c r="G13" s="23">
        <f>IF(B13="","",IF(MINIFS(Engine!$A$4:$A$363,Engine!$BF$4:$BF$363,"&lt;=0.01")=0,"30+ yrs",EDATE(TODAY(),MINIFS(Engine!$A$4:$A$363,Engine!$BF$4:$BF$363,"&lt;=0.01"))))</f>
      </c>
      <c r="J13" s="0">
        <f>IF(B13="",1000000000+ROW()*0.000001,IF($C$5="Snowball",C13,-D13)+ROW()*0.000001)</f>
      </c>
    </row>
    <row r="14" ht="20" customHeight="1">
      <c r="B14" s="12"/>
      <c r="C14" s="14"/>
      <c r="D14" s="21"/>
      <c r="E14" s="14"/>
      <c r="F14" s="22">
        <f>IF(B14="","",RANK(J14,$J$11:$J$28,1))</f>
      </c>
      <c r="G14" s="23">
        <f>IF(B14="","",IF(MINIFS(Engine!$A$4:$A$363,Engine!$BG$4:$BG$363,"&lt;=0.01")=0,"30+ yrs",EDATE(TODAY(),MINIFS(Engine!$A$4:$A$363,Engine!$BG$4:$BG$363,"&lt;=0.01"))))</f>
      </c>
      <c r="J14" s="0">
        <f>IF(B14="",1000000000+ROW()*0.000001,IF($C$5="Snowball",C14,-D14)+ROW()*0.000001)</f>
      </c>
    </row>
    <row r="15" ht="20" customHeight="1">
      <c r="B15" s="12"/>
      <c r="C15" s="14"/>
      <c r="D15" s="21"/>
      <c r="E15" s="14"/>
      <c r="F15" s="22">
        <f>IF(B15="","",RANK(J15,$J$11:$J$28,1))</f>
      </c>
      <c r="G15" s="23">
        <f>IF(B15="","",IF(MINIFS(Engine!$A$4:$A$363,Engine!$BH$4:$BH$363,"&lt;=0.01")=0,"30+ yrs",EDATE(TODAY(),MINIFS(Engine!$A$4:$A$363,Engine!$BH$4:$BH$363,"&lt;=0.01"))))</f>
      </c>
      <c r="J15" s="0">
        <f>IF(B15="",1000000000+ROW()*0.000001,IF($C$5="Snowball",C15,-D15)+ROW()*0.000001)</f>
      </c>
    </row>
    <row r="16" ht="20" customHeight="1">
      <c r="B16" s="12"/>
      <c r="C16" s="14"/>
      <c r="D16" s="21"/>
      <c r="E16" s="14"/>
      <c r="F16" s="22">
        <f>IF(B16="","",RANK(J16,$J$11:$J$28,1))</f>
      </c>
      <c r="G16" s="23">
        <f>IF(B16="","",IF(MINIFS(Engine!$A$4:$A$363,Engine!$BI$4:$BI$363,"&lt;=0.01")=0,"30+ yrs",EDATE(TODAY(),MINIFS(Engine!$A$4:$A$363,Engine!$BI$4:$BI$363,"&lt;=0.01"))))</f>
      </c>
      <c r="J16" s="0">
        <f>IF(B16="",1000000000+ROW()*0.000001,IF($C$5="Snowball",C16,-D16)+ROW()*0.000001)</f>
      </c>
    </row>
    <row r="17" ht="20" customHeight="1">
      <c r="B17" s="12"/>
      <c r="C17" s="14"/>
      <c r="D17" s="21"/>
      <c r="E17" s="14"/>
      <c r="F17" s="22">
        <f>IF(B17="","",RANK(J17,$J$11:$J$28,1))</f>
      </c>
      <c r="G17" s="23">
        <f>IF(B17="","",IF(MINIFS(Engine!$A$4:$A$363,Engine!$BJ$4:$BJ$363,"&lt;=0.01")=0,"30+ yrs",EDATE(TODAY(),MINIFS(Engine!$A$4:$A$363,Engine!$BJ$4:$BJ$363,"&lt;=0.01"))))</f>
      </c>
      <c r="J17" s="0">
        <f>IF(B17="",1000000000+ROW()*0.000001,IF($C$5="Snowball",C17,-D17)+ROW()*0.000001)</f>
      </c>
    </row>
    <row r="18" ht="20" customHeight="1">
      <c r="B18" s="12"/>
      <c r="C18" s="14"/>
      <c r="D18" s="21"/>
      <c r="E18" s="14"/>
      <c r="F18" s="22">
        <f>IF(B18="","",RANK(J18,$J$11:$J$28,1))</f>
      </c>
      <c r="G18" s="23">
        <f>IF(B18="","",IF(MINIFS(Engine!$A$4:$A$363,Engine!$BK$4:$BK$363,"&lt;=0.01")=0,"30+ yrs",EDATE(TODAY(),MINIFS(Engine!$A$4:$A$363,Engine!$BK$4:$BK$363,"&lt;=0.01"))))</f>
      </c>
      <c r="J18" s="0">
        <f>IF(B18="",1000000000+ROW()*0.000001,IF($C$5="Snowball",C18,-D18)+ROW()*0.000001)</f>
      </c>
    </row>
    <row r="19" ht="20" customHeight="1">
      <c r="B19" s="12"/>
      <c r="C19" s="14"/>
      <c r="D19" s="21"/>
      <c r="E19" s="14"/>
      <c r="F19" s="22">
        <f>IF(B19="","",RANK(J19,$J$11:$J$28,1))</f>
      </c>
      <c r="G19" s="23">
        <f>IF(B19="","",IF(MINIFS(Engine!$A$4:$A$363,Engine!$BL$4:$BL$363,"&lt;=0.01")=0,"30+ yrs",EDATE(TODAY(),MINIFS(Engine!$A$4:$A$363,Engine!$BL$4:$BL$363,"&lt;=0.01"))))</f>
      </c>
      <c r="J19" s="0">
        <f>IF(B19="",1000000000+ROW()*0.000001,IF($C$5="Snowball",C19,-D19)+ROW()*0.000001)</f>
      </c>
    </row>
    <row r="20" ht="20" customHeight="1">
      <c r="B20" s="12"/>
      <c r="C20" s="14"/>
      <c r="D20" s="21"/>
      <c r="E20" s="14"/>
      <c r="F20" s="22">
        <f>IF(B20="","",RANK(J20,$J$11:$J$28,1))</f>
      </c>
      <c r="G20" s="23">
        <f>IF(B20="","",IF(MINIFS(Engine!$A$4:$A$363,Engine!$BM$4:$BM$363,"&lt;=0.01")=0,"30+ yrs",EDATE(TODAY(),MINIFS(Engine!$A$4:$A$363,Engine!$BM$4:$BM$363,"&lt;=0.01"))))</f>
      </c>
      <c r="J20" s="0">
        <f>IF(B20="",1000000000+ROW()*0.000001,IF($C$5="Snowball",C20,-D20)+ROW()*0.000001)</f>
      </c>
    </row>
    <row r="21" ht="20" customHeight="1">
      <c r="B21" s="12"/>
      <c r="C21" s="14"/>
      <c r="D21" s="21"/>
      <c r="E21" s="14"/>
      <c r="F21" s="22">
        <f>IF(B21="","",RANK(J21,$J$11:$J$28,1))</f>
      </c>
      <c r="G21" s="23">
        <f>IF(B21="","",IF(MINIFS(Engine!$A$4:$A$363,Engine!$BN$4:$BN$363,"&lt;=0.01")=0,"30+ yrs",EDATE(TODAY(),MINIFS(Engine!$A$4:$A$363,Engine!$BN$4:$BN$363,"&lt;=0.01"))))</f>
      </c>
      <c r="J21" s="0">
        <f>IF(B21="",1000000000+ROW()*0.000001,IF($C$5="Snowball",C21,-D21)+ROW()*0.000001)</f>
      </c>
    </row>
    <row r="22" ht="20" customHeight="1">
      <c r="B22" s="12"/>
      <c r="C22" s="14"/>
      <c r="D22" s="21"/>
      <c r="E22" s="14"/>
      <c r="F22" s="22">
        <f>IF(B22="","",RANK(J22,$J$11:$J$28,1))</f>
      </c>
      <c r="G22" s="23">
        <f>IF(B22="","",IF(MINIFS(Engine!$A$4:$A$363,Engine!$BO$4:$BO$363,"&lt;=0.01")=0,"30+ yrs",EDATE(TODAY(),MINIFS(Engine!$A$4:$A$363,Engine!$BO$4:$BO$363,"&lt;=0.01"))))</f>
      </c>
      <c r="J22" s="0">
        <f>IF(B22="",1000000000+ROW()*0.000001,IF($C$5="Snowball",C22,-D22)+ROW()*0.000001)</f>
      </c>
    </row>
    <row r="23" ht="20" customHeight="1">
      <c r="B23" s="12"/>
      <c r="C23" s="14"/>
      <c r="D23" s="21"/>
      <c r="E23" s="14"/>
      <c r="F23" s="22">
        <f>IF(B23="","",RANK(J23,$J$11:$J$28,1))</f>
      </c>
      <c r="G23" s="23">
        <f>IF(B23="","",IF(MINIFS(Engine!$A$4:$A$363,Engine!$BP$4:$BP$363,"&lt;=0.01")=0,"30+ yrs",EDATE(TODAY(),MINIFS(Engine!$A$4:$A$363,Engine!$BP$4:$BP$363,"&lt;=0.01"))))</f>
      </c>
      <c r="J23" s="0">
        <f>IF(B23="",1000000000+ROW()*0.000001,IF($C$5="Snowball",C23,-D23)+ROW()*0.000001)</f>
      </c>
    </row>
    <row r="24" ht="20" customHeight="1">
      <c r="B24" s="12"/>
      <c r="C24" s="14"/>
      <c r="D24" s="21"/>
      <c r="E24" s="14"/>
      <c r="F24" s="22">
        <f>IF(B24="","",RANK(J24,$J$11:$J$28,1))</f>
      </c>
      <c r="G24" s="23">
        <f>IF(B24="","",IF(MINIFS(Engine!$A$4:$A$363,Engine!$BQ$4:$BQ$363,"&lt;=0.01")=0,"30+ yrs",EDATE(TODAY(),MINIFS(Engine!$A$4:$A$363,Engine!$BQ$4:$BQ$363,"&lt;=0.01"))))</f>
      </c>
      <c r="J24" s="0">
        <f>IF(B24="",1000000000+ROW()*0.000001,IF($C$5="Snowball",C24,-D24)+ROW()*0.000001)</f>
      </c>
    </row>
    <row r="25" ht="20" customHeight="1">
      <c r="B25" s="12"/>
      <c r="C25" s="14"/>
      <c r="D25" s="21"/>
      <c r="E25" s="14"/>
      <c r="F25" s="22">
        <f>IF(B25="","",RANK(J25,$J$11:$J$28,1))</f>
      </c>
      <c r="G25" s="23">
        <f>IF(B25="","",IF(MINIFS(Engine!$A$4:$A$363,Engine!$BR$4:$BR$363,"&lt;=0.01")=0,"30+ yrs",EDATE(TODAY(),MINIFS(Engine!$A$4:$A$363,Engine!$BR$4:$BR$363,"&lt;=0.01"))))</f>
      </c>
      <c r="J25" s="0">
        <f>IF(B25="",1000000000+ROW()*0.000001,IF($C$5="Snowball",C25,-D25)+ROW()*0.000001)</f>
      </c>
    </row>
    <row r="26" ht="20" customHeight="1">
      <c r="B26" s="12"/>
      <c r="C26" s="14"/>
      <c r="D26" s="21"/>
      <c r="E26" s="14"/>
      <c r="F26" s="22">
        <f>IF(B26="","",RANK(J26,$J$11:$J$28,1))</f>
      </c>
      <c r="G26" s="23">
        <f>IF(B26="","",IF(MINIFS(Engine!$A$4:$A$363,Engine!$BS$4:$BS$363,"&lt;=0.01")=0,"30+ yrs",EDATE(TODAY(),MINIFS(Engine!$A$4:$A$363,Engine!$BS$4:$BS$363,"&lt;=0.01"))))</f>
      </c>
      <c r="J26" s="0">
        <f>IF(B26="",1000000000+ROW()*0.000001,IF($C$5="Snowball",C26,-D26)+ROW()*0.000001)</f>
      </c>
    </row>
    <row r="27" ht="20" customHeight="1">
      <c r="B27" s="12"/>
      <c r="C27" s="14"/>
      <c r="D27" s="21"/>
      <c r="E27" s="14"/>
      <c r="F27" s="22">
        <f>IF(B27="","",RANK(J27,$J$11:$J$28,1))</f>
      </c>
      <c r="G27" s="23">
        <f>IF(B27="","",IF(MINIFS(Engine!$A$4:$A$363,Engine!$BT$4:$BT$363,"&lt;=0.01")=0,"30+ yrs",EDATE(TODAY(),MINIFS(Engine!$A$4:$A$363,Engine!$BT$4:$BT$363,"&lt;=0.01"))))</f>
      </c>
      <c r="J27" s="0">
        <f>IF(B27="",1000000000+ROW()*0.000001,IF($C$5="Snowball",C27,-D27)+ROW()*0.000001)</f>
      </c>
    </row>
    <row r="28" ht="20" customHeight="1">
      <c r="B28" s="12"/>
      <c r="C28" s="14"/>
      <c r="D28" s="21"/>
      <c r="E28" s="14"/>
      <c r="F28" s="22">
        <f>IF(B28="","",RANK(J28,$J$11:$J$28,1))</f>
      </c>
      <c r="G28" s="23">
        <f>IF(B28="","",IF(MINIFS(Engine!$A$4:$A$363,Engine!$BU$4:$BU$363,"&lt;=0.01")=0,"30+ yrs",EDATE(TODAY(),MINIFS(Engine!$A$4:$A$363,Engine!$BU$4:$BU$363,"&lt;=0.01"))))</f>
      </c>
      <c r="J28" s="0">
        <f>IF(B28="",1000000000+ROW()*0.000001,IF($C$5="Snowball",C28,-D28)+ROW()*0.000001)</f>
      </c>
    </row>
    <row r="30">
      <c r="B30" s="24">
        <f>IF(SUM(C11:C28)=0,"Add your debts above to see your debt-free date.",IF(Engine!$CD$1=0,"With this plan the debt is not cleared within 30 years. Increase your extra payment to see a date.","You will be debt-free in "&amp;Engine!$CD$1&amp;" months, by "&amp;TEXT(EDATE(TODAY(),Engine!$CD$1),"mmm yyyy")&amp;", after paying $"&amp;TEXT(SUM(Engine!$BZ$4:$BZ$363),"#,##0")&amp;" in interest. Switch the method above to compare."))</f>
      </c>
      <c r="C30" s="25"/>
      <c r="D30" s="25"/>
      <c r="E30" s="25"/>
      <c r="F30" s="25"/>
      <c r="G30" s="25"/>
    </row>
    <row r="31">
      <c r="B31" s="25"/>
      <c r="C31" s="25"/>
      <c r="D31" s="25"/>
      <c r="E31" s="25"/>
      <c r="F31" s="25"/>
      <c r="G31" s="25"/>
    </row>
    <row r="32">
      <c r="B32" s="26" t="s">
        <v>32</v>
      </c>
      <c r="C32" s="26"/>
      <c r="D32" s="26"/>
      <c r="E32" s="26"/>
      <c r="F32" s="26"/>
      <c r="G32" s="26"/>
    </row>
  </sheetData>
  <mergeCells>
    <mergeCell ref="B1:Q1"/>
    <mergeCell ref="B2:Q2"/>
    <mergeCell ref="B4:C4"/>
    <mergeCell ref="E4:G4"/>
    <mergeCell ref="E5:F5"/>
    <mergeCell ref="E6:F6"/>
    <mergeCell ref="E7:F7"/>
    <mergeCell ref="E8:F8"/>
    <mergeCell ref="B30:G31"/>
    <mergeCell ref="B32:G32"/>
  </mergeCells>
  <dataValidations count="1">
    <dataValidation type="list" sqref="C5" showErrorMessage="0">
      <formula1>"Avalanche,Snowball"</formula1>
    </dataValidation>
  </dataValidations>
  <headerFooter/>
</worksheet>
</file>

<file path=xl/worksheets/sheet3.xml><?xml version="1.0" encoding="utf-8"?>
<worksheet xmlns:r="http://schemas.openxmlformats.org/officeDocument/2006/relationships" xmlns="http://schemas.openxmlformats.org/spreadsheetml/2006/main">
  <dimension ref="A1:CD363"/>
  <sheetViews>
    <sheetView workbookViewId="0" showGridLines="0"/>
  </sheetViews>
  <sheetFormatPr defaultRowHeight="15"/>
  <sheetData>
    <row r="1">
      <c r="A1" s="5" t="s">
        <v>33</v>
      </c>
      <c r="CD1" s="27">
        <f>MINIFS($A$4:$A$363,$BY$4:$BY$363,"&lt;=0.01")</f>
      </c>
    </row>
    <row r="2">
      <c r="T2" s="0">
        <f>IF(Calculator!$B$11="",9999,Calculator!$F$11)</f>
      </c>
      <c r="U2" s="0">
        <f>IF(Calculator!$B$12="",9999,Calculator!$F$12)</f>
      </c>
      <c r="V2" s="0">
        <f>IF(Calculator!$B$13="",9999,Calculator!$F$13)</f>
      </c>
      <c r="W2" s="0">
        <f>IF(Calculator!$B$14="",9999,Calculator!$F$14)</f>
      </c>
      <c r="X2" s="0">
        <f>IF(Calculator!$B$15="",9999,Calculator!$F$15)</f>
      </c>
      <c r="Y2" s="0">
        <f>IF(Calculator!$B$16="",9999,Calculator!$F$16)</f>
      </c>
      <c r="Z2" s="0">
        <f>IF(Calculator!$B$17="",9999,Calculator!$F$17)</f>
      </c>
      <c r="AA2" s="0">
        <f>IF(Calculator!$B$18="",9999,Calculator!$F$18)</f>
      </c>
      <c r="AB2" s="0">
        <f>IF(Calculator!$B$19="",9999,Calculator!$F$19)</f>
      </c>
      <c r="AC2" s="0">
        <f>IF(Calculator!$B$20="",9999,Calculator!$F$20)</f>
      </c>
      <c r="AD2" s="0">
        <f>IF(Calculator!$B$21="",9999,Calculator!$F$21)</f>
      </c>
      <c r="AE2" s="0">
        <f>IF(Calculator!$B$22="",9999,Calculator!$F$22)</f>
      </c>
      <c r="AF2" s="0">
        <f>IF(Calculator!$B$23="",9999,Calculator!$F$23)</f>
      </c>
      <c r="AG2" s="0">
        <f>IF(Calculator!$B$24="",9999,Calculator!$F$24)</f>
      </c>
      <c r="AH2" s="0">
        <f>IF(Calculator!$B$25="",9999,Calculator!$F$25)</f>
      </c>
      <c r="AI2" s="0">
        <f>IF(Calculator!$B$26="",9999,Calculator!$F$26)</f>
      </c>
      <c r="AJ2" s="0">
        <f>IF(Calculator!$B$27="",9999,Calculator!$F$27)</f>
      </c>
      <c r="AK2" s="0">
        <f>IF(Calculator!$B$28="",9999,Calculator!$F$28)</f>
      </c>
    </row>
    <row r="3">
      <c r="A3" s="0">
        <v>0</v>
      </c>
      <c r="BD3" s="0">
        <f>Calculator!$C$11</f>
      </c>
      <c r="BE3" s="0">
        <f>Calculator!$C$12</f>
      </c>
      <c r="BF3" s="0">
        <f>Calculator!$C$13</f>
      </c>
      <c r="BG3" s="0">
        <f>Calculator!$C$14</f>
      </c>
      <c r="BH3" s="0">
        <f>Calculator!$C$15</f>
      </c>
      <c r="BI3" s="0">
        <f>Calculator!$C$16</f>
      </c>
      <c r="BJ3" s="0">
        <f>Calculator!$C$17</f>
      </c>
      <c r="BK3" s="0">
        <f>Calculator!$C$18</f>
      </c>
      <c r="BL3" s="0">
        <f>Calculator!$C$19</f>
      </c>
      <c r="BM3" s="0">
        <f>Calculator!$C$20</f>
      </c>
      <c r="BN3" s="0">
        <f>Calculator!$C$21</f>
      </c>
      <c r="BO3" s="0">
        <f>Calculator!$C$22</f>
      </c>
      <c r="BP3" s="0">
        <f>Calculator!$C$23</f>
      </c>
      <c r="BQ3" s="0">
        <f>Calculator!$C$24</f>
      </c>
      <c r="BR3" s="0">
        <f>Calculator!$C$25</f>
      </c>
      <c r="BS3" s="0">
        <f>Calculator!$C$26</f>
      </c>
      <c r="BT3" s="0">
        <f>Calculator!$C$27</f>
      </c>
      <c r="BU3" s="0">
        <f>Calculator!$C$28</f>
      </c>
      <c r="BV3" s="0">
        <f>SUM(B3:S3)</f>
      </c>
      <c r="BW3" s="0">
        <f>SUM(T3:AK3)</f>
      </c>
      <c r="BX3" s="0">
        <v>0</v>
      </c>
      <c r="BY3" s="0">
        <f>SUM(BD3:BU3)</f>
      </c>
      <c r="BZ3" s="0">
        <v>0</v>
      </c>
      <c r="CA3" s="0">
        <f>IF(A3&lt;=IF($CD$1=0,999,$CD$1),BY3,NA())</f>
      </c>
      <c r="CB3" s="0">
        <f>IF(A3&lt;=IF($CD$1=0,999,$CD$1),A3,NA())</f>
      </c>
    </row>
    <row r="4">
      <c r="A4" s="0">
        <v>1</v>
      </c>
      <c r="B4" s="0">
        <f>BD3*(1+Calculator!$D$11/100/12)</f>
      </c>
      <c r="C4" s="0">
        <f>BE3*(1+Calculator!$D$12/100/12)</f>
      </c>
      <c r="D4" s="0">
        <f>BF3*(1+Calculator!$D$13/100/12)</f>
      </c>
      <c r="E4" s="0">
        <f>BG3*(1+Calculator!$D$14/100/12)</f>
      </c>
      <c r="F4" s="0">
        <f>BH3*(1+Calculator!$D$15/100/12)</f>
      </c>
      <c r="G4" s="0">
        <f>BI3*(1+Calculator!$D$16/100/12)</f>
      </c>
      <c r="H4" s="0">
        <f>BJ3*(1+Calculator!$D$17/100/12)</f>
      </c>
      <c r="I4" s="0">
        <f>BK3*(1+Calculator!$D$18/100/12)</f>
      </c>
      <c r="J4" s="0">
        <f>BL3*(1+Calculator!$D$19/100/12)</f>
      </c>
      <c r="K4" s="0">
        <f>BM3*(1+Calculator!$D$20/100/12)</f>
      </c>
      <c r="L4" s="0">
        <f>BN3*(1+Calculator!$D$21/100/12)</f>
      </c>
      <c r="M4" s="0">
        <f>BO3*(1+Calculator!$D$22/100/12)</f>
      </c>
      <c r="N4" s="0">
        <f>BP3*(1+Calculator!$D$23/100/12)</f>
      </c>
      <c r="O4" s="0">
        <f>BQ3*(1+Calculator!$D$24/100/12)</f>
      </c>
      <c r="P4" s="0">
        <f>BR3*(1+Calculator!$D$25/100/12)</f>
      </c>
      <c r="Q4" s="0">
        <f>BS3*(1+Calculator!$D$26/100/12)</f>
      </c>
      <c r="R4" s="0">
        <f>BT3*(1+Calculator!$D$27/100/12)</f>
      </c>
      <c r="S4" s="0">
        <f>BU3*(1+Calculator!$D$28/100/12)</f>
      </c>
      <c r="T4" s="0">
        <f>MAX(0,B4-Calculator!$E$11)</f>
      </c>
      <c r="U4" s="0">
        <f>MAX(0,C4-Calculator!$E$12)</f>
      </c>
      <c r="V4" s="0">
        <f>MAX(0,D4-Calculator!$E$13)</f>
      </c>
      <c r="W4" s="0">
        <f>MAX(0,E4-Calculator!$E$14)</f>
      </c>
      <c r="X4" s="0">
        <f>MAX(0,F4-Calculator!$E$15)</f>
      </c>
      <c r="Y4" s="0">
        <f>MAX(0,G4-Calculator!$E$16)</f>
      </c>
      <c r="Z4" s="0">
        <f>MAX(0,H4-Calculator!$E$17)</f>
      </c>
      <c r="AA4" s="0">
        <f>MAX(0,I4-Calculator!$E$18)</f>
      </c>
      <c r="AB4" s="0">
        <f>MAX(0,J4-Calculator!$E$19)</f>
      </c>
      <c r="AC4" s="0">
        <f>MAX(0,K4-Calculator!$E$20)</f>
      </c>
      <c r="AD4" s="0">
        <f>MAX(0,L4-Calculator!$E$21)</f>
      </c>
      <c r="AE4" s="0">
        <f>MAX(0,M4-Calculator!$E$22)</f>
      </c>
      <c r="AF4" s="0">
        <f>MAX(0,N4-Calculator!$E$23)</f>
      </c>
      <c r="AG4" s="0">
        <f>MAX(0,O4-Calculator!$E$24)</f>
      </c>
      <c r="AH4" s="0">
        <f>MAX(0,P4-Calculator!$E$25)</f>
      </c>
      <c r="AI4" s="0">
        <f>MAX(0,Q4-Calculator!$E$26)</f>
      </c>
      <c r="AJ4" s="0">
        <f>MAX(0,R4-Calculator!$E$27)</f>
      </c>
      <c r="AK4" s="0">
        <f>MAX(0,S4-Calculator!$E$28)</f>
      </c>
      <c r="AL4" s="0">
        <f>MAX(0,MIN(T4,BX4-SUMPRODUCT(($T$2:$AK$2&lt;T$2)*($T4:$AK4))))</f>
      </c>
      <c r="AM4" s="0">
        <f>MAX(0,MIN(U4,BX4-SUMPRODUCT(($T$2:$AK$2&lt;U$2)*($T4:$AK4))))</f>
      </c>
      <c r="AN4" s="0">
        <f>MAX(0,MIN(V4,BX4-SUMPRODUCT(($T$2:$AK$2&lt;V$2)*($T4:$AK4))))</f>
      </c>
      <c r="AO4" s="0">
        <f>MAX(0,MIN(W4,BX4-SUMPRODUCT(($T$2:$AK$2&lt;W$2)*($T4:$AK4))))</f>
      </c>
      <c r="AP4" s="0">
        <f>MAX(0,MIN(X4,BX4-SUMPRODUCT(($T$2:$AK$2&lt;X$2)*($T4:$AK4))))</f>
      </c>
      <c r="AQ4" s="0">
        <f>MAX(0,MIN(Y4,BX4-SUMPRODUCT(($T$2:$AK$2&lt;Y$2)*($T4:$AK4))))</f>
      </c>
      <c r="AR4" s="0">
        <f>MAX(0,MIN(Z4,BX4-SUMPRODUCT(($T$2:$AK$2&lt;Z$2)*($T4:$AK4))))</f>
      </c>
      <c r="AS4" s="0">
        <f>MAX(0,MIN(AA4,BX4-SUMPRODUCT(($T$2:$AK$2&lt;AA$2)*($T4:$AK4))))</f>
      </c>
      <c r="AT4" s="0">
        <f>MAX(0,MIN(AB4,BX4-SUMPRODUCT(($T$2:$AK$2&lt;AB$2)*($T4:$AK4))))</f>
      </c>
      <c r="AU4" s="0">
        <f>MAX(0,MIN(AC4,BX4-SUMPRODUCT(($T$2:$AK$2&lt;AC$2)*($T4:$AK4))))</f>
      </c>
      <c r="AV4" s="0">
        <f>MAX(0,MIN(AD4,BX4-SUMPRODUCT(($T$2:$AK$2&lt;AD$2)*($T4:$AK4))))</f>
      </c>
      <c r="AW4" s="0">
        <f>MAX(0,MIN(AE4,BX4-SUMPRODUCT(($T$2:$AK$2&lt;AE$2)*($T4:$AK4))))</f>
      </c>
      <c r="AX4" s="0">
        <f>MAX(0,MIN(AF4,BX4-SUMPRODUCT(($T$2:$AK$2&lt;AF$2)*($T4:$AK4))))</f>
      </c>
      <c r="AY4" s="0">
        <f>MAX(0,MIN(AG4,BX4-SUMPRODUCT(($T$2:$AK$2&lt;AG$2)*($T4:$AK4))))</f>
      </c>
      <c r="AZ4" s="0">
        <f>MAX(0,MIN(AH4,BX4-SUMPRODUCT(($T$2:$AK$2&lt;AH$2)*($T4:$AK4))))</f>
      </c>
      <c r="BA4" s="0">
        <f>MAX(0,MIN(AI4,BX4-SUMPRODUCT(($T$2:$AK$2&lt;AI$2)*($T4:$AK4))))</f>
      </c>
      <c r="BB4" s="0">
        <f>MAX(0,MIN(AJ4,BX4-SUMPRODUCT(($T$2:$AK$2&lt;AJ$2)*($T4:$AK4))))</f>
      </c>
      <c r="BC4" s="0">
        <f>MAX(0,MIN(AK4,BX4-SUMPRODUCT(($T$2:$AK$2&lt;AK$2)*($T4:$AK4))))</f>
      </c>
      <c r="BD4" s="0">
        <f>T4-AL4</f>
      </c>
      <c r="BE4" s="0">
        <f>U4-AM4</f>
      </c>
      <c r="BF4" s="0">
        <f>V4-AN4</f>
      </c>
      <c r="BG4" s="0">
        <f>W4-AO4</f>
      </c>
      <c r="BH4" s="0">
        <f>X4-AP4</f>
      </c>
      <c r="BI4" s="0">
        <f>Y4-AQ4</f>
      </c>
      <c r="BJ4" s="0">
        <f>Z4-AR4</f>
      </c>
      <c r="BK4" s="0">
        <f>AA4-AS4</f>
      </c>
      <c r="BL4" s="0">
        <f>AB4-AT4</f>
      </c>
      <c r="BM4" s="0">
        <f>AC4-AU4</f>
      </c>
      <c r="BN4" s="0">
        <f>AD4-AV4</f>
      </c>
      <c r="BO4" s="0">
        <f>AE4-AW4</f>
      </c>
      <c r="BP4" s="0">
        <f>AF4-AX4</f>
      </c>
      <c r="BQ4" s="0">
        <f>AG4-AY4</f>
      </c>
      <c r="BR4" s="0">
        <f>AH4-AZ4</f>
      </c>
      <c r="BS4" s="0">
        <f>AI4-BA4</f>
      </c>
      <c r="BT4" s="0">
        <f>AJ4-BB4</f>
      </c>
      <c r="BU4" s="0">
        <f>AK4-BC4</f>
      </c>
      <c r="BV4" s="0">
        <f>SUM(B4:S4)</f>
      </c>
      <c r="BW4" s="0">
        <f>SUM(T4:AK4)</f>
      </c>
      <c r="BX4" s="0">
        <f>MAX(0,(SUM(Calculator!$E$11:$E$28)+Calculator!$C$6)-BV4+BW4)</f>
      </c>
      <c r="BY4" s="0">
        <f>SUM(BD4:BU4)</f>
      </c>
      <c r="BZ4" s="0">
        <f>BV4-BY3</f>
      </c>
      <c r="CA4" s="0">
        <f>IF(A4&lt;=IF($CD$1=0,999,$CD$1),BY4,NA())</f>
      </c>
      <c r="CB4" s="0">
        <f>IF(A4&lt;=IF($CD$1=0,999,$CD$1),A4,NA())</f>
      </c>
    </row>
    <row r="5">
      <c r="A5" s="0">
        <v>2</v>
      </c>
      <c r="B5" s="0">
        <f>BD4*(1+Calculator!$D$11/100/12)</f>
      </c>
      <c r="C5" s="0">
        <f>BE4*(1+Calculator!$D$12/100/12)</f>
      </c>
      <c r="D5" s="0">
        <f>BF4*(1+Calculator!$D$13/100/12)</f>
      </c>
      <c r="E5" s="0">
        <f>BG4*(1+Calculator!$D$14/100/12)</f>
      </c>
      <c r="F5" s="0">
        <f>BH4*(1+Calculator!$D$15/100/12)</f>
      </c>
      <c r="G5" s="0">
        <f>BI4*(1+Calculator!$D$16/100/12)</f>
      </c>
      <c r="H5" s="0">
        <f>BJ4*(1+Calculator!$D$17/100/12)</f>
      </c>
      <c r="I5" s="0">
        <f>BK4*(1+Calculator!$D$18/100/12)</f>
      </c>
      <c r="J5" s="0">
        <f>BL4*(1+Calculator!$D$19/100/12)</f>
      </c>
      <c r="K5" s="0">
        <f>BM4*(1+Calculator!$D$20/100/12)</f>
      </c>
      <c r="L5" s="0">
        <f>BN4*(1+Calculator!$D$21/100/12)</f>
      </c>
      <c r="M5" s="0">
        <f>BO4*(1+Calculator!$D$22/100/12)</f>
      </c>
      <c r="N5" s="0">
        <f>BP4*(1+Calculator!$D$23/100/12)</f>
      </c>
      <c r="O5" s="0">
        <f>BQ4*(1+Calculator!$D$24/100/12)</f>
      </c>
      <c r="P5" s="0">
        <f>BR4*(1+Calculator!$D$25/100/12)</f>
      </c>
      <c r="Q5" s="0">
        <f>BS4*(1+Calculator!$D$26/100/12)</f>
      </c>
      <c r="R5" s="0">
        <f>BT4*(1+Calculator!$D$27/100/12)</f>
      </c>
      <c r="S5" s="0">
        <f>BU4*(1+Calculator!$D$28/100/12)</f>
      </c>
      <c r="T5" s="0">
        <f>MAX(0,B5-Calculator!$E$11)</f>
      </c>
      <c r="U5" s="0">
        <f>MAX(0,C5-Calculator!$E$12)</f>
      </c>
      <c r="V5" s="0">
        <f>MAX(0,D5-Calculator!$E$13)</f>
      </c>
      <c r="W5" s="0">
        <f>MAX(0,E5-Calculator!$E$14)</f>
      </c>
      <c r="X5" s="0">
        <f>MAX(0,F5-Calculator!$E$15)</f>
      </c>
      <c r="Y5" s="0">
        <f>MAX(0,G5-Calculator!$E$16)</f>
      </c>
      <c r="Z5" s="0">
        <f>MAX(0,H5-Calculator!$E$17)</f>
      </c>
      <c r="AA5" s="0">
        <f>MAX(0,I5-Calculator!$E$18)</f>
      </c>
      <c r="AB5" s="0">
        <f>MAX(0,J5-Calculator!$E$19)</f>
      </c>
      <c r="AC5" s="0">
        <f>MAX(0,K5-Calculator!$E$20)</f>
      </c>
      <c r="AD5" s="0">
        <f>MAX(0,L5-Calculator!$E$21)</f>
      </c>
      <c r="AE5" s="0">
        <f>MAX(0,M5-Calculator!$E$22)</f>
      </c>
      <c r="AF5" s="0">
        <f>MAX(0,N5-Calculator!$E$23)</f>
      </c>
      <c r="AG5" s="0">
        <f>MAX(0,O5-Calculator!$E$24)</f>
      </c>
      <c r="AH5" s="0">
        <f>MAX(0,P5-Calculator!$E$25)</f>
      </c>
      <c r="AI5" s="0">
        <f>MAX(0,Q5-Calculator!$E$26)</f>
      </c>
      <c r="AJ5" s="0">
        <f>MAX(0,R5-Calculator!$E$27)</f>
      </c>
      <c r="AK5" s="0">
        <f>MAX(0,S5-Calculator!$E$28)</f>
      </c>
      <c r="AL5" s="0">
        <f>MAX(0,MIN(T5,BX5-SUMPRODUCT(($T$2:$AK$2&lt;T$2)*($T5:$AK5))))</f>
      </c>
      <c r="AM5" s="0">
        <f>MAX(0,MIN(U5,BX5-SUMPRODUCT(($T$2:$AK$2&lt;U$2)*($T5:$AK5))))</f>
      </c>
      <c r="AN5" s="0">
        <f>MAX(0,MIN(V5,BX5-SUMPRODUCT(($T$2:$AK$2&lt;V$2)*($T5:$AK5))))</f>
      </c>
      <c r="AO5" s="0">
        <f>MAX(0,MIN(W5,BX5-SUMPRODUCT(($T$2:$AK$2&lt;W$2)*($T5:$AK5))))</f>
      </c>
      <c r="AP5" s="0">
        <f>MAX(0,MIN(X5,BX5-SUMPRODUCT(($T$2:$AK$2&lt;X$2)*($T5:$AK5))))</f>
      </c>
      <c r="AQ5" s="0">
        <f>MAX(0,MIN(Y5,BX5-SUMPRODUCT(($T$2:$AK$2&lt;Y$2)*($T5:$AK5))))</f>
      </c>
      <c r="AR5" s="0">
        <f>MAX(0,MIN(Z5,BX5-SUMPRODUCT(($T$2:$AK$2&lt;Z$2)*($T5:$AK5))))</f>
      </c>
      <c r="AS5" s="0">
        <f>MAX(0,MIN(AA5,BX5-SUMPRODUCT(($T$2:$AK$2&lt;AA$2)*($T5:$AK5))))</f>
      </c>
      <c r="AT5" s="0">
        <f>MAX(0,MIN(AB5,BX5-SUMPRODUCT(($T$2:$AK$2&lt;AB$2)*($T5:$AK5))))</f>
      </c>
      <c r="AU5" s="0">
        <f>MAX(0,MIN(AC5,BX5-SUMPRODUCT(($T$2:$AK$2&lt;AC$2)*($T5:$AK5))))</f>
      </c>
      <c r="AV5" s="0">
        <f>MAX(0,MIN(AD5,BX5-SUMPRODUCT(($T$2:$AK$2&lt;AD$2)*($T5:$AK5))))</f>
      </c>
      <c r="AW5" s="0">
        <f>MAX(0,MIN(AE5,BX5-SUMPRODUCT(($T$2:$AK$2&lt;AE$2)*($T5:$AK5))))</f>
      </c>
      <c r="AX5" s="0">
        <f>MAX(0,MIN(AF5,BX5-SUMPRODUCT(($T$2:$AK$2&lt;AF$2)*($T5:$AK5))))</f>
      </c>
      <c r="AY5" s="0">
        <f>MAX(0,MIN(AG5,BX5-SUMPRODUCT(($T$2:$AK$2&lt;AG$2)*($T5:$AK5))))</f>
      </c>
      <c r="AZ5" s="0">
        <f>MAX(0,MIN(AH5,BX5-SUMPRODUCT(($T$2:$AK$2&lt;AH$2)*($T5:$AK5))))</f>
      </c>
      <c r="BA5" s="0">
        <f>MAX(0,MIN(AI5,BX5-SUMPRODUCT(($T$2:$AK$2&lt;AI$2)*($T5:$AK5))))</f>
      </c>
      <c r="BB5" s="0">
        <f>MAX(0,MIN(AJ5,BX5-SUMPRODUCT(($T$2:$AK$2&lt;AJ$2)*($T5:$AK5))))</f>
      </c>
      <c r="BC5" s="0">
        <f>MAX(0,MIN(AK5,BX5-SUMPRODUCT(($T$2:$AK$2&lt;AK$2)*($T5:$AK5))))</f>
      </c>
      <c r="BD5" s="0">
        <f>T5-AL5</f>
      </c>
      <c r="BE5" s="0">
        <f>U5-AM5</f>
      </c>
      <c r="BF5" s="0">
        <f>V5-AN5</f>
      </c>
      <c r="BG5" s="0">
        <f>W5-AO5</f>
      </c>
      <c r="BH5" s="0">
        <f>X5-AP5</f>
      </c>
      <c r="BI5" s="0">
        <f>Y5-AQ5</f>
      </c>
      <c r="BJ5" s="0">
        <f>Z5-AR5</f>
      </c>
      <c r="BK5" s="0">
        <f>AA5-AS5</f>
      </c>
      <c r="BL5" s="0">
        <f>AB5-AT5</f>
      </c>
      <c r="BM5" s="0">
        <f>AC5-AU5</f>
      </c>
      <c r="BN5" s="0">
        <f>AD5-AV5</f>
      </c>
      <c r="BO5" s="0">
        <f>AE5-AW5</f>
      </c>
      <c r="BP5" s="0">
        <f>AF5-AX5</f>
      </c>
      <c r="BQ5" s="0">
        <f>AG5-AY5</f>
      </c>
      <c r="BR5" s="0">
        <f>AH5-AZ5</f>
      </c>
      <c r="BS5" s="0">
        <f>AI5-BA5</f>
      </c>
      <c r="BT5" s="0">
        <f>AJ5-BB5</f>
      </c>
      <c r="BU5" s="0">
        <f>AK5-BC5</f>
      </c>
      <c r="BV5" s="0">
        <f>SUM(B5:S5)</f>
      </c>
      <c r="BW5" s="0">
        <f>SUM(T5:AK5)</f>
      </c>
      <c r="BX5" s="0">
        <f>MAX(0,(SUM(Calculator!$E$11:$E$28)+Calculator!$C$6)-BV5+BW5)</f>
      </c>
      <c r="BY5" s="0">
        <f>SUM(BD5:BU5)</f>
      </c>
      <c r="BZ5" s="0">
        <f>BV5-BY4</f>
      </c>
      <c r="CA5" s="0">
        <f>IF(A5&lt;=IF($CD$1=0,999,$CD$1),BY5,NA())</f>
      </c>
      <c r="CB5" s="0">
        <f>IF(A5&lt;=IF($CD$1=0,999,$CD$1),A5,NA())</f>
      </c>
    </row>
    <row r="6">
      <c r="A6" s="0">
        <v>3</v>
      </c>
      <c r="B6" s="0">
        <f>BD5*(1+Calculator!$D$11/100/12)</f>
      </c>
      <c r="C6" s="0">
        <f>BE5*(1+Calculator!$D$12/100/12)</f>
      </c>
      <c r="D6" s="0">
        <f>BF5*(1+Calculator!$D$13/100/12)</f>
      </c>
      <c r="E6" s="0">
        <f>BG5*(1+Calculator!$D$14/100/12)</f>
      </c>
      <c r="F6" s="0">
        <f>BH5*(1+Calculator!$D$15/100/12)</f>
      </c>
      <c r="G6" s="0">
        <f>BI5*(1+Calculator!$D$16/100/12)</f>
      </c>
      <c r="H6" s="0">
        <f>BJ5*(1+Calculator!$D$17/100/12)</f>
      </c>
      <c r="I6" s="0">
        <f>BK5*(1+Calculator!$D$18/100/12)</f>
      </c>
      <c r="J6" s="0">
        <f>BL5*(1+Calculator!$D$19/100/12)</f>
      </c>
      <c r="K6" s="0">
        <f>BM5*(1+Calculator!$D$20/100/12)</f>
      </c>
      <c r="L6" s="0">
        <f>BN5*(1+Calculator!$D$21/100/12)</f>
      </c>
      <c r="M6" s="0">
        <f>BO5*(1+Calculator!$D$22/100/12)</f>
      </c>
      <c r="N6" s="0">
        <f>BP5*(1+Calculator!$D$23/100/12)</f>
      </c>
      <c r="O6" s="0">
        <f>BQ5*(1+Calculator!$D$24/100/12)</f>
      </c>
      <c r="P6" s="0">
        <f>BR5*(1+Calculator!$D$25/100/12)</f>
      </c>
      <c r="Q6" s="0">
        <f>BS5*(1+Calculator!$D$26/100/12)</f>
      </c>
      <c r="R6" s="0">
        <f>BT5*(1+Calculator!$D$27/100/12)</f>
      </c>
      <c r="S6" s="0">
        <f>BU5*(1+Calculator!$D$28/100/12)</f>
      </c>
      <c r="T6" s="0">
        <f>MAX(0,B6-Calculator!$E$11)</f>
      </c>
      <c r="U6" s="0">
        <f>MAX(0,C6-Calculator!$E$12)</f>
      </c>
      <c r="V6" s="0">
        <f>MAX(0,D6-Calculator!$E$13)</f>
      </c>
      <c r="W6" s="0">
        <f>MAX(0,E6-Calculator!$E$14)</f>
      </c>
      <c r="X6" s="0">
        <f>MAX(0,F6-Calculator!$E$15)</f>
      </c>
      <c r="Y6" s="0">
        <f>MAX(0,G6-Calculator!$E$16)</f>
      </c>
      <c r="Z6" s="0">
        <f>MAX(0,H6-Calculator!$E$17)</f>
      </c>
      <c r="AA6" s="0">
        <f>MAX(0,I6-Calculator!$E$18)</f>
      </c>
      <c r="AB6" s="0">
        <f>MAX(0,J6-Calculator!$E$19)</f>
      </c>
      <c r="AC6" s="0">
        <f>MAX(0,K6-Calculator!$E$20)</f>
      </c>
      <c r="AD6" s="0">
        <f>MAX(0,L6-Calculator!$E$21)</f>
      </c>
      <c r="AE6" s="0">
        <f>MAX(0,M6-Calculator!$E$22)</f>
      </c>
      <c r="AF6" s="0">
        <f>MAX(0,N6-Calculator!$E$23)</f>
      </c>
      <c r="AG6" s="0">
        <f>MAX(0,O6-Calculator!$E$24)</f>
      </c>
      <c r="AH6" s="0">
        <f>MAX(0,P6-Calculator!$E$25)</f>
      </c>
      <c r="AI6" s="0">
        <f>MAX(0,Q6-Calculator!$E$26)</f>
      </c>
      <c r="AJ6" s="0">
        <f>MAX(0,R6-Calculator!$E$27)</f>
      </c>
      <c r="AK6" s="0">
        <f>MAX(0,S6-Calculator!$E$28)</f>
      </c>
      <c r="AL6" s="0">
        <f>MAX(0,MIN(T6,BX6-SUMPRODUCT(($T$2:$AK$2&lt;T$2)*($T6:$AK6))))</f>
      </c>
      <c r="AM6" s="0">
        <f>MAX(0,MIN(U6,BX6-SUMPRODUCT(($T$2:$AK$2&lt;U$2)*($T6:$AK6))))</f>
      </c>
      <c r="AN6" s="0">
        <f>MAX(0,MIN(V6,BX6-SUMPRODUCT(($T$2:$AK$2&lt;V$2)*($T6:$AK6))))</f>
      </c>
      <c r="AO6" s="0">
        <f>MAX(0,MIN(W6,BX6-SUMPRODUCT(($T$2:$AK$2&lt;W$2)*($T6:$AK6))))</f>
      </c>
      <c r="AP6" s="0">
        <f>MAX(0,MIN(X6,BX6-SUMPRODUCT(($T$2:$AK$2&lt;X$2)*($T6:$AK6))))</f>
      </c>
      <c r="AQ6" s="0">
        <f>MAX(0,MIN(Y6,BX6-SUMPRODUCT(($T$2:$AK$2&lt;Y$2)*($T6:$AK6))))</f>
      </c>
      <c r="AR6" s="0">
        <f>MAX(0,MIN(Z6,BX6-SUMPRODUCT(($T$2:$AK$2&lt;Z$2)*($T6:$AK6))))</f>
      </c>
      <c r="AS6" s="0">
        <f>MAX(0,MIN(AA6,BX6-SUMPRODUCT(($T$2:$AK$2&lt;AA$2)*($T6:$AK6))))</f>
      </c>
      <c r="AT6" s="0">
        <f>MAX(0,MIN(AB6,BX6-SUMPRODUCT(($T$2:$AK$2&lt;AB$2)*($T6:$AK6))))</f>
      </c>
      <c r="AU6" s="0">
        <f>MAX(0,MIN(AC6,BX6-SUMPRODUCT(($T$2:$AK$2&lt;AC$2)*($T6:$AK6))))</f>
      </c>
      <c r="AV6" s="0">
        <f>MAX(0,MIN(AD6,BX6-SUMPRODUCT(($T$2:$AK$2&lt;AD$2)*($T6:$AK6))))</f>
      </c>
      <c r="AW6" s="0">
        <f>MAX(0,MIN(AE6,BX6-SUMPRODUCT(($T$2:$AK$2&lt;AE$2)*($T6:$AK6))))</f>
      </c>
      <c r="AX6" s="0">
        <f>MAX(0,MIN(AF6,BX6-SUMPRODUCT(($T$2:$AK$2&lt;AF$2)*($T6:$AK6))))</f>
      </c>
      <c r="AY6" s="0">
        <f>MAX(0,MIN(AG6,BX6-SUMPRODUCT(($T$2:$AK$2&lt;AG$2)*($T6:$AK6))))</f>
      </c>
      <c r="AZ6" s="0">
        <f>MAX(0,MIN(AH6,BX6-SUMPRODUCT(($T$2:$AK$2&lt;AH$2)*($T6:$AK6))))</f>
      </c>
      <c r="BA6" s="0">
        <f>MAX(0,MIN(AI6,BX6-SUMPRODUCT(($T$2:$AK$2&lt;AI$2)*($T6:$AK6))))</f>
      </c>
      <c r="BB6" s="0">
        <f>MAX(0,MIN(AJ6,BX6-SUMPRODUCT(($T$2:$AK$2&lt;AJ$2)*($T6:$AK6))))</f>
      </c>
      <c r="BC6" s="0">
        <f>MAX(0,MIN(AK6,BX6-SUMPRODUCT(($T$2:$AK$2&lt;AK$2)*($T6:$AK6))))</f>
      </c>
      <c r="BD6" s="0">
        <f>T6-AL6</f>
      </c>
      <c r="BE6" s="0">
        <f>U6-AM6</f>
      </c>
      <c r="BF6" s="0">
        <f>V6-AN6</f>
      </c>
      <c r="BG6" s="0">
        <f>W6-AO6</f>
      </c>
      <c r="BH6" s="0">
        <f>X6-AP6</f>
      </c>
      <c r="BI6" s="0">
        <f>Y6-AQ6</f>
      </c>
      <c r="BJ6" s="0">
        <f>Z6-AR6</f>
      </c>
      <c r="BK6" s="0">
        <f>AA6-AS6</f>
      </c>
      <c r="BL6" s="0">
        <f>AB6-AT6</f>
      </c>
      <c r="BM6" s="0">
        <f>AC6-AU6</f>
      </c>
      <c r="BN6" s="0">
        <f>AD6-AV6</f>
      </c>
      <c r="BO6" s="0">
        <f>AE6-AW6</f>
      </c>
      <c r="BP6" s="0">
        <f>AF6-AX6</f>
      </c>
      <c r="BQ6" s="0">
        <f>AG6-AY6</f>
      </c>
      <c r="BR6" s="0">
        <f>AH6-AZ6</f>
      </c>
      <c r="BS6" s="0">
        <f>AI6-BA6</f>
      </c>
      <c r="BT6" s="0">
        <f>AJ6-BB6</f>
      </c>
      <c r="BU6" s="0">
        <f>AK6-BC6</f>
      </c>
      <c r="BV6" s="0">
        <f>SUM(B6:S6)</f>
      </c>
      <c r="BW6" s="0">
        <f>SUM(T6:AK6)</f>
      </c>
      <c r="BX6" s="0">
        <f>MAX(0,(SUM(Calculator!$E$11:$E$28)+Calculator!$C$6)-BV6+BW6)</f>
      </c>
      <c r="BY6" s="0">
        <f>SUM(BD6:BU6)</f>
      </c>
      <c r="BZ6" s="0">
        <f>BV6-BY5</f>
      </c>
      <c r="CA6" s="0">
        <f>IF(A6&lt;=IF($CD$1=0,999,$CD$1),BY6,NA())</f>
      </c>
      <c r="CB6" s="0">
        <f>IF(A6&lt;=IF($CD$1=0,999,$CD$1),A6,NA())</f>
      </c>
    </row>
    <row r="7">
      <c r="A7" s="0">
        <v>4</v>
      </c>
      <c r="B7" s="0">
        <f>BD6*(1+Calculator!$D$11/100/12)</f>
      </c>
      <c r="C7" s="0">
        <f>BE6*(1+Calculator!$D$12/100/12)</f>
      </c>
      <c r="D7" s="0">
        <f>BF6*(1+Calculator!$D$13/100/12)</f>
      </c>
      <c r="E7" s="0">
        <f>BG6*(1+Calculator!$D$14/100/12)</f>
      </c>
      <c r="F7" s="0">
        <f>BH6*(1+Calculator!$D$15/100/12)</f>
      </c>
      <c r="G7" s="0">
        <f>BI6*(1+Calculator!$D$16/100/12)</f>
      </c>
      <c r="H7" s="0">
        <f>BJ6*(1+Calculator!$D$17/100/12)</f>
      </c>
      <c r="I7" s="0">
        <f>BK6*(1+Calculator!$D$18/100/12)</f>
      </c>
      <c r="J7" s="0">
        <f>BL6*(1+Calculator!$D$19/100/12)</f>
      </c>
      <c r="K7" s="0">
        <f>BM6*(1+Calculator!$D$20/100/12)</f>
      </c>
      <c r="L7" s="0">
        <f>BN6*(1+Calculator!$D$21/100/12)</f>
      </c>
      <c r="M7" s="0">
        <f>BO6*(1+Calculator!$D$22/100/12)</f>
      </c>
      <c r="N7" s="0">
        <f>BP6*(1+Calculator!$D$23/100/12)</f>
      </c>
      <c r="O7" s="0">
        <f>BQ6*(1+Calculator!$D$24/100/12)</f>
      </c>
      <c r="P7" s="0">
        <f>BR6*(1+Calculator!$D$25/100/12)</f>
      </c>
      <c r="Q7" s="0">
        <f>BS6*(1+Calculator!$D$26/100/12)</f>
      </c>
      <c r="R7" s="0">
        <f>BT6*(1+Calculator!$D$27/100/12)</f>
      </c>
      <c r="S7" s="0">
        <f>BU6*(1+Calculator!$D$28/100/12)</f>
      </c>
      <c r="T7" s="0">
        <f>MAX(0,B7-Calculator!$E$11)</f>
      </c>
      <c r="U7" s="0">
        <f>MAX(0,C7-Calculator!$E$12)</f>
      </c>
      <c r="V7" s="0">
        <f>MAX(0,D7-Calculator!$E$13)</f>
      </c>
      <c r="W7" s="0">
        <f>MAX(0,E7-Calculator!$E$14)</f>
      </c>
      <c r="X7" s="0">
        <f>MAX(0,F7-Calculator!$E$15)</f>
      </c>
      <c r="Y7" s="0">
        <f>MAX(0,G7-Calculator!$E$16)</f>
      </c>
      <c r="Z7" s="0">
        <f>MAX(0,H7-Calculator!$E$17)</f>
      </c>
      <c r="AA7" s="0">
        <f>MAX(0,I7-Calculator!$E$18)</f>
      </c>
      <c r="AB7" s="0">
        <f>MAX(0,J7-Calculator!$E$19)</f>
      </c>
      <c r="AC7" s="0">
        <f>MAX(0,K7-Calculator!$E$20)</f>
      </c>
      <c r="AD7" s="0">
        <f>MAX(0,L7-Calculator!$E$21)</f>
      </c>
      <c r="AE7" s="0">
        <f>MAX(0,M7-Calculator!$E$22)</f>
      </c>
      <c r="AF7" s="0">
        <f>MAX(0,N7-Calculator!$E$23)</f>
      </c>
      <c r="AG7" s="0">
        <f>MAX(0,O7-Calculator!$E$24)</f>
      </c>
      <c r="AH7" s="0">
        <f>MAX(0,P7-Calculator!$E$25)</f>
      </c>
      <c r="AI7" s="0">
        <f>MAX(0,Q7-Calculator!$E$26)</f>
      </c>
      <c r="AJ7" s="0">
        <f>MAX(0,R7-Calculator!$E$27)</f>
      </c>
      <c r="AK7" s="0">
        <f>MAX(0,S7-Calculator!$E$28)</f>
      </c>
      <c r="AL7" s="0">
        <f>MAX(0,MIN(T7,BX7-SUMPRODUCT(($T$2:$AK$2&lt;T$2)*($T7:$AK7))))</f>
      </c>
      <c r="AM7" s="0">
        <f>MAX(0,MIN(U7,BX7-SUMPRODUCT(($T$2:$AK$2&lt;U$2)*($T7:$AK7))))</f>
      </c>
      <c r="AN7" s="0">
        <f>MAX(0,MIN(V7,BX7-SUMPRODUCT(($T$2:$AK$2&lt;V$2)*($T7:$AK7))))</f>
      </c>
      <c r="AO7" s="0">
        <f>MAX(0,MIN(W7,BX7-SUMPRODUCT(($T$2:$AK$2&lt;W$2)*($T7:$AK7))))</f>
      </c>
      <c r="AP7" s="0">
        <f>MAX(0,MIN(X7,BX7-SUMPRODUCT(($T$2:$AK$2&lt;X$2)*($T7:$AK7))))</f>
      </c>
      <c r="AQ7" s="0">
        <f>MAX(0,MIN(Y7,BX7-SUMPRODUCT(($T$2:$AK$2&lt;Y$2)*($T7:$AK7))))</f>
      </c>
      <c r="AR7" s="0">
        <f>MAX(0,MIN(Z7,BX7-SUMPRODUCT(($T$2:$AK$2&lt;Z$2)*($T7:$AK7))))</f>
      </c>
      <c r="AS7" s="0">
        <f>MAX(0,MIN(AA7,BX7-SUMPRODUCT(($T$2:$AK$2&lt;AA$2)*($T7:$AK7))))</f>
      </c>
      <c r="AT7" s="0">
        <f>MAX(0,MIN(AB7,BX7-SUMPRODUCT(($T$2:$AK$2&lt;AB$2)*($T7:$AK7))))</f>
      </c>
      <c r="AU7" s="0">
        <f>MAX(0,MIN(AC7,BX7-SUMPRODUCT(($T$2:$AK$2&lt;AC$2)*($T7:$AK7))))</f>
      </c>
      <c r="AV7" s="0">
        <f>MAX(0,MIN(AD7,BX7-SUMPRODUCT(($T$2:$AK$2&lt;AD$2)*($T7:$AK7))))</f>
      </c>
      <c r="AW7" s="0">
        <f>MAX(0,MIN(AE7,BX7-SUMPRODUCT(($T$2:$AK$2&lt;AE$2)*($T7:$AK7))))</f>
      </c>
      <c r="AX7" s="0">
        <f>MAX(0,MIN(AF7,BX7-SUMPRODUCT(($T$2:$AK$2&lt;AF$2)*($T7:$AK7))))</f>
      </c>
      <c r="AY7" s="0">
        <f>MAX(0,MIN(AG7,BX7-SUMPRODUCT(($T$2:$AK$2&lt;AG$2)*($T7:$AK7))))</f>
      </c>
      <c r="AZ7" s="0">
        <f>MAX(0,MIN(AH7,BX7-SUMPRODUCT(($T$2:$AK$2&lt;AH$2)*($T7:$AK7))))</f>
      </c>
      <c r="BA7" s="0">
        <f>MAX(0,MIN(AI7,BX7-SUMPRODUCT(($T$2:$AK$2&lt;AI$2)*($T7:$AK7))))</f>
      </c>
      <c r="BB7" s="0">
        <f>MAX(0,MIN(AJ7,BX7-SUMPRODUCT(($T$2:$AK$2&lt;AJ$2)*($T7:$AK7))))</f>
      </c>
      <c r="BC7" s="0">
        <f>MAX(0,MIN(AK7,BX7-SUMPRODUCT(($T$2:$AK$2&lt;AK$2)*($T7:$AK7))))</f>
      </c>
      <c r="BD7" s="0">
        <f>T7-AL7</f>
      </c>
      <c r="BE7" s="0">
        <f>U7-AM7</f>
      </c>
      <c r="BF7" s="0">
        <f>V7-AN7</f>
      </c>
      <c r="BG7" s="0">
        <f>W7-AO7</f>
      </c>
      <c r="BH7" s="0">
        <f>X7-AP7</f>
      </c>
      <c r="BI7" s="0">
        <f>Y7-AQ7</f>
      </c>
      <c r="BJ7" s="0">
        <f>Z7-AR7</f>
      </c>
      <c r="BK7" s="0">
        <f>AA7-AS7</f>
      </c>
      <c r="BL7" s="0">
        <f>AB7-AT7</f>
      </c>
      <c r="BM7" s="0">
        <f>AC7-AU7</f>
      </c>
      <c r="BN7" s="0">
        <f>AD7-AV7</f>
      </c>
      <c r="BO7" s="0">
        <f>AE7-AW7</f>
      </c>
      <c r="BP7" s="0">
        <f>AF7-AX7</f>
      </c>
      <c r="BQ7" s="0">
        <f>AG7-AY7</f>
      </c>
      <c r="BR7" s="0">
        <f>AH7-AZ7</f>
      </c>
      <c r="BS7" s="0">
        <f>AI7-BA7</f>
      </c>
      <c r="BT7" s="0">
        <f>AJ7-BB7</f>
      </c>
      <c r="BU7" s="0">
        <f>AK7-BC7</f>
      </c>
      <c r="BV7" s="0">
        <f>SUM(B7:S7)</f>
      </c>
      <c r="BW7" s="0">
        <f>SUM(T7:AK7)</f>
      </c>
      <c r="BX7" s="0">
        <f>MAX(0,(SUM(Calculator!$E$11:$E$28)+Calculator!$C$6)-BV7+BW7)</f>
      </c>
      <c r="BY7" s="0">
        <f>SUM(BD7:BU7)</f>
      </c>
      <c r="BZ7" s="0">
        <f>BV7-BY6</f>
      </c>
      <c r="CA7" s="0">
        <f>IF(A7&lt;=IF($CD$1=0,999,$CD$1),BY7,NA())</f>
      </c>
      <c r="CB7" s="0">
        <f>IF(A7&lt;=IF($CD$1=0,999,$CD$1),A7,NA())</f>
      </c>
    </row>
    <row r="8">
      <c r="A8" s="0">
        <v>5</v>
      </c>
      <c r="B8" s="0">
        <f>BD7*(1+Calculator!$D$11/100/12)</f>
      </c>
      <c r="C8" s="0">
        <f>BE7*(1+Calculator!$D$12/100/12)</f>
      </c>
      <c r="D8" s="0">
        <f>BF7*(1+Calculator!$D$13/100/12)</f>
      </c>
      <c r="E8" s="0">
        <f>BG7*(1+Calculator!$D$14/100/12)</f>
      </c>
      <c r="F8" s="0">
        <f>BH7*(1+Calculator!$D$15/100/12)</f>
      </c>
      <c r="G8" s="0">
        <f>BI7*(1+Calculator!$D$16/100/12)</f>
      </c>
      <c r="H8" s="0">
        <f>BJ7*(1+Calculator!$D$17/100/12)</f>
      </c>
      <c r="I8" s="0">
        <f>BK7*(1+Calculator!$D$18/100/12)</f>
      </c>
      <c r="J8" s="0">
        <f>BL7*(1+Calculator!$D$19/100/12)</f>
      </c>
      <c r="K8" s="0">
        <f>BM7*(1+Calculator!$D$20/100/12)</f>
      </c>
      <c r="L8" s="0">
        <f>BN7*(1+Calculator!$D$21/100/12)</f>
      </c>
      <c r="M8" s="0">
        <f>BO7*(1+Calculator!$D$22/100/12)</f>
      </c>
      <c r="N8" s="0">
        <f>BP7*(1+Calculator!$D$23/100/12)</f>
      </c>
      <c r="O8" s="0">
        <f>BQ7*(1+Calculator!$D$24/100/12)</f>
      </c>
      <c r="P8" s="0">
        <f>BR7*(1+Calculator!$D$25/100/12)</f>
      </c>
      <c r="Q8" s="0">
        <f>BS7*(1+Calculator!$D$26/100/12)</f>
      </c>
      <c r="R8" s="0">
        <f>BT7*(1+Calculator!$D$27/100/12)</f>
      </c>
      <c r="S8" s="0">
        <f>BU7*(1+Calculator!$D$28/100/12)</f>
      </c>
      <c r="T8" s="0">
        <f>MAX(0,B8-Calculator!$E$11)</f>
      </c>
      <c r="U8" s="0">
        <f>MAX(0,C8-Calculator!$E$12)</f>
      </c>
      <c r="V8" s="0">
        <f>MAX(0,D8-Calculator!$E$13)</f>
      </c>
      <c r="W8" s="0">
        <f>MAX(0,E8-Calculator!$E$14)</f>
      </c>
      <c r="X8" s="0">
        <f>MAX(0,F8-Calculator!$E$15)</f>
      </c>
      <c r="Y8" s="0">
        <f>MAX(0,G8-Calculator!$E$16)</f>
      </c>
      <c r="Z8" s="0">
        <f>MAX(0,H8-Calculator!$E$17)</f>
      </c>
      <c r="AA8" s="0">
        <f>MAX(0,I8-Calculator!$E$18)</f>
      </c>
      <c r="AB8" s="0">
        <f>MAX(0,J8-Calculator!$E$19)</f>
      </c>
      <c r="AC8" s="0">
        <f>MAX(0,K8-Calculator!$E$20)</f>
      </c>
      <c r="AD8" s="0">
        <f>MAX(0,L8-Calculator!$E$21)</f>
      </c>
      <c r="AE8" s="0">
        <f>MAX(0,M8-Calculator!$E$22)</f>
      </c>
      <c r="AF8" s="0">
        <f>MAX(0,N8-Calculator!$E$23)</f>
      </c>
      <c r="AG8" s="0">
        <f>MAX(0,O8-Calculator!$E$24)</f>
      </c>
      <c r="AH8" s="0">
        <f>MAX(0,P8-Calculator!$E$25)</f>
      </c>
      <c r="AI8" s="0">
        <f>MAX(0,Q8-Calculator!$E$26)</f>
      </c>
      <c r="AJ8" s="0">
        <f>MAX(0,R8-Calculator!$E$27)</f>
      </c>
      <c r="AK8" s="0">
        <f>MAX(0,S8-Calculator!$E$28)</f>
      </c>
      <c r="AL8" s="0">
        <f>MAX(0,MIN(T8,BX8-SUMPRODUCT(($T$2:$AK$2&lt;T$2)*($T8:$AK8))))</f>
      </c>
      <c r="AM8" s="0">
        <f>MAX(0,MIN(U8,BX8-SUMPRODUCT(($T$2:$AK$2&lt;U$2)*($T8:$AK8))))</f>
      </c>
      <c r="AN8" s="0">
        <f>MAX(0,MIN(V8,BX8-SUMPRODUCT(($T$2:$AK$2&lt;V$2)*($T8:$AK8))))</f>
      </c>
      <c r="AO8" s="0">
        <f>MAX(0,MIN(W8,BX8-SUMPRODUCT(($T$2:$AK$2&lt;W$2)*($T8:$AK8))))</f>
      </c>
      <c r="AP8" s="0">
        <f>MAX(0,MIN(X8,BX8-SUMPRODUCT(($T$2:$AK$2&lt;X$2)*($T8:$AK8))))</f>
      </c>
      <c r="AQ8" s="0">
        <f>MAX(0,MIN(Y8,BX8-SUMPRODUCT(($T$2:$AK$2&lt;Y$2)*($T8:$AK8))))</f>
      </c>
      <c r="AR8" s="0">
        <f>MAX(0,MIN(Z8,BX8-SUMPRODUCT(($T$2:$AK$2&lt;Z$2)*($T8:$AK8))))</f>
      </c>
      <c r="AS8" s="0">
        <f>MAX(0,MIN(AA8,BX8-SUMPRODUCT(($T$2:$AK$2&lt;AA$2)*($T8:$AK8))))</f>
      </c>
      <c r="AT8" s="0">
        <f>MAX(0,MIN(AB8,BX8-SUMPRODUCT(($T$2:$AK$2&lt;AB$2)*($T8:$AK8))))</f>
      </c>
      <c r="AU8" s="0">
        <f>MAX(0,MIN(AC8,BX8-SUMPRODUCT(($T$2:$AK$2&lt;AC$2)*($T8:$AK8))))</f>
      </c>
      <c r="AV8" s="0">
        <f>MAX(0,MIN(AD8,BX8-SUMPRODUCT(($T$2:$AK$2&lt;AD$2)*($T8:$AK8))))</f>
      </c>
      <c r="AW8" s="0">
        <f>MAX(0,MIN(AE8,BX8-SUMPRODUCT(($T$2:$AK$2&lt;AE$2)*($T8:$AK8))))</f>
      </c>
      <c r="AX8" s="0">
        <f>MAX(0,MIN(AF8,BX8-SUMPRODUCT(($T$2:$AK$2&lt;AF$2)*($T8:$AK8))))</f>
      </c>
      <c r="AY8" s="0">
        <f>MAX(0,MIN(AG8,BX8-SUMPRODUCT(($T$2:$AK$2&lt;AG$2)*($T8:$AK8))))</f>
      </c>
      <c r="AZ8" s="0">
        <f>MAX(0,MIN(AH8,BX8-SUMPRODUCT(($T$2:$AK$2&lt;AH$2)*($T8:$AK8))))</f>
      </c>
      <c r="BA8" s="0">
        <f>MAX(0,MIN(AI8,BX8-SUMPRODUCT(($T$2:$AK$2&lt;AI$2)*($T8:$AK8))))</f>
      </c>
      <c r="BB8" s="0">
        <f>MAX(0,MIN(AJ8,BX8-SUMPRODUCT(($T$2:$AK$2&lt;AJ$2)*($T8:$AK8))))</f>
      </c>
      <c r="BC8" s="0">
        <f>MAX(0,MIN(AK8,BX8-SUMPRODUCT(($T$2:$AK$2&lt;AK$2)*($T8:$AK8))))</f>
      </c>
      <c r="BD8" s="0">
        <f>T8-AL8</f>
      </c>
      <c r="BE8" s="0">
        <f>U8-AM8</f>
      </c>
      <c r="BF8" s="0">
        <f>V8-AN8</f>
      </c>
      <c r="BG8" s="0">
        <f>W8-AO8</f>
      </c>
      <c r="BH8" s="0">
        <f>X8-AP8</f>
      </c>
      <c r="BI8" s="0">
        <f>Y8-AQ8</f>
      </c>
      <c r="BJ8" s="0">
        <f>Z8-AR8</f>
      </c>
      <c r="BK8" s="0">
        <f>AA8-AS8</f>
      </c>
      <c r="BL8" s="0">
        <f>AB8-AT8</f>
      </c>
      <c r="BM8" s="0">
        <f>AC8-AU8</f>
      </c>
      <c r="BN8" s="0">
        <f>AD8-AV8</f>
      </c>
      <c r="BO8" s="0">
        <f>AE8-AW8</f>
      </c>
      <c r="BP8" s="0">
        <f>AF8-AX8</f>
      </c>
      <c r="BQ8" s="0">
        <f>AG8-AY8</f>
      </c>
      <c r="BR8" s="0">
        <f>AH8-AZ8</f>
      </c>
      <c r="BS8" s="0">
        <f>AI8-BA8</f>
      </c>
      <c r="BT8" s="0">
        <f>AJ8-BB8</f>
      </c>
      <c r="BU8" s="0">
        <f>AK8-BC8</f>
      </c>
      <c r="BV8" s="0">
        <f>SUM(B8:S8)</f>
      </c>
      <c r="BW8" s="0">
        <f>SUM(T8:AK8)</f>
      </c>
      <c r="BX8" s="0">
        <f>MAX(0,(SUM(Calculator!$E$11:$E$28)+Calculator!$C$6)-BV8+BW8)</f>
      </c>
      <c r="BY8" s="0">
        <f>SUM(BD8:BU8)</f>
      </c>
      <c r="BZ8" s="0">
        <f>BV8-BY7</f>
      </c>
      <c r="CA8" s="0">
        <f>IF(A8&lt;=IF($CD$1=0,999,$CD$1),BY8,NA())</f>
      </c>
      <c r="CB8" s="0">
        <f>IF(A8&lt;=IF($CD$1=0,999,$CD$1),A8,NA())</f>
      </c>
    </row>
    <row r="9">
      <c r="A9" s="0">
        <v>6</v>
      </c>
      <c r="B9" s="0">
        <f>BD8*(1+Calculator!$D$11/100/12)</f>
      </c>
      <c r="C9" s="0">
        <f>BE8*(1+Calculator!$D$12/100/12)</f>
      </c>
      <c r="D9" s="0">
        <f>BF8*(1+Calculator!$D$13/100/12)</f>
      </c>
      <c r="E9" s="0">
        <f>BG8*(1+Calculator!$D$14/100/12)</f>
      </c>
      <c r="F9" s="0">
        <f>BH8*(1+Calculator!$D$15/100/12)</f>
      </c>
      <c r="G9" s="0">
        <f>BI8*(1+Calculator!$D$16/100/12)</f>
      </c>
      <c r="H9" s="0">
        <f>BJ8*(1+Calculator!$D$17/100/12)</f>
      </c>
      <c r="I9" s="0">
        <f>BK8*(1+Calculator!$D$18/100/12)</f>
      </c>
      <c r="J9" s="0">
        <f>BL8*(1+Calculator!$D$19/100/12)</f>
      </c>
      <c r="K9" s="0">
        <f>BM8*(1+Calculator!$D$20/100/12)</f>
      </c>
      <c r="L9" s="0">
        <f>BN8*(1+Calculator!$D$21/100/12)</f>
      </c>
      <c r="M9" s="0">
        <f>BO8*(1+Calculator!$D$22/100/12)</f>
      </c>
      <c r="N9" s="0">
        <f>BP8*(1+Calculator!$D$23/100/12)</f>
      </c>
      <c r="O9" s="0">
        <f>BQ8*(1+Calculator!$D$24/100/12)</f>
      </c>
      <c r="P9" s="0">
        <f>BR8*(1+Calculator!$D$25/100/12)</f>
      </c>
      <c r="Q9" s="0">
        <f>BS8*(1+Calculator!$D$26/100/12)</f>
      </c>
      <c r="R9" s="0">
        <f>BT8*(1+Calculator!$D$27/100/12)</f>
      </c>
      <c r="S9" s="0">
        <f>BU8*(1+Calculator!$D$28/100/12)</f>
      </c>
      <c r="T9" s="0">
        <f>MAX(0,B9-Calculator!$E$11)</f>
      </c>
      <c r="U9" s="0">
        <f>MAX(0,C9-Calculator!$E$12)</f>
      </c>
      <c r="V9" s="0">
        <f>MAX(0,D9-Calculator!$E$13)</f>
      </c>
      <c r="W9" s="0">
        <f>MAX(0,E9-Calculator!$E$14)</f>
      </c>
      <c r="X9" s="0">
        <f>MAX(0,F9-Calculator!$E$15)</f>
      </c>
      <c r="Y9" s="0">
        <f>MAX(0,G9-Calculator!$E$16)</f>
      </c>
      <c r="Z9" s="0">
        <f>MAX(0,H9-Calculator!$E$17)</f>
      </c>
      <c r="AA9" s="0">
        <f>MAX(0,I9-Calculator!$E$18)</f>
      </c>
      <c r="AB9" s="0">
        <f>MAX(0,J9-Calculator!$E$19)</f>
      </c>
      <c r="AC9" s="0">
        <f>MAX(0,K9-Calculator!$E$20)</f>
      </c>
      <c r="AD9" s="0">
        <f>MAX(0,L9-Calculator!$E$21)</f>
      </c>
      <c r="AE9" s="0">
        <f>MAX(0,M9-Calculator!$E$22)</f>
      </c>
      <c r="AF9" s="0">
        <f>MAX(0,N9-Calculator!$E$23)</f>
      </c>
      <c r="AG9" s="0">
        <f>MAX(0,O9-Calculator!$E$24)</f>
      </c>
      <c r="AH9" s="0">
        <f>MAX(0,P9-Calculator!$E$25)</f>
      </c>
      <c r="AI9" s="0">
        <f>MAX(0,Q9-Calculator!$E$26)</f>
      </c>
      <c r="AJ9" s="0">
        <f>MAX(0,R9-Calculator!$E$27)</f>
      </c>
      <c r="AK9" s="0">
        <f>MAX(0,S9-Calculator!$E$28)</f>
      </c>
      <c r="AL9" s="0">
        <f>MAX(0,MIN(T9,BX9-SUMPRODUCT(($T$2:$AK$2&lt;T$2)*($T9:$AK9))))</f>
      </c>
      <c r="AM9" s="0">
        <f>MAX(0,MIN(U9,BX9-SUMPRODUCT(($T$2:$AK$2&lt;U$2)*($T9:$AK9))))</f>
      </c>
      <c r="AN9" s="0">
        <f>MAX(0,MIN(V9,BX9-SUMPRODUCT(($T$2:$AK$2&lt;V$2)*($T9:$AK9))))</f>
      </c>
      <c r="AO9" s="0">
        <f>MAX(0,MIN(W9,BX9-SUMPRODUCT(($T$2:$AK$2&lt;W$2)*($T9:$AK9))))</f>
      </c>
      <c r="AP9" s="0">
        <f>MAX(0,MIN(X9,BX9-SUMPRODUCT(($T$2:$AK$2&lt;X$2)*($T9:$AK9))))</f>
      </c>
      <c r="AQ9" s="0">
        <f>MAX(0,MIN(Y9,BX9-SUMPRODUCT(($T$2:$AK$2&lt;Y$2)*($T9:$AK9))))</f>
      </c>
      <c r="AR9" s="0">
        <f>MAX(0,MIN(Z9,BX9-SUMPRODUCT(($T$2:$AK$2&lt;Z$2)*($T9:$AK9))))</f>
      </c>
      <c r="AS9" s="0">
        <f>MAX(0,MIN(AA9,BX9-SUMPRODUCT(($T$2:$AK$2&lt;AA$2)*($T9:$AK9))))</f>
      </c>
      <c r="AT9" s="0">
        <f>MAX(0,MIN(AB9,BX9-SUMPRODUCT(($T$2:$AK$2&lt;AB$2)*($T9:$AK9))))</f>
      </c>
      <c r="AU9" s="0">
        <f>MAX(0,MIN(AC9,BX9-SUMPRODUCT(($T$2:$AK$2&lt;AC$2)*($T9:$AK9))))</f>
      </c>
      <c r="AV9" s="0">
        <f>MAX(0,MIN(AD9,BX9-SUMPRODUCT(($T$2:$AK$2&lt;AD$2)*($T9:$AK9))))</f>
      </c>
      <c r="AW9" s="0">
        <f>MAX(0,MIN(AE9,BX9-SUMPRODUCT(($T$2:$AK$2&lt;AE$2)*($T9:$AK9))))</f>
      </c>
      <c r="AX9" s="0">
        <f>MAX(0,MIN(AF9,BX9-SUMPRODUCT(($T$2:$AK$2&lt;AF$2)*($T9:$AK9))))</f>
      </c>
      <c r="AY9" s="0">
        <f>MAX(0,MIN(AG9,BX9-SUMPRODUCT(($T$2:$AK$2&lt;AG$2)*($T9:$AK9))))</f>
      </c>
      <c r="AZ9" s="0">
        <f>MAX(0,MIN(AH9,BX9-SUMPRODUCT(($T$2:$AK$2&lt;AH$2)*($T9:$AK9))))</f>
      </c>
      <c r="BA9" s="0">
        <f>MAX(0,MIN(AI9,BX9-SUMPRODUCT(($T$2:$AK$2&lt;AI$2)*($T9:$AK9))))</f>
      </c>
      <c r="BB9" s="0">
        <f>MAX(0,MIN(AJ9,BX9-SUMPRODUCT(($T$2:$AK$2&lt;AJ$2)*($T9:$AK9))))</f>
      </c>
      <c r="BC9" s="0">
        <f>MAX(0,MIN(AK9,BX9-SUMPRODUCT(($T$2:$AK$2&lt;AK$2)*($T9:$AK9))))</f>
      </c>
      <c r="BD9" s="0">
        <f>T9-AL9</f>
      </c>
      <c r="BE9" s="0">
        <f>U9-AM9</f>
      </c>
      <c r="BF9" s="0">
        <f>V9-AN9</f>
      </c>
      <c r="BG9" s="0">
        <f>W9-AO9</f>
      </c>
      <c r="BH9" s="0">
        <f>X9-AP9</f>
      </c>
      <c r="BI9" s="0">
        <f>Y9-AQ9</f>
      </c>
      <c r="BJ9" s="0">
        <f>Z9-AR9</f>
      </c>
      <c r="BK9" s="0">
        <f>AA9-AS9</f>
      </c>
      <c r="BL9" s="0">
        <f>AB9-AT9</f>
      </c>
      <c r="BM9" s="0">
        <f>AC9-AU9</f>
      </c>
      <c r="BN9" s="0">
        <f>AD9-AV9</f>
      </c>
      <c r="BO9" s="0">
        <f>AE9-AW9</f>
      </c>
      <c r="BP9" s="0">
        <f>AF9-AX9</f>
      </c>
      <c r="BQ9" s="0">
        <f>AG9-AY9</f>
      </c>
      <c r="BR9" s="0">
        <f>AH9-AZ9</f>
      </c>
      <c r="BS9" s="0">
        <f>AI9-BA9</f>
      </c>
      <c r="BT9" s="0">
        <f>AJ9-BB9</f>
      </c>
      <c r="BU9" s="0">
        <f>AK9-BC9</f>
      </c>
      <c r="BV9" s="0">
        <f>SUM(B9:S9)</f>
      </c>
      <c r="BW9" s="0">
        <f>SUM(T9:AK9)</f>
      </c>
      <c r="BX9" s="0">
        <f>MAX(0,(SUM(Calculator!$E$11:$E$28)+Calculator!$C$6)-BV9+BW9)</f>
      </c>
      <c r="BY9" s="0">
        <f>SUM(BD9:BU9)</f>
      </c>
      <c r="BZ9" s="0">
        <f>BV9-BY8</f>
      </c>
      <c r="CA9" s="0">
        <f>IF(A9&lt;=IF($CD$1=0,999,$CD$1),BY9,NA())</f>
      </c>
      <c r="CB9" s="0">
        <f>IF(A9&lt;=IF($CD$1=0,999,$CD$1),A9,NA())</f>
      </c>
    </row>
    <row r="10">
      <c r="A10" s="0">
        <v>7</v>
      </c>
      <c r="B10" s="0">
        <f>BD9*(1+Calculator!$D$11/100/12)</f>
      </c>
      <c r="C10" s="0">
        <f>BE9*(1+Calculator!$D$12/100/12)</f>
      </c>
      <c r="D10" s="0">
        <f>BF9*(1+Calculator!$D$13/100/12)</f>
      </c>
      <c r="E10" s="0">
        <f>BG9*(1+Calculator!$D$14/100/12)</f>
      </c>
      <c r="F10" s="0">
        <f>BH9*(1+Calculator!$D$15/100/12)</f>
      </c>
      <c r="G10" s="0">
        <f>BI9*(1+Calculator!$D$16/100/12)</f>
      </c>
      <c r="H10" s="0">
        <f>BJ9*(1+Calculator!$D$17/100/12)</f>
      </c>
      <c r="I10" s="0">
        <f>BK9*(1+Calculator!$D$18/100/12)</f>
      </c>
      <c r="J10" s="0">
        <f>BL9*(1+Calculator!$D$19/100/12)</f>
      </c>
      <c r="K10" s="0">
        <f>BM9*(1+Calculator!$D$20/100/12)</f>
      </c>
      <c r="L10" s="0">
        <f>BN9*(1+Calculator!$D$21/100/12)</f>
      </c>
      <c r="M10" s="0">
        <f>BO9*(1+Calculator!$D$22/100/12)</f>
      </c>
      <c r="N10" s="0">
        <f>BP9*(1+Calculator!$D$23/100/12)</f>
      </c>
      <c r="O10" s="0">
        <f>BQ9*(1+Calculator!$D$24/100/12)</f>
      </c>
      <c r="P10" s="0">
        <f>BR9*(1+Calculator!$D$25/100/12)</f>
      </c>
      <c r="Q10" s="0">
        <f>BS9*(1+Calculator!$D$26/100/12)</f>
      </c>
      <c r="R10" s="0">
        <f>BT9*(1+Calculator!$D$27/100/12)</f>
      </c>
      <c r="S10" s="0">
        <f>BU9*(1+Calculator!$D$28/100/12)</f>
      </c>
      <c r="T10" s="0">
        <f>MAX(0,B10-Calculator!$E$11)</f>
      </c>
      <c r="U10" s="0">
        <f>MAX(0,C10-Calculator!$E$12)</f>
      </c>
      <c r="V10" s="0">
        <f>MAX(0,D10-Calculator!$E$13)</f>
      </c>
      <c r="W10" s="0">
        <f>MAX(0,E10-Calculator!$E$14)</f>
      </c>
      <c r="X10" s="0">
        <f>MAX(0,F10-Calculator!$E$15)</f>
      </c>
      <c r="Y10" s="0">
        <f>MAX(0,G10-Calculator!$E$16)</f>
      </c>
      <c r="Z10" s="0">
        <f>MAX(0,H10-Calculator!$E$17)</f>
      </c>
      <c r="AA10" s="0">
        <f>MAX(0,I10-Calculator!$E$18)</f>
      </c>
      <c r="AB10" s="0">
        <f>MAX(0,J10-Calculator!$E$19)</f>
      </c>
      <c r="AC10" s="0">
        <f>MAX(0,K10-Calculator!$E$20)</f>
      </c>
      <c r="AD10" s="0">
        <f>MAX(0,L10-Calculator!$E$21)</f>
      </c>
      <c r="AE10" s="0">
        <f>MAX(0,M10-Calculator!$E$22)</f>
      </c>
      <c r="AF10" s="0">
        <f>MAX(0,N10-Calculator!$E$23)</f>
      </c>
      <c r="AG10" s="0">
        <f>MAX(0,O10-Calculator!$E$24)</f>
      </c>
      <c r="AH10" s="0">
        <f>MAX(0,P10-Calculator!$E$25)</f>
      </c>
      <c r="AI10" s="0">
        <f>MAX(0,Q10-Calculator!$E$26)</f>
      </c>
      <c r="AJ10" s="0">
        <f>MAX(0,R10-Calculator!$E$27)</f>
      </c>
      <c r="AK10" s="0">
        <f>MAX(0,S10-Calculator!$E$28)</f>
      </c>
      <c r="AL10" s="0">
        <f>MAX(0,MIN(T10,BX10-SUMPRODUCT(($T$2:$AK$2&lt;T$2)*($T10:$AK10))))</f>
      </c>
      <c r="AM10" s="0">
        <f>MAX(0,MIN(U10,BX10-SUMPRODUCT(($T$2:$AK$2&lt;U$2)*($T10:$AK10))))</f>
      </c>
      <c r="AN10" s="0">
        <f>MAX(0,MIN(V10,BX10-SUMPRODUCT(($T$2:$AK$2&lt;V$2)*($T10:$AK10))))</f>
      </c>
      <c r="AO10" s="0">
        <f>MAX(0,MIN(W10,BX10-SUMPRODUCT(($T$2:$AK$2&lt;W$2)*($T10:$AK10))))</f>
      </c>
      <c r="AP10" s="0">
        <f>MAX(0,MIN(X10,BX10-SUMPRODUCT(($T$2:$AK$2&lt;X$2)*($T10:$AK10))))</f>
      </c>
      <c r="AQ10" s="0">
        <f>MAX(0,MIN(Y10,BX10-SUMPRODUCT(($T$2:$AK$2&lt;Y$2)*($T10:$AK10))))</f>
      </c>
      <c r="AR10" s="0">
        <f>MAX(0,MIN(Z10,BX10-SUMPRODUCT(($T$2:$AK$2&lt;Z$2)*($T10:$AK10))))</f>
      </c>
      <c r="AS10" s="0">
        <f>MAX(0,MIN(AA10,BX10-SUMPRODUCT(($T$2:$AK$2&lt;AA$2)*($T10:$AK10))))</f>
      </c>
      <c r="AT10" s="0">
        <f>MAX(0,MIN(AB10,BX10-SUMPRODUCT(($T$2:$AK$2&lt;AB$2)*($T10:$AK10))))</f>
      </c>
      <c r="AU10" s="0">
        <f>MAX(0,MIN(AC10,BX10-SUMPRODUCT(($T$2:$AK$2&lt;AC$2)*($T10:$AK10))))</f>
      </c>
      <c r="AV10" s="0">
        <f>MAX(0,MIN(AD10,BX10-SUMPRODUCT(($T$2:$AK$2&lt;AD$2)*($T10:$AK10))))</f>
      </c>
      <c r="AW10" s="0">
        <f>MAX(0,MIN(AE10,BX10-SUMPRODUCT(($T$2:$AK$2&lt;AE$2)*($T10:$AK10))))</f>
      </c>
      <c r="AX10" s="0">
        <f>MAX(0,MIN(AF10,BX10-SUMPRODUCT(($T$2:$AK$2&lt;AF$2)*($T10:$AK10))))</f>
      </c>
      <c r="AY10" s="0">
        <f>MAX(0,MIN(AG10,BX10-SUMPRODUCT(($T$2:$AK$2&lt;AG$2)*($T10:$AK10))))</f>
      </c>
      <c r="AZ10" s="0">
        <f>MAX(0,MIN(AH10,BX10-SUMPRODUCT(($T$2:$AK$2&lt;AH$2)*($T10:$AK10))))</f>
      </c>
      <c r="BA10" s="0">
        <f>MAX(0,MIN(AI10,BX10-SUMPRODUCT(($T$2:$AK$2&lt;AI$2)*($T10:$AK10))))</f>
      </c>
      <c r="BB10" s="0">
        <f>MAX(0,MIN(AJ10,BX10-SUMPRODUCT(($T$2:$AK$2&lt;AJ$2)*($T10:$AK10))))</f>
      </c>
      <c r="BC10" s="0">
        <f>MAX(0,MIN(AK10,BX10-SUMPRODUCT(($T$2:$AK$2&lt;AK$2)*($T10:$AK10))))</f>
      </c>
      <c r="BD10" s="0">
        <f>T10-AL10</f>
      </c>
      <c r="BE10" s="0">
        <f>U10-AM10</f>
      </c>
      <c r="BF10" s="0">
        <f>V10-AN10</f>
      </c>
      <c r="BG10" s="0">
        <f>W10-AO10</f>
      </c>
      <c r="BH10" s="0">
        <f>X10-AP10</f>
      </c>
      <c r="BI10" s="0">
        <f>Y10-AQ10</f>
      </c>
      <c r="BJ10" s="0">
        <f>Z10-AR10</f>
      </c>
      <c r="BK10" s="0">
        <f>AA10-AS10</f>
      </c>
      <c r="BL10" s="0">
        <f>AB10-AT10</f>
      </c>
      <c r="BM10" s="0">
        <f>AC10-AU10</f>
      </c>
      <c r="BN10" s="0">
        <f>AD10-AV10</f>
      </c>
      <c r="BO10" s="0">
        <f>AE10-AW10</f>
      </c>
      <c r="BP10" s="0">
        <f>AF10-AX10</f>
      </c>
      <c r="BQ10" s="0">
        <f>AG10-AY10</f>
      </c>
      <c r="BR10" s="0">
        <f>AH10-AZ10</f>
      </c>
      <c r="BS10" s="0">
        <f>AI10-BA10</f>
      </c>
      <c r="BT10" s="0">
        <f>AJ10-BB10</f>
      </c>
      <c r="BU10" s="0">
        <f>AK10-BC10</f>
      </c>
      <c r="BV10" s="0">
        <f>SUM(B10:S10)</f>
      </c>
      <c r="BW10" s="0">
        <f>SUM(T10:AK10)</f>
      </c>
      <c r="BX10" s="0">
        <f>MAX(0,(SUM(Calculator!$E$11:$E$28)+Calculator!$C$6)-BV10+BW10)</f>
      </c>
      <c r="BY10" s="0">
        <f>SUM(BD10:BU10)</f>
      </c>
      <c r="BZ10" s="0">
        <f>BV10-BY9</f>
      </c>
      <c r="CA10" s="0">
        <f>IF(A10&lt;=IF($CD$1=0,999,$CD$1),BY10,NA())</f>
      </c>
      <c r="CB10" s="0">
        <f>IF(A10&lt;=IF($CD$1=0,999,$CD$1),A10,NA())</f>
      </c>
    </row>
    <row r="11">
      <c r="A11" s="0">
        <v>8</v>
      </c>
      <c r="B11" s="0">
        <f>BD10*(1+Calculator!$D$11/100/12)</f>
      </c>
      <c r="C11" s="0">
        <f>BE10*(1+Calculator!$D$12/100/12)</f>
      </c>
      <c r="D11" s="0">
        <f>BF10*(1+Calculator!$D$13/100/12)</f>
      </c>
      <c r="E11" s="0">
        <f>BG10*(1+Calculator!$D$14/100/12)</f>
      </c>
      <c r="F11" s="0">
        <f>BH10*(1+Calculator!$D$15/100/12)</f>
      </c>
      <c r="G11" s="0">
        <f>BI10*(1+Calculator!$D$16/100/12)</f>
      </c>
      <c r="H11" s="0">
        <f>BJ10*(1+Calculator!$D$17/100/12)</f>
      </c>
      <c r="I11" s="0">
        <f>BK10*(1+Calculator!$D$18/100/12)</f>
      </c>
      <c r="J11" s="0">
        <f>BL10*(1+Calculator!$D$19/100/12)</f>
      </c>
      <c r="K11" s="0">
        <f>BM10*(1+Calculator!$D$20/100/12)</f>
      </c>
      <c r="L11" s="0">
        <f>BN10*(1+Calculator!$D$21/100/12)</f>
      </c>
      <c r="M11" s="0">
        <f>BO10*(1+Calculator!$D$22/100/12)</f>
      </c>
      <c r="N11" s="0">
        <f>BP10*(1+Calculator!$D$23/100/12)</f>
      </c>
      <c r="O11" s="0">
        <f>BQ10*(1+Calculator!$D$24/100/12)</f>
      </c>
      <c r="P11" s="0">
        <f>BR10*(1+Calculator!$D$25/100/12)</f>
      </c>
      <c r="Q11" s="0">
        <f>BS10*(1+Calculator!$D$26/100/12)</f>
      </c>
      <c r="R11" s="0">
        <f>BT10*(1+Calculator!$D$27/100/12)</f>
      </c>
      <c r="S11" s="0">
        <f>BU10*(1+Calculator!$D$28/100/12)</f>
      </c>
      <c r="T11" s="0">
        <f>MAX(0,B11-Calculator!$E$11)</f>
      </c>
      <c r="U11" s="0">
        <f>MAX(0,C11-Calculator!$E$12)</f>
      </c>
      <c r="V11" s="0">
        <f>MAX(0,D11-Calculator!$E$13)</f>
      </c>
      <c r="W11" s="0">
        <f>MAX(0,E11-Calculator!$E$14)</f>
      </c>
      <c r="X11" s="0">
        <f>MAX(0,F11-Calculator!$E$15)</f>
      </c>
      <c r="Y11" s="0">
        <f>MAX(0,G11-Calculator!$E$16)</f>
      </c>
      <c r="Z11" s="0">
        <f>MAX(0,H11-Calculator!$E$17)</f>
      </c>
      <c r="AA11" s="0">
        <f>MAX(0,I11-Calculator!$E$18)</f>
      </c>
      <c r="AB11" s="0">
        <f>MAX(0,J11-Calculator!$E$19)</f>
      </c>
      <c r="AC11" s="0">
        <f>MAX(0,K11-Calculator!$E$20)</f>
      </c>
      <c r="AD11" s="0">
        <f>MAX(0,L11-Calculator!$E$21)</f>
      </c>
      <c r="AE11" s="0">
        <f>MAX(0,M11-Calculator!$E$22)</f>
      </c>
      <c r="AF11" s="0">
        <f>MAX(0,N11-Calculator!$E$23)</f>
      </c>
      <c r="AG11" s="0">
        <f>MAX(0,O11-Calculator!$E$24)</f>
      </c>
      <c r="AH11" s="0">
        <f>MAX(0,P11-Calculator!$E$25)</f>
      </c>
      <c r="AI11" s="0">
        <f>MAX(0,Q11-Calculator!$E$26)</f>
      </c>
      <c r="AJ11" s="0">
        <f>MAX(0,R11-Calculator!$E$27)</f>
      </c>
      <c r="AK11" s="0">
        <f>MAX(0,S11-Calculator!$E$28)</f>
      </c>
      <c r="AL11" s="0">
        <f>MAX(0,MIN(T11,BX11-SUMPRODUCT(($T$2:$AK$2&lt;T$2)*($T11:$AK11))))</f>
      </c>
      <c r="AM11" s="0">
        <f>MAX(0,MIN(U11,BX11-SUMPRODUCT(($T$2:$AK$2&lt;U$2)*($T11:$AK11))))</f>
      </c>
      <c r="AN11" s="0">
        <f>MAX(0,MIN(V11,BX11-SUMPRODUCT(($T$2:$AK$2&lt;V$2)*($T11:$AK11))))</f>
      </c>
      <c r="AO11" s="0">
        <f>MAX(0,MIN(W11,BX11-SUMPRODUCT(($T$2:$AK$2&lt;W$2)*($T11:$AK11))))</f>
      </c>
      <c r="AP11" s="0">
        <f>MAX(0,MIN(X11,BX11-SUMPRODUCT(($T$2:$AK$2&lt;X$2)*($T11:$AK11))))</f>
      </c>
      <c r="AQ11" s="0">
        <f>MAX(0,MIN(Y11,BX11-SUMPRODUCT(($T$2:$AK$2&lt;Y$2)*($T11:$AK11))))</f>
      </c>
      <c r="AR11" s="0">
        <f>MAX(0,MIN(Z11,BX11-SUMPRODUCT(($T$2:$AK$2&lt;Z$2)*($T11:$AK11))))</f>
      </c>
      <c r="AS11" s="0">
        <f>MAX(0,MIN(AA11,BX11-SUMPRODUCT(($T$2:$AK$2&lt;AA$2)*($T11:$AK11))))</f>
      </c>
      <c r="AT11" s="0">
        <f>MAX(0,MIN(AB11,BX11-SUMPRODUCT(($T$2:$AK$2&lt;AB$2)*($T11:$AK11))))</f>
      </c>
      <c r="AU11" s="0">
        <f>MAX(0,MIN(AC11,BX11-SUMPRODUCT(($T$2:$AK$2&lt;AC$2)*($T11:$AK11))))</f>
      </c>
      <c r="AV11" s="0">
        <f>MAX(0,MIN(AD11,BX11-SUMPRODUCT(($T$2:$AK$2&lt;AD$2)*($T11:$AK11))))</f>
      </c>
      <c r="AW11" s="0">
        <f>MAX(0,MIN(AE11,BX11-SUMPRODUCT(($T$2:$AK$2&lt;AE$2)*($T11:$AK11))))</f>
      </c>
      <c r="AX11" s="0">
        <f>MAX(0,MIN(AF11,BX11-SUMPRODUCT(($T$2:$AK$2&lt;AF$2)*($T11:$AK11))))</f>
      </c>
      <c r="AY11" s="0">
        <f>MAX(0,MIN(AG11,BX11-SUMPRODUCT(($T$2:$AK$2&lt;AG$2)*($T11:$AK11))))</f>
      </c>
      <c r="AZ11" s="0">
        <f>MAX(0,MIN(AH11,BX11-SUMPRODUCT(($T$2:$AK$2&lt;AH$2)*($T11:$AK11))))</f>
      </c>
      <c r="BA11" s="0">
        <f>MAX(0,MIN(AI11,BX11-SUMPRODUCT(($T$2:$AK$2&lt;AI$2)*($T11:$AK11))))</f>
      </c>
      <c r="BB11" s="0">
        <f>MAX(0,MIN(AJ11,BX11-SUMPRODUCT(($T$2:$AK$2&lt;AJ$2)*($T11:$AK11))))</f>
      </c>
      <c r="BC11" s="0">
        <f>MAX(0,MIN(AK11,BX11-SUMPRODUCT(($T$2:$AK$2&lt;AK$2)*($T11:$AK11))))</f>
      </c>
      <c r="BD11" s="0">
        <f>T11-AL11</f>
      </c>
      <c r="BE11" s="0">
        <f>U11-AM11</f>
      </c>
      <c r="BF11" s="0">
        <f>V11-AN11</f>
      </c>
      <c r="BG11" s="0">
        <f>W11-AO11</f>
      </c>
      <c r="BH11" s="0">
        <f>X11-AP11</f>
      </c>
      <c r="BI11" s="0">
        <f>Y11-AQ11</f>
      </c>
      <c r="BJ11" s="0">
        <f>Z11-AR11</f>
      </c>
      <c r="BK11" s="0">
        <f>AA11-AS11</f>
      </c>
      <c r="BL11" s="0">
        <f>AB11-AT11</f>
      </c>
      <c r="BM11" s="0">
        <f>AC11-AU11</f>
      </c>
      <c r="BN11" s="0">
        <f>AD11-AV11</f>
      </c>
      <c r="BO11" s="0">
        <f>AE11-AW11</f>
      </c>
      <c r="BP11" s="0">
        <f>AF11-AX11</f>
      </c>
      <c r="BQ11" s="0">
        <f>AG11-AY11</f>
      </c>
      <c r="BR11" s="0">
        <f>AH11-AZ11</f>
      </c>
      <c r="BS11" s="0">
        <f>AI11-BA11</f>
      </c>
      <c r="BT11" s="0">
        <f>AJ11-BB11</f>
      </c>
      <c r="BU11" s="0">
        <f>AK11-BC11</f>
      </c>
      <c r="BV11" s="0">
        <f>SUM(B11:S11)</f>
      </c>
      <c r="BW11" s="0">
        <f>SUM(T11:AK11)</f>
      </c>
      <c r="BX11" s="0">
        <f>MAX(0,(SUM(Calculator!$E$11:$E$28)+Calculator!$C$6)-BV11+BW11)</f>
      </c>
      <c r="BY11" s="0">
        <f>SUM(BD11:BU11)</f>
      </c>
      <c r="BZ11" s="0">
        <f>BV11-BY10</f>
      </c>
      <c r="CA11" s="0">
        <f>IF(A11&lt;=IF($CD$1=0,999,$CD$1),BY11,NA())</f>
      </c>
      <c r="CB11" s="0">
        <f>IF(A11&lt;=IF($CD$1=0,999,$CD$1),A11,NA())</f>
      </c>
    </row>
    <row r="12">
      <c r="A12" s="0">
        <v>9</v>
      </c>
      <c r="B12" s="0">
        <f>BD11*(1+Calculator!$D$11/100/12)</f>
      </c>
      <c r="C12" s="0">
        <f>BE11*(1+Calculator!$D$12/100/12)</f>
      </c>
      <c r="D12" s="0">
        <f>BF11*(1+Calculator!$D$13/100/12)</f>
      </c>
      <c r="E12" s="0">
        <f>BG11*(1+Calculator!$D$14/100/12)</f>
      </c>
      <c r="F12" s="0">
        <f>BH11*(1+Calculator!$D$15/100/12)</f>
      </c>
      <c r="G12" s="0">
        <f>BI11*(1+Calculator!$D$16/100/12)</f>
      </c>
      <c r="H12" s="0">
        <f>BJ11*(1+Calculator!$D$17/100/12)</f>
      </c>
      <c r="I12" s="0">
        <f>BK11*(1+Calculator!$D$18/100/12)</f>
      </c>
      <c r="J12" s="0">
        <f>BL11*(1+Calculator!$D$19/100/12)</f>
      </c>
      <c r="K12" s="0">
        <f>BM11*(1+Calculator!$D$20/100/12)</f>
      </c>
      <c r="L12" s="0">
        <f>BN11*(1+Calculator!$D$21/100/12)</f>
      </c>
      <c r="M12" s="0">
        <f>BO11*(1+Calculator!$D$22/100/12)</f>
      </c>
      <c r="N12" s="0">
        <f>BP11*(1+Calculator!$D$23/100/12)</f>
      </c>
      <c r="O12" s="0">
        <f>BQ11*(1+Calculator!$D$24/100/12)</f>
      </c>
      <c r="P12" s="0">
        <f>BR11*(1+Calculator!$D$25/100/12)</f>
      </c>
      <c r="Q12" s="0">
        <f>BS11*(1+Calculator!$D$26/100/12)</f>
      </c>
      <c r="R12" s="0">
        <f>BT11*(1+Calculator!$D$27/100/12)</f>
      </c>
      <c r="S12" s="0">
        <f>BU11*(1+Calculator!$D$28/100/12)</f>
      </c>
      <c r="T12" s="0">
        <f>MAX(0,B12-Calculator!$E$11)</f>
      </c>
      <c r="U12" s="0">
        <f>MAX(0,C12-Calculator!$E$12)</f>
      </c>
      <c r="V12" s="0">
        <f>MAX(0,D12-Calculator!$E$13)</f>
      </c>
      <c r="W12" s="0">
        <f>MAX(0,E12-Calculator!$E$14)</f>
      </c>
      <c r="X12" s="0">
        <f>MAX(0,F12-Calculator!$E$15)</f>
      </c>
      <c r="Y12" s="0">
        <f>MAX(0,G12-Calculator!$E$16)</f>
      </c>
      <c r="Z12" s="0">
        <f>MAX(0,H12-Calculator!$E$17)</f>
      </c>
      <c r="AA12" s="0">
        <f>MAX(0,I12-Calculator!$E$18)</f>
      </c>
      <c r="AB12" s="0">
        <f>MAX(0,J12-Calculator!$E$19)</f>
      </c>
      <c r="AC12" s="0">
        <f>MAX(0,K12-Calculator!$E$20)</f>
      </c>
      <c r="AD12" s="0">
        <f>MAX(0,L12-Calculator!$E$21)</f>
      </c>
      <c r="AE12" s="0">
        <f>MAX(0,M12-Calculator!$E$22)</f>
      </c>
      <c r="AF12" s="0">
        <f>MAX(0,N12-Calculator!$E$23)</f>
      </c>
      <c r="AG12" s="0">
        <f>MAX(0,O12-Calculator!$E$24)</f>
      </c>
      <c r="AH12" s="0">
        <f>MAX(0,P12-Calculator!$E$25)</f>
      </c>
      <c r="AI12" s="0">
        <f>MAX(0,Q12-Calculator!$E$26)</f>
      </c>
      <c r="AJ12" s="0">
        <f>MAX(0,R12-Calculator!$E$27)</f>
      </c>
      <c r="AK12" s="0">
        <f>MAX(0,S12-Calculator!$E$28)</f>
      </c>
      <c r="AL12" s="0">
        <f>MAX(0,MIN(T12,BX12-SUMPRODUCT(($T$2:$AK$2&lt;T$2)*($T12:$AK12))))</f>
      </c>
      <c r="AM12" s="0">
        <f>MAX(0,MIN(U12,BX12-SUMPRODUCT(($T$2:$AK$2&lt;U$2)*($T12:$AK12))))</f>
      </c>
      <c r="AN12" s="0">
        <f>MAX(0,MIN(V12,BX12-SUMPRODUCT(($T$2:$AK$2&lt;V$2)*($T12:$AK12))))</f>
      </c>
      <c r="AO12" s="0">
        <f>MAX(0,MIN(W12,BX12-SUMPRODUCT(($T$2:$AK$2&lt;W$2)*($T12:$AK12))))</f>
      </c>
      <c r="AP12" s="0">
        <f>MAX(0,MIN(X12,BX12-SUMPRODUCT(($T$2:$AK$2&lt;X$2)*($T12:$AK12))))</f>
      </c>
      <c r="AQ12" s="0">
        <f>MAX(0,MIN(Y12,BX12-SUMPRODUCT(($T$2:$AK$2&lt;Y$2)*($T12:$AK12))))</f>
      </c>
      <c r="AR12" s="0">
        <f>MAX(0,MIN(Z12,BX12-SUMPRODUCT(($T$2:$AK$2&lt;Z$2)*($T12:$AK12))))</f>
      </c>
      <c r="AS12" s="0">
        <f>MAX(0,MIN(AA12,BX12-SUMPRODUCT(($T$2:$AK$2&lt;AA$2)*($T12:$AK12))))</f>
      </c>
      <c r="AT12" s="0">
        <f>MAX(0,MIN(AB12,BX12-SUMPRODUCT(($T$2:$AK$2&lt;AB$2)*($T12:$AK12))))</f>
      </c>
      <c r="AU12" s="0">
        <f>MAX(0,MIN(AC12,BX12-SUMPRODUCT(($T$2:$AK$2&lt;AC$2)*($T12:$AK12))))</f>
      </c>
      <c r="AV12" s="0">
        <f>MAX(0,MIN(AD12,BX12-SUMPRODUCT(($T$2:$AK$2&lt;AD$2)*($T12:$AK12))))</f>
      </c>
      <c r="AW12" s="0">
        <f>MAX(0,MIN(AE12,BX12-SUMPRODUCT(($T$2:$AK$2&lt;AE$2)*($T12:$AK12))))</f>
      </c>
      <c r="AX12" s="0">
        <f>MAX(0,MIN(AF12,BX12-SUMPRODUCT(($T$2:$AK$2&lt;AF$2)*($T12:$AK12))))</f>
      </c>
      <c r="AY12" s="0">
        <f>MAX(0,MIN(AG12,BX12-SUMPRODUCT(($T$2:$AK$2&lt;AG$2)*($T12:$AK12))))</f>
      </c>
      <c r="AZ12" s="0">
        <f>MAX(0,MIN(AH12,BX12-SUMPRODUCT(($T$2:$AK$2&lt;AH$2)*($T12:$AK12))))</f>
      </c>
      <c r="BA12" s="0">
        <f>MAX(0,MIN(AI12,BX12-SUMPRODUCT(($T$2:$AK$2&lt;AI$2)*($T12:$AK12))))</f>
      </c>
      <c r="BB12" s="0">
        <f>MAX(0,MIN(AJ12,BX12-SUMPRODUCT(($T$2:$AK$2&lt;AJ$2)*($T12:$AK12))))</f>
      </c>
      <c r="BC12" s="0">
        <f>MAX(0,MIN(AK12,BX12-SUMPRODUCT(($T$2:$AK$2&lt;AK$2)*($T12:$AK12))))</f>
      </c>
      <c r="BD12" s="0">
        <f>T12-AL12</f>
      </c>
      <c r="BE12" s="0">
        <f>U12-AM12</f>
      </c>
      <c r="BF12" s="0">
        <f>V12-AN12</f>
      </c>
      <c r="BG12" s="0">
        <f>W12-AO12</f>
      </c>
      <c r="BH12" s="0">
        <f>X12-AP12</f>
      </c>
      <c r="BI12" s="0">
        <f>Y12-AQ12</f>
      </c>
      <c r="BJ12" s="0">
        <f>Z12-AR12</f>
      </c>
      <c r="BK12" s="0">
        <f>AA12-AS12</f>
      </c>
      <c r="BL12" s="0">
        <f>AB12-AT12</f>
      </c>
      <c r="BM12" s="0">
        <f>AC12-AU12</f>
      </c>
      <c r="BN12" s="0">
        <f>AD12-AV12</f>
      </c>
      <c r="BO12" s="0">
        <f>AE12-AW12</f>
      </c>
      <c r="BP12" s="0">
        <f>AF12-AX12</f>
      </c>
      <c r="BQ12" s="0">
        <f>AG12-AY12</f>
      </c>
      <c r="BR12" s="0">
        <f>AH12-AZ12</f>
      </c>
      <c r="BS12" s="0">
        <f>AI12-BA12</f>
      </c>
      <c r="BT12" s="0">
        <f>AJ12-BB12</f>
      </c>
      <c r="BU12" s="0">
        <f>AK12-BC12</f>
      </c>
      <c r="BV12" s="0">
        <f>SUM(B12:S12)</f>
      </c>
      <c r="BW12" s="0">
        <f>SUM(T12:AK12)</f>
      </c>
      <c r="BX12" s="0">
        <f>MAX(0,(SUM(Calculator!$E$11:$E$28)+Calculator!$C$6)-BV12+BW12)</f>
      </c>
      <c r="BY12" s="0">
        <f>SUM(BD12:BU12)</f>
      </c>
      <c r="BZ12" s="0">
        <f>BV12-BY11</f>
      </c>
      <c r="CA12" s="0">
        <f>IF(A12&lt;=IF($CD$1=0,999,$CD$1),BY12,NA())</f>
      </c>
      <c r="CB12" s="0">
        <f>IF(A12&lt;=IF($CD$1=0,999,$CD$1),A12,NA())</f>
      </c>
    </row>
    <row r="13">
      <c r="A13" s="0">
        <v>10</v>
      </c>
      <c r="B13" s="0">
        <f>BD12*(1+Calculator!$D$11/100/12)</f>
      </c>
      <c r="C13" s="0">
        <f>BE12*(1+Calculator!$D$12/100/12)</f>
      </c>
      <c r="D13" s="0">
        <f>BF12*(1+Calculator!$D$13/100/12)</f>
      </c>
      <c r="E13" s="0">
        <f>BG12*(1+Calculator!$D$14/100/12)</f>
      </c>
      <c r="F13" s="0">
        <f>BH12*(1+Calculator!$D$15/100/12)</f>
      </c>
      <c r="G13" s="0">
        <f>BI12*(1+Calculator!$D$16/100/12)</f>
      </c>
      <c r="H13" s="0">
        <f>BJ12*(1+Calculator!$D$17/100/12)</f>
      </c>
      <c r="I13" s="0">
        <f>BK12*(1+Calculator!$D$18/100/12)</f>
      </c>
      <c r="J13" s="0">
        <f>BL12*(1+Calculator!$D$19/100/12)</f>
      </c>
      <c r="K13" s="0">
        <f>BM12*(1+Calculator!$D$20/100/12)</f>
      </c>
      <c r="L13" s="0">
        <f>BN12*(1+Calculator!$D$21/100/12)</f>
      </c>
      <c r="M13" s="0">
        <f>BO12*(1+Calculator!$D$22/100/12)</f>
      </c>
      <c r="N13" s="0">
        <f>BP12*(1+Calculator!$D$23/100/12)</f>
      </c>
      <c r="O13" s="0">
        <f>BQ12*(1+Calculator!$D$24/100/12)</f>
      </c>
      <c r="P13" s="0">
        <f>BR12*(1+Calculator!$D$25/100/12)</f>
      </c>
      <c r="Q13" s="0">
        <f>BS12*(1+Calculator!$D$26/100/12)</f>
      </c>
      <c r="R13" s="0">
        <f>BT12*(1+Calculator!$D$27/100/12)</f>
      </c>
      <c r="S13" s="0">
        <f>BU12*(1+Calculator!$D$28/100/12)</f>
      </c>
      <c r="T13" s="0">
        <f>MAX(0,B13-Calculator!$E$11)</f>
      </c>
      <c r="U13" s="0">
        <f>MAX(0,C13-Calculator!$E$12)</f>
      </c>
      <c r="V13" s="0">
        <f>MAX(0,D13-Calculator!$E$13)</f>
      </c>
      <c r="W13" s="0">
        <f>MAX(0,E13-Calculator!$E$14)</f>
      </c>
      <c r="X13" s="0">
        <f>MAX(0,F13-Calculator!$E$15)</f>
      </c>
      <c r="Y13" s="0">
        <f>MAX(0,G13-Calculator!$E$16)</f>
      </c>
      <c r="Z13" s="0">
        <f>MAX(0,H13-Calculator!$E$17)</f>
      </c>
      <c r="AA13" s="0">
        <f>MAX(0,I13-Calculator!$E$18)</f>
      </c>
      <c r="AB13" s="0">
        <f>MAX(0,J13-Calculator!$E$19)</f>
      </c>
      <c r="AC13" s="0">
        <f>MAX(0,K13-Calculator!$E$20)</f>
      </c>
      <c r="AD13" s="0">
        <f>MAX(0,L13-Calculator!$E$21)</f>
      </c>
      <c r="AE13" s="0">
        <f>MAX(0,M13-Calculator!$E$22)</f>
      </c>
      <c r="AF13" s="0">
        <f>MAX(0,N13-Calculator!$E$23)</f>
      </c>
      <c r="AG13" s="0">
        <f>MAX(0,O13-Calculator!$E$24)</f>
      </c>
      <c r="AH13" s="0">
        <f>MAX(0,P13-Calculator!$E$25)</f>
      </c>
      <c r="AI13" s="0">
        <f>MAX(0,Q13-Calculator!$E$26)</f>
      </c>
      <c r="AJ13" s="0">
        <f>MAX(0,R13-Calculator!$E$27)</f>
      </c>
      <c r="AK13" s="0">
        <f>MAX(0,S13-Calculator!$E$28)</f>
      </c>
      <c r="AL13" s="0">
        <f>MAX(0,MIN(T13,BX13-SUMPRODUCT(($T$2:$AK$2&lt;T$2)*($T13:$AK13))))</f>
      </c>
      <c r="AM13" s="0">
        <f>MAX(0,MIN(U13,BX13-SUMPRODUCT(($T$2:$AK$2&lt;U$2)*($T13:$AK13))))</f>
      </c>
      <c r="AN13" s="0">
        <f>MAX(0,MIN(V13,BX13-SUMPRODUCT(($T$2:$AK$2&lt;V$2)*($T13:$AK13))))</f>
      </c>
      <c r="AO13" s="0">
        <f>MAX(0,MIN(W13,BX13-SUMPRODUCT(($T$2:$AK$2&lt;W$2)*($T13:$AK13))))</f>
      </c>
      <c r="AP13" s="0">
        <f>MAX(0,MIN(X13,BX13-SUMPRODUCT(($T$2:$AK$2&lt;X$2)*($T13:$AK13))))</f>
      </c>
      <c r="AQ13" s="0">
        <f>MAX(0,MIN(Y13,BX13-SUMPRODUCT(($T$2:$AK$2&lt;Y$2)*($T13:$AK13))))</f>
      </c>
      <c r="AR13" s="0">
        <f>MAX(0,MIN(Z13,BX13-SUMPRODUCT(($T$2:$AK$2&lt;Z$2)*($T13:$AK13))))</f>
      </c>
      <c r="AS13" s="0">
        <f>MAX(0,MIN(AA13,BX13-SUMPRODUCT(($T$2:$AK$2&lt;AA$2)*($T13:$AK13))))</f>
      </c>
      <c r="AT13" s="0">
        <f>MAX(0,MIN(AB13,BX13-SUMPRODUCT(($T$2:$AK$2&lt;AB$2)*($T13:$AK13))))</f>
      </c>
      <c r="AU13" s="0">
        <f>MAX(0,MIN(AC13,BX13-SUMPRODUCT(($T$2:$AK$2&lt;AC$2)*($T13:$AK13))))</f>
      </c>
      <c r="AV13" s="0">
        <f>MAX(0,MIN(AD13,BX13-SUMPRODUCT(($T$2:$AK$2&lt;AD$2)*($T13:$AK13))))</f>
      </c>
      <c r="AW13" s="0">
        <f>MAX(0,MIN(AE13,BX13-SUMPRODUCT(($T$2:$AK$2&lt;AE$2)*($T13:$AK13))))</f>
      </c>
      <c r="AX13" s="0">
        <f>MAX(0,MIN(AF13,BX13-SUMPRODUCT(($T$2:$AK$2&lt;AF$2)*($T13:$AK13))))</f>
      </c>
      <c r="AY13" s="0">
        <f>MAX(0,MIN(AG13,BX13-SUMPRODUCT(($T$2:$AK$2&lt;AG$2)*($T13:$AK13))))</f>
      </c>
      <c r="AZ13" s="0">
        <f>MAX(0,MIN(AH13,BX13-SUMPRODUCT(($T$2:$AK$2&lt;AH$2)*($T13:$AK13))))</f>
      </c>
      <c r="BA13" s="0">
        <f>MAX(0,MIN(AI13,BX13-SUMPRODUCT(($T$2:$AK$2&lt;AI$2)*($T13:$AK13))))</f>
      </c>
      <c r="BB13" s="0">
        <f>MAX(0,MIN(AJ13,BX13-SUMPRODUCT(($T$2:$AK$2&lt;AJ$2)*($T13:$AK13))))</f>
      </c>
      <c r="BC13" s="0">
        <f>MAX(0,MIN(AK13,BX13-SUMPRODUCT(($T$2:$AK$2&lt;AK$2)*($T13:$AK13))))</f>
      </c>
      <c r="BD13" s="0">
        <f>T13-AL13</f>
      </c>
      <c r="BE13" s="0">
        <f>U13-AM13</f>
      </c>
      <c r="BF13" s="0">
        <f>V13-AN13</f>
      </c>
      <c r="BG13" s="0">
        <f>W13-AO13</f>
      </c>
      <c r="BH13" s="0">
        <f>X13-AP13</f>
      </c>
      <c r="BI13" s="0">
        <f>Y13-AQ13</f>
      </c>
      <c r="BJ13" s="0">
        <f>Z13-AR13</f>
      </c>
      <c r="BK13" s="0">
        <f>AA13-AS13</f>
      </c>
      <c r="BL13" s="0">
        <f>AB13-AT13</f>
      </c>
      <c r="BM13" s="0">
        <f>AC13-AU13</f>
      </c>
      <c r="BN13" s="0">
        <f>AD13-AV13</f>
      </c>
      <c r="BO13" s="0">
        <f>AE13-AW13</f>
      </c>
      <c r="BP13" s="0">
        <f>AF13-AX13</f>
      </c>
      <c r="BQ13" s="0">
        <f>AG13-AY13</f>
      </c>
      <c r="BR13" s="0">
        <f>AH13-AZ13</f>
      </c>
      <c r="BS13" s="0">
        <f>AI13-BA13</f>
      </c>
      <c r="BT13" s="0">
        <f>AJ13-BB13</f>
      </c>
      <c r="BU13" s="0">
        <f>AK13-BC13</f>
      </c>
      <c r="BV13" s="0">
        <f>SUM(B13:S13)</f>
      </c>
      <c r="BW13" s="0">
        <f>SUM(T13:AK13)</f>
      </c>
      <c r="BX13" s="0">
        <f>MAX(0,(SUM(Calculator!$E$11:$E$28)+Calculator!$C$6)-BV13+BW13)</f>
      </c>
      <c r="BY13" s="0">
        <f>SUM(BD13:BU13)</f>
      </c>
      <c r="BZ13" s="0">
        <f>BV13-BY12</f>
      </c>
      <c r="CA13" s="0">
        <f>IF(A13&lt;=IF($CD$1=0,999,$CD$1),BY13,NA())</f>
      </c>
      <c r="CB13" s="0">
        <f>IF(A13&lt;=IF($CD$1=0,999,$CD$1),A13,NA())</f>
      </c>
    </row>
    <row r="14">
      <c r="A14" s="0">
        <v>11</v>
      </c>
      <c r="B14" s="0">
        <f>BD13*(1+Calculator!$D$11/100/12)</f>
      </c>
      <c r="C14" s="0">
        <f>BE13*(1+Calculator!$D$12/100/12)</f>
      </c>
      <c r="D14" s="0">
        <f>BF13*(1+Calculator!$D$13/100/12)</f>
      </c>
      <c r="E14" s="0">
        <f>BG13*(1+Calculator!$D$14/100/12)</f>
      </c>
      <c r="F14" s="0">
        <f>BH13*(1+Calculator!$D$15/100/12)</f>
      </c>
      <c r="G14" s="0">
        <f>BI13*(1+Calculator!$D$16/100/12)</f>
      </c>
      <c r="H14" s="0">
        <f>BJ13*(1+Calculator!$D$17/100/12)</f>
      </c>
      <c r="I14" s="0">
        <f>BK13*(1+Calculator!$D$18/100/12)</f>
      </c>
      <c r="J14" s="0">
        <f>BL13*(1+Calculator!$D$19/100/12)</f>
      </c>
      <c r="K14" s="0">
        <f>BM13*(1+Calculator!$D$20/100/12)</f>
      </c>
      <c r="L14" s="0">
        <f>BN13*(1+Calculator!$D$21/100/12)</f>
      </c>
      <c r="M14" s="0">
        <f>BO13*(1+Calculator!$D$22/100/12)</f>
      </c>
      <c r="N14" s="0">
        <f>BP13*(1+Calculator!$D$23/100/12)</f>
      </c>
      <c r="O14" s="0">
        <f>BQ13*(1+Calculator!$D$24/100/12)</f>
      </c>
      <c r="P14" s="0">
        <f>BR13*(1+Calculator!$D$25/100/12)</f>
      </c>
      <c r="Q14" s="0">
        <f>BS13*(1+Calculator!$D$26/100/12)</f>
      </c>
      <c r="R14" s="0">
        <f>BT13*(1+Calculator!$D$27/100/12)</f>
      </c>
      <c r="S14" s="0">
        <f>BU13*(1+Calculator!$D$28/100/12)</f>
      </c>
      <c r="T14" s="0">
        <f>MAX(0,B14-Calculator!$E$11)</f>
      </c>
      <c r="U14" s="0">
        <f>MAX(0,C14-Calculator!$E$12)</f>
      </c>
      <c r="V14" s="0">
        <f>MAX(0,D14-Calculator!$E$13)</f>
      </c>
      <c r="W14" s="0">
        <f>MAX(0,E14-Calculator!$E$14)</f>
      </c>
      <c r="X14" s="0">
        <f>MAX(0,F14-Calculator!$E$15)</f>
      </c>
      <c r="Y14" s="0">
        <f>MAX(0,G14-Calculator!$E$16)</f>
      </c>
      <c r="Z14" s="0">
        <f>MAX(0,H14-Calculator!$E$17)</f>
      </c>
      <c r="AA14" s="0">
        <f>MAX(0,I14-Calculator!$E$18)</f>
      </c>
      <c r="AB14" s="0">
        <f>MAX(0,J14-Calculator!$E$19)</f>
      </c>
      <c r="AC14" s="0">
        <f>MAX(0,K14-Calculator!$E$20)</f>
      </c>
      <c r="AD14" s="0">
        <f>MAX(0,L14-Calculator!$E$21)</f>
      </c>
      <c r="AE14" s="0">
        <f>MAX(0,M14-Calculator!$E$22)</f>
      </c>
      <c r="AF14" s="0">
        <f>MAX(0,N14-Calculator!$E$23)</f>
      </c>
      <c r="AG14" s="0">
        <f>MAX(0,O14-Calculator!$E$24)</f>
      </c>
      <c r="AH14" s="0">
        <f>MAX(0,P14-Calculator!$E$25)</f>
      </c>
      <c r="AI14" s="0">
        <f>MAX(0,Q14-Calculator!$E$26)</f>
      </c>
      <c r="AJ14" s="0">
        <f>MAX(0,R14-Calculator!$E$27)</f>
      </c>
      <c r="AK14" s="0">
        <f>MAX(0,S14-Calculator!$E$28)</f>
      </c>
      <c r="AL14" s="0">
        <f>MAX(0,MIN(T14,BX14-SUMPRODUCT(($T$2:$AK$2&lt;T$2)*($T14:$AK14))))</f>
      </c>
      <c r="AM14" s="0">
        <f>MAX(0,MIN(U14,BX14-SUMPRODUCT(($T$2:$AK$2&lt;U$2)*($T14:$AK14))))</f>
      </c>
      <c r="AN14" s="0">
        <f>MAX(0,MIN(V14,BX14-SUMPRODUCT(($T$2:$AK$2&lt;V$2)*($T14:$AK14))))</f>
      </c>
      <c r="AO14" s="0">
        <f>MAX(0,MIN(W14,BX14-SUMPRODUCT(($T$2:$AK$2&lt;W$2)*($T14:$AK14))))</f>
      </c>
      <c r="AP14" s="0">
        <f>MAX(0,MIN(X14,BX14-SUMPRODUCT(($T$2:$AK$2&lt;X$2)*($T14:$AK14))))</f>
      </c>
      <c r="AQ14" s="0">
        <f>MAX(0,MIN(Y14,BX14-SUMPRODUCT(($T$2:$AK$2&lt;Y$2)*($T14:$AK14))))</f>
      </c>
      <c r="AR14" s="0">
        <f>MAX(0,MIN(Z14,BX14-SUMPRODUCT(($T$2:$AK$2&lt;Z$2)*($T14:$AK14))))</f>
      </c>
      <c r="AS14" s="0">
        <f>MAX(0,MIN(AA14,BX14-SUMPRODUCT(($T$2:$AK$2&lt;AA$2)*($T14:$AK14))))</f>
      </c>
      <c r="AT14" s="0">
        <f>MAX(0,MIN(AB14,BX14-SUMPRODUCT(($T$2:$AK$2&lt;AB$2)*($T14:$AK14))))</f>
      </c>
      <c r="AU14" s="0">
        <f>MAX(0,MIN(AC14,BX14-SUMPRODUCT(($T$2:$AK$2&lt;AC$2)*($T14:$AK14))))</f>
      </c>
      <c r="AV14" s="0">
        <f>MAX(0,MIN(AD14,BX14-SUMPRODUCT(($T$2:$AK$2&lt;AD$2)*($T14:$AK14))))</f>
      </c>
      <c r="AW14" s="0">
        <f>MAX(0,MIN(AE14,BX14-SUMPRODUCT(($T$2:$AK$2&lt;AE$2)*($T14:$AK14))))</f>
      </c>
      <c r="AX14" s="0">
        <f>MAX(0,MIN(AF14,BX14-SUMPRODUCT(($T$2:$AK$2&lt;AF$2)*($T14:$AK14))))</f>
      </c>
      <c r="AY14" s="0">
        <f>MAX(0,MIN(AG14,BX14-SUMPRODUCT(($T$2:$AK$2&lt;AG$2)*($T14:$AK14))))</f>
      </c>
      <c r="AZ14" s="0">
        <f>MAX(0,MIN(AH14,BX14-SUMPRODUCT(($T$2:$AK$2&lt;AH$2)*($T14:$AK14))))</f>
      </c>
      <c r="BA14" s="0">
        <f>MAX(0,MIN(AI14,BX14-SUMPRODUCT(($T$2:$AK$2&lt;AI$2)*($T14:$AK14))))</f>
      </c>
      <c r="BB14" s="0">
        <f>MAX(0,MIN(AJ14,BX14-SUMPRODUCT(($T$2:$AK$2&lt;AJ$2)*($T14:$AK14))))</f>
      </c>
      <c r="BC14" s="0">
        <f>MAX(0,MIN(AK14,BX14-SUMPRODUCT(($T$2:$AK$2&lt;AK$2)*($T14:$AK14))))</f>
      </c>
      <c r="BD14" s="0">
        <f>T14-AL14</f>
      </c>
      <c r="BE14" s="0">
        <f>U14-AM14</f>
      </c>
      <c r="BF14" s="0">
        <f>V14-AN14</f>
      </c>
      <c r="BG14" s="0">
        <f>W14-AO14</f>
      </c>
      <c r="BH14" s="0">
        <f>X14-AP14</f>
      </c>
      <c r="BI14" s="0">
        <f>Y14-AQ14</f>
      </c>
      <c r="BJ14" s="0">
        <f>Z14-AR14</f>
      </c>
      <c r="BK14" s="0">
        <f>AA14-AS14</f>
      </c>
      <c r="BL14" s="0">
        <f>AB14-AT14</f>
      </c>
      <c r="BM14" s="0">
        <f>AC14-AU14</f>
      </c>
      <c r="BN14" s="0">
        <f>AD14-AV14</f>
      </c>
      <c r="BO14" s="0">
        <f>AE14-AW14</f>
      </c>
      <c r="BP14" s="0">
        <f>AF14-AX14</f>
      </c>
      <c r="BQ14" s="0">
        <f>AG14-AY14</f>
      </c>
      <c r="BR14" s="0">
        <f>AH14-AZ14</f>
      </c>
      <c r="BS14" s="0">
        <f>AI14-BA14</f>
      </c>
      <c r="BT14" s="0">
        <f>AJ14-BB14</f>
      </c>
      <c r="BU14" s="0">
        <f>AK14-BC14</f>
      </c>
      <c r="BV14" s="0">
        <f>SUM(B14:S14)</f>
      </c>
      <c r="BW14" s="0">
        <f>SUM(T14:AK14)</f>
      </c>
      <c r="BX14" s="0">
        <f>MAX(0,(SUM(Calculator!$E$11:$E$28)+Calculator!$C$6)-BV14+BW14)</f>
      </c>
      <c r="BY14" s="0">
        <f>SUM(BD14:BU14)</f>
      </c>
      <c r="BZ14" s="0">
        <f>BV14-BY13</f>
      </c>
      <c r="CA14" s="0">
        <f>IF(A14&lt;=IF($CD$1=0,999,$CD$1),BY14,NA())</f>
      </c>
      <c r="CB14" s="0">
        <f>IF(A14&lt;=IF($CD$1=0,999,$CD$1),A14,NA())</f>
      </c>
    </row>
    <row r="15">
      <c r="A15" s="0">
        <v>12</v>
      </c>
      <c r="B15" s="0">
        <f>BD14*(1+Calculator!$D$11/100/12)</f>
      </c>
      <c r="C15" s="0">
        <f>BE14*(1+Calculator!$D$12/100/12)</f>
      </c>
      <c r="D15" s="0">
        <f>BF14*(1+Calculator!$D$13/100/12)</f>
      </c>
      <c r="E15" s="0">
        <f>BG14*(1+Calculator!$D$14/100/12)</f>
      </c>
      <c r="F15" s="0">
        <f>BH14*(1+Calculator!$D$15/100/12)</f>
      </c>
      <c r="G15" s="0">
        <f>BI14*(1+Calculator!$D$16/100/12)</f>
      </c>
      <c r="H15" s="0">
        <f>BJ14*(1+Calculator!$D$17/100/12)</f>
      </c>
      <c r="I15" s="0">
        <f>BK14*(1+Calculator!$D$18/100/12)</f>
      </c>
      <c r="J15" s="0">
        <f>BL14*(1+Calculator!$D$19/100/12)</f>
      </c>
      <c r="K15" s="0">
        <f>BM14*(1+Calculator!$D$20/100/12)</f>
      </c>
      <c r="L15" s="0">
        <f>BN14*(1+Calculator!$D$21/100/12)</f>
      </c>
      <c r="M15" s="0">
        <f>BO14*(1+Calculator!$D$22/100/12)</f>
      </c>
      <c r="N15" s="0">
        <f>BP14*(1+Calculator!$D$23/100/12)</f>
      </c>
      <c r="O15" s="0">
        <f>BQ14*(1+Calculator!$D$24/100/12)</f>
      </c>
      <c r="P15" s="0">
        <f>BR14*(1+Calculator!$D$25/100/12)</f>
      </c>
      <c r="Q15" s="0">
        <f>BS14*(1+Calculator!$D$26/100/12)</f>
      </c>
      <c r="R15" s="0">
        <f>BT14*(1+Calculator!$D$27/100/12)</f>
      </c>
      <c r="S15" s="0">
        <f>BU14*(1+Calculator!$D$28/100/12)</f>
      </c>
      <c r="T15" s="0">
        <f>MAX(0,B15-Calculator!$E$11)</f>
      </c>
      <c r="U15" s="0">
        <f>MAX(0,C15-Calculator!$E$12)</f>
      </c>
      <c r="V15" s="0">
        <f>MAX(0,D15-Calculator!$E$13)</f>
      </c>
      <c r="W15" s="0">
        <f>MAX(0,E15-Calculator!$E$14)</f>
      </c>
      <c r="X15" s="0">
        <f>MAX(0,F15-Calculator!$E$15)</f>
      </c>
      <c r="Y15" s="0">
        <f>MAX(0,G15-Calculator!$E$16)</f>
      </c>
      <c r="Z15" s="0">
        <f>MAX(0,H15-Calculator!$E$17)</f>
      </c>
      <c r="AA15" s="0">
        <f>MAX(0,I15-Calculator!$E$18)</f>
      </c>
      <c r="AB15" s="0">
        <f>MAX(0,J15-Calculator!$E$19)</f>
      </c>
      <c r="AC15" s="0">
        <f>MAX(0,K15-Calculator!$E$20)</f>
      </c>
      <c r="AD15" s="0">
        <f>MAX(0,L15-Calculator!$E$21)</f>
      </c>
      <c r="AE15" s="0">
        <f>MAX(0,M15-Calculator!$E$22)</f>
      </c>
      <c r="AF15" s="0">
        <f>MAX(0,N15-Calculator!$E$23)</f>
      </c>
      <c r="AG15" s="0">
        <f>MAX(0,O15-Calculator!$E$24)</f>
      </c>
      <c r="AH15" s="0">
        <f>MAX(0,P15-Calculator!$E$25)</f>
      </c>
      <c r="AI15" s="0">
        <f>MAX(0,Q15-Calculator!$E$26)</f>
      </c>
      <c r="AJ15" s="0">
        <f>MAX(0,R15-Calculator!$E$27)</f>
      </c>
      <c r="AK15" s="0">
        <f>MAX(0,S15-Calculator!$E$28)</f>
      </c>
      <c r="AL15" s="0">
        <f>MAX(0,MIN(T15,BX15-SUMPRODUCT(($T$2:$AK$2&lt;T$2)*($T15:$AK15))))</f>
      </c>
      <c r="AM15" s="0">
        <f>MAX(0,MIN(U15,BX15-SUMPRODUCT(($T$2:$AK$2&lt;U$2)*($T15:$AK15))))</f>
      </c>
      <c r="AN15" s="0">
        <f>MAX(0,MIN(V15,BX15-SUMPRODUCT(($T$2:$AK$2&lt;V$2)*($T15:$AK15))))</f>
      </c>
      <c r="AO15" s="0">
        <f>MAX(0,MIN(W15,BX15-SUMPRODUCT(($T$2:$AK$2&lt;W$2)*($T15:$AK15))))</f>
      </c>
      <c r="AP15" s="0">
        <f>MAX(0,MIN(X15,BX15-SUMPRODUCT(($T$2:$AK$2&lt;X$2)*($T15:$AK15))))</f>
      </c>
      <c r="AQ15" s="0">
        <f>MAX(0,MIN(Y15,BX15-SUMPRODUCT(($T$2:$AK$2&lt;Y$2)*($T15:$AK15))))</f>
      </c>
      <c r="AR15" s="0">
        <f>MAX(0,MIN(Z15,BX15-SUMPRODUCT(($T$2:$AK$2&lt;Z$2)*($T15:$AK15))))</f>
      </c>
      <c r="AS15" s="0">
        <f>MAX(0,MIN(AA15,BX15-SUMPRODUCT(($T$2:$AK$2&lt;AA$2)*($T15:$AK15))))</f>
      </c>
      <c r="AT15" s="0">
        <f>MAX(0,MIN(AB15,BX15-SUMPRODUCT(($T$2:$AK$2&lt;AB$2)*($T15:$AK15))))</f>
      </c>
      <c r="AU15" s="0">
        <f>MAX(0,MIN(AC15,BX15-SUMPRODUCT(($T$2:$AK$2&lt;AC$2)*($T15:$AK15))))</f>
      </c>
      <c r="AV15" s="0">
        <f>MAX(0,MIN(AD15,BX15-SUMPRODUCT(($T$2:$AK$2&lt;AD$2)*($T15:$AK15))))</f>
      </c>
      <c r="AW15" s="0">
        <f>MAX(0,MIN(AE15,BX15-SUMPRODUCT(($T$2:$AK$2&lt;AE$2)*($T15:$AK15))))</f>
      </c>
      <c r="AX15" s="0">
        <f>MAX(0,MIN(AF15,BX15-SUMPRODUCT(($T$2:$AK$2&lt;AF$2)*($T15:$AK15))))</f>
      </c>
      <c r="AY15" s="0">
        <f>MAX(0,MIN(AG15,BX15-SUMPRODUCT(($T$2:$AK$2&lt;AG$2)*($T15:$AK15))))</f>
      </c>
      <c r="AZ15" s="0">
        <f>MAX(0,MIN(AH15,BX15-SUMPRODUCT(($T$2:$AK$2&lt;AH$2)*($T15:$AK15))))</f>
      </c>
      <c r="BA15" s="0">
        <f>MAX(0,MIN(AI15,BX15-SUMPRODUCT(($T$2:$AK$2&lt;AI$2)*($T15:$AK15))))</f>
      </c>
      <c r="BB15" s="0">
        <f>MAX(0,MIN(AJ15,BX15-SUMPRODUCT(($T$2:$AK$2&lt;AJ$2)*($T15:$AK15))))</f>
      </c>
      <c r="BC15" s="0">
        <f>MAX(0,MIN(AK15,BX15-SUMPRODUCT(($T$2:$AK$2&lt;AK$2)*($T15:$AK15))))</f>
      </c>
      <c r="BD15" s="0">
        <f>T15-AL15</f>
      </c>
      <c r="BE15" s="0">
        <f>U15-AM15</f>
      </c>
      <c r="BF15" s="0">
        <f>V15-AN15</f>
      </c>
      <c r="BG15" s="0">
        <f>W15-AO15</f>
      </c>
      <c r="BH15" s="0">
        <f>X15-AP15</f>
      </c>
      <c r="BI15" s="0">
        <f>Y15-AQ15</f>
      </c>
      <c r="BJ15" s="0">
        <f>Z15-AR15</f>
      </c>
      <c r="BK15" s="0">
        <f>AA15-AS15</f>
      </c>
      <c r="BL15" s="0">
        <f>AB15-AT15</f>
      </c>
      <c r="BM15" s="0">
        <f>AC15-AU15</f>
      </c>
      <c r="BN15" s="0">
        <f>AD15-AV15</f>
      </c>
      <c r="BO15" s="0">
        <f>AE15-AW15</f>
      </c>
      <c r="BP15" s="0">
        <f>AF15-AX15</f>
      </c>
      <c r="BQ15" s="0">
        <f>AG15-AY15</f>
      </c>
      <c r="BR15" s="0">
        <f>AH15-AZ15</f>
      </c>
      <c r="BS15" s="0">
        <f>AI15-BA15</f>
      </c>
      <c r="BT15" s="0">
        <f>AJ15-BB15</f>
      </c>
      <c r="BU15" s="0">
        <f>AK15-BC15</f>
      </c>
      <c r="BV15" s="0">
        <f>SUM(B15:S15)</f>
      </c>
      <c r="BW15" s="0">
        <f>SUM(T15:AK15)</f>
      </c>
      <c r="BX15" s="0">
        <f>MAX(0,(SUM(Calculator!$E$11:$E$28)+Calculator!$C$6)-BV15+BW15)</f>
      </c>
      <c r="BY15" s="0">
        <f>SUM(BD15:BU15)</f>
      </c>
      <c r="BZ15" s="0">
        <f>BV15-BY14</f>
      </c>
      <c r="CA15" s="0">
        <f>IF(A15&lt;=IF($CD$1=0,999,$CD$1),BY15,NA())</f>
      </c>
      <c r="CB15" s="0">
        <f>IF(A15&lt;=IF($CD$1=0,999,$CD$1),A15,NA())</f>
      </c>
    </row>
    <row r="16">
      <c r="A16" s="0">
        <v>13</v>
      </c>
      <c r="B16" s="0">
        <f>BD15*(1+Calculator!$D$11/100/12)</f>
      </c>
      <c r="C16" s="0">
        <f>BE15*(1+Calculator!$D$12/100/12)</f>
      </c>
      <c r="D16" s="0">
        <f>BF15*(1+Calculator!$D$13/100/12)</f>
      </c>
      <c r="E16" s="0">
        <f>BG15*(1+Calculator!$D$14/100/12)</f>
      </c>
      <c r="F16" s="0">
        <f>BH15*(1+Calculator!$D$15/100/12)</f>
      </c>
      <c r="G16" s="0">
        <f>BI15*(1+Calculator!$D$16/100/12)</f>
      </c>
      <c r="H16" s="0">
        <f>BJ15*(1+Calculator!$D$17/100/12)</f>
      </c>
      <c r="I16" s="0">
        <f>BK15*(1+Calculator!$D$18/100/12)</f>
      </c>
      <c r="J16" s="0">
        <f>BL15*(1+Calculator!$D$19/100/12)</f>
      </c>
      <c r="K16" s="0">
        <f>BM15*(1+Calculator!$D$20/100/12)</f>
      </c>
      <c r="L16" s="0">
        <f>BN15*(1+Calculator!$D$21/100/12)</f>
      </c>
      <c r="M16" s="0">
        <f>BO15*(1+Calculator!$D$22/100/12)</f>
      </c>
      <c r="N16" s="0">
        <f>BP15*(1+Calculator!$D$23/100/12)</f>
      </c>
      <c r="O16" s="0">
        <f>BQ15*(1+Calculator!$D$24/100/12)</f>
      </c>
      <c r="P16" s="0">
        <f>BR15*(1+Calculator!$D$25/100/12)</f>
      </c>
      <c r="Q16" s="0">
        <f>BS15*(1+Calculator!$D$26/100/12)</f>
      </c>
      <c r="R16" s="0">
        <f>BT15*(1+Calculator!$D$27/100/12)</f>
      </c>
      <c r="S16" s="0">
        <f>BU15*(1+Calculator!$D$28/100/12)</f>
      </c>
      <c r="T16" s="0">
        <f>MAX(0,B16-Calculator!$E$11)</f>
      </c>
      <c r="U16" s="0">
        <f>MAX(0,C16-Calculator!$E$12)</f>
      </c>
      <c r="V16" s="0">
        <f>MAX(0,D16-Calculator!$E$13)</f>
      </c>
      <c r="W16" s="0">
        <f>MAX(0,E16-Calculator!$E$14)</f>
      </c>
      <c r="X16" s="0">
        <f>MAX(0,F16-Calculator!$E$15)</f>
      </c>
      <c r="Y16" s="0">
        <f>MAX(0,G16-Calculator!$E$16)</f>
      </c>
      <c r="Z16" s="0">
        <f>MAX(0,H16-Calculator!$E$17)</f>
      </c>
      <c r="AA16" s="0">
        <f>MAX(0,I16-Calculator!$E$18)</f>
      </c>
      <c r="AB16" s="0">
        <f>MAX(0,J16-Calculator!$E$19)</f>
      </c>
      <c r="AC16" s="0">
        <f>MAX(0,K16-Calculator!$E$20)</f>
      </c>
      <c r="AD16" s="0">
        <f>MAX(0,L16-Calculator!$E$21)</f>
      </c>
      <c r="AE16" s="0">
        <f>MAX(0,M16-Calculator!$E$22)</f>
      </c>
      <c r="AF16" s="0">
        <f>MAX(0,N16-Calculator!$E$23)</f>
      </c>
      <c r="AG16" s="0">
        <f>MAX(0,O16-Calculator!$E$24)</f>
      </c>
      <c r="AH16" s="0">
        <f>MAX(0,P16-Calculator!$E$25)</f>
      </c>
      <c r="AI16" s="0">
        <f>MAX(0,Q16-Calculator!$E$26)</f>
      </c>
      <c r="AJ16" s="0">
        <f>MAX(0,R16-Calculator!$E$27)</f>
      </c>
      <c r="AK16" s="0">
        <f>MAX(0,S16-Calculator!$E$28)</f>
      </c>
      <c r="AL16" s="0">
        <f>MAX(0,MIN(T16,BX16-SUMPRODUCT(($T$2:$AK$2&lt;T$2)*($T16:$AK16))))</f>
      </c>
      <c r="AM16" s="0">
        <f>MAX(0,MIN(U16,BX16-SUMPRODUCT(($T$2:$AK$2&lt;U$2)*($T16:$AK16))))</f>
      </c>
      <c r="AN16" s="0">
        <f>MAX(0,MIN(V16,BX16-SUMPRODUCT(($T$2:$AK$2&lt;V$2)*($T16:$AK16))))</f>
      </c>
      <c r="AO16" s="0">
        <f>MAX(0,MIN(W16,BX16-SUMPRODUCT(($T$2:$AK$2&lt;W$2)*($T16:$AK16))))</f>
      </c>
      <c r="AP16" s="0">
        <f>MAX(0,MIN(X16,BX16-SUMPRODUCT(($T$2:$AK$2&lt;X$2)*($T16:$AK16))))</f>
      </c>
      <c r="AQ16" s="0">
        <f>MAX(0,MIN(Y16,BX16-SUMPRODUCT(($T$2:$AK$2&lt;Y$2)*($T16:$AK16))))</f>
      </c>
      <c r="AR16" s="0">
        <f>MAX(0,MIN(Z16,BX16-SUMPRODUCT(($T$2:$AK$2&lt;Z$2)*($T16:$AK16))))</f>
      </c>
      <c r="AS16" s="0">
        <f>MAX(0,MIN(AA16,BX16-SUMPRODUCT(($T$2:$AK$2&lt;AA$2)*($T16:$AK16))))</f>
      </c>
      <c r="AT16" s="0">
        <f>MAX(0,MIN(AB16,BX16-SUMPRODUCT(($T$2:$AK$2&lt;AB$2)*($T16:$AK16))))</f>
      </c>
      <c r="AU16" s="0">
        <f>MAX(0,MIN(AC16,BX16-SUMPRODUCT(($T$2:$AK$2&lt;AC$2)*($T16:$AK16))))</f>
      </c>
      <c r="AV16" s="0">
        <f>MAX(0,MIN(AD16,BX16-SUMPRODUCT(($T$2:$AK$2&lt;AD$2)*($T16:$AK16))))</f>
      </c>
      <c r="AW16" s="0">
        <f>MAX(0,MIN(AE16,BX16-SUMPRODUCT(($T$2:$AK$2&lt;AE$2)*($T16:$AK16))))</f>
      </c>
      <c r="AX16" s="0">
        <f>MAX(0,MIN(AF16,BX16-SUMPRODUCT(($T$2:$AK$2&lt;AF$2)*($T16:$AK16))))</f>
      </c>
      <c r="AY16" s="0">
        <f>MAX(0,MIN(AG16,BX16-SUMPRODUCT(($T$2:$AK$2&lt;AG$2)*($T16:$AK16))))</f>
      </c>
      <c r="AZ16" s="0">
        <f>MAX(0,MIN(AH16,BX16-SUMPRODUCT(($T$2:$AK$2&lt;AH$2)*($T16:$AK16))))</f>
      </c>
      <c r="BA16" s="0">
        <f>MAX(0,MIN(AI16,BX16-SUMPRODUCT(($T$2:$AK$2&lt;AI$2)*($T16:$AK16))))</f>
      </c>
      <c r="BB16" s="0">
        <f>MAX(0,MIN(AJ16,BX16-SUMPRODUCT(($T$2:$AK$2&lt;AJ$2)*($T16:$AK16))))</f>
      </c>
      <c r="BC16" s="0">
        <f>MAX(0,MIN(AK16,BX16-SUMPRODUCT(($T$2:$AK$2&lt;AK$2)*($T16:$AK16))))</f>
      </c>
      <c r="BD16" s="0">
        <f>T16-AL16</f>
      </c>
      <c r="BE16" s="0">
        <f>U16-AM16</f>
      </c>
      <c r="BF16" s="0">
        <f>V16-AN16</f>
      </c>
      <c r="BG16" s="0">
        <f>W16-AO16</f>
      </c>
      <c r="BH16" s="0">
        <f>X16-AP16</f>
      </c>
      <c r="BI16" s="0">
        <f>Y16-AQ16</f>
      </c>
      <c r="BJ16" s="0">
        <f>Z16-AR16</f>
      </c>
      <c r="BK16" s="0">
        <f>AA16-AS16</f>
      </c>
      <c r="BL16" s="0">
        <f>AB16-AT16</f>
      </c>
      <c r="BM16" s="0">
        <f>AC16-AU16</f>
      </c>
      <c r="BN16" s="0">
        <f>AD16-AV16</f>
      </c>
      <c r="BO16" s="0">
        <f>AE16-AW16</f>
      </c>
      <c r="BP16" s="0">
        <f>AF16-AX16</f>
      </c>
      <c r="BQ16" s="0">
        <f>AG16-AY16</f>
      </c>
      <c r="BR16" s="0">
        <f>AH16-AZ16</f>
      </c>
      <c r="BS16" s="0">
        <f>AI16-BA16</f>
      </c>
      <c r="BT16" s="0">
        <f>AJ16-BB16</f>
      </c>
      <c r="BU16" s="0">
        <f>AK16-BC16</f>
      </c>
      <c r="BV16" s="0">
        <f>SUM(B16:S16)</f>
      </c>
      <c r="BW16" s="0">
        <f>SUM(T16:AK16)</f>
      </c>
      <c r="BX16" s="0">
        <f>MAX(0,(SUM(Calculator!$E$11:$E$28)+Calculator!$C$6)-BV16+BW16)</f>
      </c>
      <c r="BY16" s="0">
        <f>SUM(BD16:BU16)</f>
      </c>
      <c r="BZ16" s="0">
        <f>BV16-BY15</f>
      </c>
      <c r="CA16" s="0">
        <f>IF(A16&lt;=IF($CD$1=0,999,$CD$1),BY16,NA())</f>
      </c>
      <c r="CB16" s="0">
        <f>IF(A16&lt;=IF($CD$1=0,999,$CD$1),A16,NA())</f>
      </c>
    </row>
    <row r="17">
      <c r="A17" s="0">
        <v>14</v>
      </c>
      <c r="B17" s="0">
        <f>BD16*(1+Calculator!$D$11/100/12)</f>
      </c>
      <c r="C17" s="0">
        <f>BE16*(1+Calculator!$D$12/100/12)</f>
      </c>
      <c r="D17" s="0">
        <f>BF16*(1+Calculator!$D$13/100/12)</f>
      </c>
      <c r="E17" s="0">
        <f>BG16*(1+Calculator!$D$14/100/12)</f>
      </c>
      <c r="F17" s="0">
        <f>BH16*(1+Calculator!$D$15/100/12)</f>
      </c>
      <c r="G17" s="0">
        <f>BI16*(1+Calculator!$D$16/100/12)</f>
      </c>
      <c r="H17" s="0">
        <f>BJ16*(1+Calculator!$D$17/100/12)</f>
      </c>
      <c r="I17" s="0">
        <f>BK16*(1+Calculator!$D$18/100/12)</f>
      </c>
      <c r="J17" s="0">
        <f>BL16*(1+Calculator!$D$19/100/12)</f>
      </c>
      <c r="K17" s="0">
        <f>BM16*(1+Calculator!$D$20/100/12)</f>
      </c>
      <c r="L17" s="0">
        <f>BN16*(1+Calculator!$D$21/100/12)</f>
      </c>
      <c r="M17" s="0">
        <f>BO16*(1+Calculator!$D$22/100/12)</f>
      </c>
      <c r="N17" s="0">
        <f>BP16*(1+Calculator!$D$23/100/12)</f>
      </c>
      <c r="O17" s="0">
        <f>BQ16*(1+Calculator!$D$24/100/12)</f>
      </c>
      <c r="P17" s="0">
        <f>BR16*(1+Calculator!$D$25/100/12)</f>
      </c>
      <c r="Q17" s="0">
        <f>BS16*(1+Calculator!$D$26/100/12)</f>
      </c>
      <c r="R17" s="0">
        <f>BT16*(1+Calculator!$D$27/100/12)</f>
      </c>
      <c r="S17" s="0">
        <f>BU16*(1+Calculator!$D$28/100/12)</f>
      </c>
      <c r="T17" s="0">
        <f>MAX(0,B17-Calculator!$E$11)</f>
      </c>
      <c r="U17" s="0">
        <f>MAX(0,C17-Calculator!$E$12)</f>
      </c>
      <c r="V17" s="0">
        <f>MAX(0,D17-Calculator!$E$13)</f>
      </c>
      <c r="W17" s="0">
        <f>MAX(0,E17-Calculator!$E$14)</f>
      </c>
      <c r="X17" s="0">
        <f>MAX(0,F17-Calculator!$E$15)</f>
      </c>
      <c r="Y17" s="0">
        <f>MAX(0,G17-Calculator!$E$16)</f>
      </c>
      <c r="Z17" s="0">
        <f>MAX(0,H17-Calculator!$E$17)</f>
      </c>
      <c r="AA17" s="0">
        <f>MAX(0,I17-Calculator!$E$18)</f>
      </c>
      <c r="AB17" s="0">
        <f>MAX(0,J17-Calculator!$E$19)</f>
      </c>
      <c r="AC17" s="0">
        <f>MAX(0,K17-Calculator!$E$20)</f>
      </c>
      <c r="AD17" s="0">
        <f>MAX(0,L17-Calculator!$E$21)</f>
      </c>
      <c r="AE17" s="0">
        <f>MAX(0,M17-Calculator!$E$22)</f>
      </c>
      <c r="AF17" s="0">
        <f>MAX(0,N17-Calculator!$E$23)</f>
      </c>
      <c r="AG17" s="0">
        <f>MAX(0,O17-Calculator!$E$24)</f>
      </c>
      <c r="AH17" s="0">
        <f>MAX(0,P17-Calculator!$E$25)</f>
      </c>
      <c r="AI17" s="0">
        <f>MAX(0,Q17-Calculator!$E$26)</f>
      </c>
      <c r="AJ17" s="0">
        <f>MAX(0,R17-Calculator!$E$27)</f>
      </c>
      <c r="AK17" s="0">
        <f>MAX(0,S17-Calculator!$E$28)</f>
      </c>
      <c r="AL17" s="0">
        <f>MAX(0,MIN(T17,BX17-SUMPRODUCT(($T$2:$AK$2&lt;T$2)*($T17:$AK17))))</f>
      </c>
      <c r="AM17" s="0">
        <f>MAX(0,MIN(U17,BX17-SUMPRODUCT(($T$2:$AK$2&lt;U$2)*($T17:$AK17))))</f>
      </c>
      <c r="AN17" s="0">
        <f>MAX(0,MIN(V17,BX17-SUMPRODUCT(($T$2:$AK$2&lt;V$2)*($T17:$AK17))))</f>
      </c>
      <c r="AO17" s="0">
        <f>MAX(0,MIN(W17,BX17-SUMPRODUCT(($T$2:$AK$2&lt;W$2)*($T17:$AK17))))</f>
      </c>
      <c r="AP17" s="0">
        <f>MAX(0,MIN(X17,BX17-SUMPRODUCT(($T$2:$AK$2&lt;X$2)*($T17:$AK17))))</f>
      </c>
      <c r="AQ17" s="0">
        <f>MAX(0,MIN(Y17,BX17-SUMPRODUCT(($T$2:$AK$2&lt;Y$2)*($T17:$AK17))))</f>
      </c>
      <c r="AR17" s="0">
        <f>MAX(0,MIN(Z17,BX17-SUMPRODUCT(($T$2:$AK$2&lt;Z$2)*($T17:$AK17))))</f>
      </c>
      <c r="AS17" s="0">
        <f>MAX(0,MIN(AA17,BX17-SUMPRODUCT(($T$2:$AK$2&lt;AA$2)*($T17:$AK17))))</f>
      </c>
      <c r="AT17" s="0">
        <f>MAX(0,MIN(AB17,BX17-SUMPRODUCT(($T$2:$AK$2&lt;AB$2)*($T17:$AK17))))</f>
      </c>
      <c r="AU17" s="0">
        <f>MAX(0,MIN(AC17,BX17-SUMPRODUCT(($T$2:$AK$2&lt;AC$2)*($T17:$AK17))))</f>
      </c>
      <c r="AV17" s="0">
        <f>MAX(0,MIN(AD17,BX17-SUMPRODUCT(($T$2:$AK$2&lt;AD$2)*($T17:$AK17))))</f>
      </c>
      <c r="AW17" s="0">
        <f>MAX(0,MIN(AE17,BX17-SUMPRODUCT(($T$2:$AK$2&lt;AE$2)*($T17:$AK17))))</f>
      </c>
      <c r="AX17" s="0">
        <f>MAX(0,MIN(AF17,BX17-SUMPRODUCT(($T$2:$AK$2&lt;AF$2)*($T17:$AK17))))</f>
      </c>
      <c r="AY17" s="0">
        <f>MAX(0,MIN(AG17,BX17-SUMPRODUCT(($T$2:$AK$2&lt;AG$2)*($T17:$AK17))))</f>
      </c>
      <c r="AZ17" s="0">
        <f>MAX(0,MIN(AH17,BX17-SUMPRODUCT(($T$2:$AK$2&lt;AH$2)*($T17:$AK17))))</f>
      </c>
      <c r="BA17" s="0">
        <f>MAX(0,MIN(AI17,BX17-SUMPRODUCT(($T$2:$AK$2&lt;AI$2)*($T17:$AK17))))</f>
      </c>
      <c r="BB17" s="0">
        <f>MAX(0,MIN(AJ17,BX17-SUMPRODUCT(($T$2:$AK$2&lt;AJ$2)*($T17:$AK17))))</f>
      </c>
      <c r="BC17" s="0">
        <f>MAX(0,MIN(AK17,BX17-SUMPRODUCT(($T$2:$AK$2&lt;AK$2)*($T17:$AK17))))</f>
      </c>
      <c r="BD17" s="0">
        <f>T17-AL17</f>
      </c>
      <c r="BE17" s="0">
        <f>U17-AM17</f>
      </c>
      <c r="BF17" s="0">
        <f>V17-AN17</f>
      </c>
      <c r="BG17" s="0">
        <f>W17-AO17</f>
      </c>
      <c r="BH17" s="0">
        <f>X17-AP17</f>
      </c>
      <c r="BI17" s="0">
        <f>Y17-AQ17</f>
      </c>
      <c r="BJ17" s="0">
        <f>Z17-AR17</f>
      </c>
      <c r="BK17" s="0">
        <f>AA17-AS17</f>
      </c>
      <c r="BL17" s="0">
        <f>AB17-AT17</f>
      </c>
      <c r="BM17" s="0">
        <f>AC17-AU17</f>
      </c>
      <c r="BN17" s="0">
        <f>AD17-AV17</f>
      </c>
      <c r="BO17" s="0">
        <f>AE17-AW17</f>
      </c>
      <c r="BP17" s="0">
        <f>AF17-AX17</f>
      </c>
      <c r="BQ17" s="0">
        <f>AG17-AY17</f>
      </c>
      <c r="BR17" s="0">
        <f>AH17-AZ17</f>
      </c>
      <c r="BS17" s="0">
        <f>AI17-BA17</f>
      </c>
      <c r="BT17" s="0">
        <f>AJ17-BB17</f>
      </c>
      <c r="BU17" s="0">
        <f>AK17-BC17</f>
      </c>
      <c r="BV17" s="0">
        <f>SUM(B17:S17)</f>
      </c>
      <c r="BW17" s="0">
        <f>SUM(T17:AK17)</f>
      </c>
      <c r="BX17" s="0">
        <f>MAX(0,(SUM(Calculator!$E$11:$E$28)+Calculator!$C$6)-BV17+BW17)</f>
      </c>
      <c r="BY17" s="0">
        <f>SUM(BD17:BU17)</f>
      </c>
      <c r="BZ17" s="0">
        <f>BV17-BY16</f>
      </c>
      <c r="CA17" s="0">
        <f>IF(A17&lt;=IF($CD$1=0,999,$CD$1),BY17,NA())</f>
      </c>
      <c r="CB17" s="0">
        <f>IF(A17&lt;=IF($CD$1=0,999,$CD$1),A17,NA())</f>
      </c>
    </row>
    <row r="18">
      <c r="A18" s="0">
        <v>15</v>
      </c>
      <c r="B18" s="0">
        <f>BD17*(1+Calculator!$D$11/100/12)</f>
      </c>
      <c r="C18" s="0">
        <f>BE17*(1+Calculator!$D$12/100/12)</f>
      </c>
      <c r="D18" s="0">
        <f>BF17*(1+Calculator!$D$13/100/12)</f>
      </c>
      <c r="E18" s="0">
        <f>BG17*(1+Calculator!$D$14/100/12)</f>
      </c>
      <c r="F18" s="0">
        <f>BH17*(1+Calculator!$D$15/100/12)</f>
      </c>
      <c r="G18" s="0">
        <f>BI17*(1+Calculator!$D$16/100/12)</f>
      </c>
      <c r="H18" s="0">
        <f>BJ17*(1+Calculator!$D$17/100/12)</f>
      </c>
      <c r="I18" s="0">
        <f>BK17*(1+Calculator!$D$18/100/12)</f>
      </c>
      <c r="J18" s="0">
        <f>BL17*(1+Calculator!$D$19/100/12)</f>
      </c>
      <c r="K18" s="0">
        <f>BM17*(1+Calculator!$D$20/100/12)</f>
      </c>
      <c r="L18" s="0">
        <f>BN17*(1+Calculator!$D$21/100/12)</f>
      </c>
      <c r="M18" s="0">
        <f>BO17*(1+Calculator!$D$22/100/12)</f>
      </c>
      <c r="N18" s="0">
        <f>BP17*(1+Calculator!$D$23/100/12)</f>
      </c>
      <c r="O18" s="0">
        <f>BQ17*(1+Calculator!$D$24/100/12)</f>
      </c>
      <c r="P18" s="0">
        <f>BR17*(1+Calculator!$D$25/100/12)</f>
      </c>
      <c r="Q18" s="0">
        <f>BS17*(1+Calculator!$D$26/100/12)</f>
      </c>
      <c r="R18" s="0">
        <f>BT17*(1+Calculator!$D$27/100/12)</f>
      </c>
      <c r="S18" s="0">
        <f>BU17*(1+Calculator!$D$28/100/12)</f>
      </c>
      <c r="T18" s="0">
        <f>MAX(0,B18-Calculator!$E$11)</f>
      </c>
      <c r="U18" s="0">
        <f>MAX(0,C18-Calculator!$E$12)</f>
      </c>
      <c r="V18" s="0">
        <f>MAX(0,D18-Calculator!$E$13)</f>
      </c>
      <c r="W18" s="0">
        <f>MAX(0,E18-Calculator!$E$14)</f>
      </c>
      <c r="X18" s="0">
        <f>MAX(0,F18-Calculator!$E$15)</f>
      </c>
      <c r="Y18" s="0">
        <f>MAX(0,G18-Calculator!$E$16)</f>
      </c>
      <c r="Z18" s="0">
        <f>MAX(0,H18-Calculator!$E$17)</f>
      </c>
      <c r="AA18" s="0">
        <f>MAX(0,I18-Calculator!$E$18)</f>
      </c>
      <c r="AB18" s="0">
        <f>MAX(0,J18-Calculator!$E$19)</f>
      </c>
      <c r="AC18" s="0">
        <f>MAX(0,K18-Calculator!$E$20)</f>
      </c>
      <c r="AD18" s="0">
        <f>MAX(0,L18-Calculator!$E$21)</f>
      </c>
      <c r="AE18" s="0">
        <f>MAX(0,M18-Calculator!$E$22)</f>
      </c>
      <c r="AF18" s="0">
        <f>MAX(0,N18-Calculator!$E$23)</f>
      </c>
      <c r="AG18" s="0">
        <f>MAX(0,O18-Calculator!$E$24)</f>
      </c>
      <c r="AH18" s="0">
        <f>MAX(0,P18-Calculator!$E$25)</f>
      </c>
      <c r="AI18" s="0">
        <f>MAX(0,Q18-Calculator!$E$26)</f>
      </c>
      <c r="AJ18" s="0">
        <f>MAX(0,R18-Calculator!$E$27)</f>
      </c>
      <c r="AK18" s="0">
        <f>MAX(0,S18-Calculator!$E$28)</f>
      </c>
      <c r="AL18" s="0">
        <f>MAX(0,MIN(T18,BX18-SUMPRODUCT(($T$2:$AK$2&lt;T$2)*($T18:$AK18))))</f>
      </c>
      <c r="AM18" s="0">
        <f>MAX(0,MIN(U18,BX18-SUMPRODUCT(($T$2:$AK$2&lt;U$2)*($T18:$AK18))))</f>
      </c>
      <c r="AN18" s="0">
        <f>MAX(0,MIN(V18,BX18-SUMPRODUCT(($T$2:$AK$2&lt;V$2)*($T18:$AK18))))</f>
      </c>
      <c r="AO18" s="0">
        <f>MAX(0,MIN(W18,BX18-SUMPRODUCT(($T$2:$AK$2&lt;W$2)*($T18:$AK18))))</f>
      </c>
      <c r="AP18" s="0">
        <f>MAX(0,MIN(X18,BX18-SUMPRODUCT(($T$2:$AK$2&lt;X$2)*($T18:$AK18))))</f>
      </c>
      <c r="AQ18" s="0">
        <f>MAX(0,MIN(Y18,BX18-SUMPRODUCT(($T$2:$AK$2&lt;Y$2)*($T18:$AK18))))</f>
      </c>
      <c r="AR18" s="0">
        <f>MAX(0,MIN(Z18,BX18-SUMPRODUCT(($T$2:$AK$2&lt;Z$2)*($T18:$AK18))))</f>
      </c>
      <c r="AS18" s="0">
        <f>MAX(0,MIN(AA18,BX18-SUMPRODUCT(($T$2:$AK$2&lt;AA$2)*($T18:$AK18))))</f>
      </c>
      <c r="AT18" s="0">
        <f>MAX(0,MIN(AB18,BX18-SUMPRODUCT(($T$2:$AK$2&lt;AB$2)*($T18:$AK18))))</f>
      </c>
      <c r="AU18" s="0">
        <f>MAX(0,MIN(AC18,BX18-SUMPRODUCT(($T$2:$AK$2&lt;AC$2)*($T18:$AK18))))</f>
      </c>
      <c r="AV18" s="0">
        <f>MAX(0,MIN(AD18,BX18-SUMPRODUCT(($T$2:$AK$2&lt;AD$2)*($T18:$AK18))))</f>
      </c>
      <c r="AW18" s="0">
        <f>MAX(0,MIN(AE18,BX18-SUMPRODUCT(($T$2:$AK$2&lt;AE$2)*($T18:$AK18))))</f>
      </c>
      <c r="AX18" s="0">
        <f>MAX(0,MIN(AF18,BX18-SUMPRODUCT(($T$2:$AK$2&lt;AF$2)*($T18:$AK18))))</f>
      </c>
      <c r="AY18" s="0">
        <f>MAX(0,MIN(AG18,BX18-SUMPRODUCT(($T$2:$AK$2&lt;AG$2)*($T18:$AK18))))</f>
      </c>
      <c r="AZ18" s="0">
        <f>MAX(0,MIN(AH18,BX18-SUMPRODUCT(($T$2:$AK$2&lt;AH$2)*($T18:$AK18))))</f>
      </c>
      <c r="BA18" s="0">
        <f>MAX(0,MIN(AI18,BX18-SUMPRODUCT(($T$2:$AK$2&lt;AI$2)*($T18:$AK18))))</f>
      </c>
      <c r="BB18" s="0">
        <f>MAX(0,MIN(AJ18,BX18-SUMPRODUCT(($T$2:$AK$2&lt;AJ$2)*($T18:$AK18))))</f>
      </c>
      <c r="BC18" s="0">
        <f>MAX(0,MIN(AK18,BX18-SUMPRODUCT(($T$2:$AK$2&lt;AK$2)*($T18:$AK18))))</f>
      </c>
      <c r="BD18" s="0">
        <f>T18-AL18</f>
      </c>
      <c r="BE18" s="0">
        <f>U18-AM18</f>
      </c>
      <c r="BF18" s="0">
        <f>V18-AN18</f>
      </c>
      <c r="BG18" s="0">
        <f>W18-AO18</f>
      </c>
      <c r="BH18" s="0">
        <f>X18-AP18</f>
      </c>
      <c r="BI18" s="0">
        <f>Y18-AQ18</f>
      </c>
      <c r="BJ18" s="0">
        <f>Z18-AR18</f>
      </c>
      <c r="BK18" s="0">
        <f>AA18-AS18</f>
      </c>
      <c r="BL18" s="0">
        <f>AB18-AT18</f>
      </c>
      <c r="BM18" s="0">
        <f>AC18-AU18</f>
      </c>
      <c r="BN18" s="0">
        <f>AD18-AV18</f>
      </c>
      <c r="BO18" s="0">
        <f>AE18-AW18</f>
      </c>
      <c r="BP18" s="0">
        <f>AF18-AX18</f>
      </c>
      <c r="BQ18" s="0">
        <f>AG18-AY18</f>
      </c>
      <c r="BR18" s="0">
        <f>AH18-AZ18</f>
      </c>
      <c r="BS18" s="0">
        <f>AI18-BA18</f>
      </c>
      <c r="BT18" s="0">
        <f>AJ18-BB18</f>
      </c>
      <c r="BU18" s="0">
        <f>AK18-BC18</f>
      </c>
      <c r="BV18" s="0">
        <f>SUM(B18:S18)</f>
      </c>
      <c r="BW18" s="0">
        <f>SUM(T18:AK18)</f>
      </c>
      <c r="BX18" s="0">
        <f>MAX(0,(SUM(Calculator!$E$11:$E$28)+Calculator!$C$6)-BV18+BW18)</f>
      </c>
      <c r="BY18" s="0">
        <f>SUM(BD18:BU18)</f>
      </c>
      <c r="BZ18" s="0">
        <f>BV18-BY17</f>
      </c>
      <c r="CA18" s="0">
        <f>IF(A18&lt;=IF($CD$1=0,999,$CD$1),BY18,NA())</f>
      </c>
      <c r="CB18" s="0">
        <f>IF(A18&lt;=IF($CD$1=0,999,$CD$1),A18,NA())</f>
      </c>
    </row>
    <row r="19">
      <c r="A19" s="0">
        <v>16</v>
      </c>
      <c r="B19" s="0">
        <f>BD18*(1+Calculator!$D$11/100/12)</f>
      </c>
      <c r="C19" s="0">
        <f>BE18*(1+Calculator!$D$12/100/12)</f>
      </c>
      <c r="D19" s="0">
        <f>BF18*(1+Calculator!$D$13/100/12)</f>
      </c>
      <c r="E19" s="0">
        <f>BG18*(1+Calculator!$D$14/100/12)</f>
      </c>
      <c r="F19" s="0">
        <f>BH18*(1+Calculator!$D$15/100/12)</f>
      </c>
      <c r="G19" s="0">
        <f>BI18*(1+Calculator!$D$16/100/12)</f>
      </c>
      <c r="H19" s="0">
        <f>BJ18*(1+Calculator!$D$17/100/12)</f>
      </c>
      <c r="I19" s="0">
        <f>BK18*(1+Calculator!$D$18/100/12)</f>
      </c>
      <c r="J19" s="0">
        <f>BL18*(1+Calculator!$D$19/100/12)</f>
      </c>
      <c r="K19" s="0">
        <f>BM18*(1+Calculator!$D$20/100/12)</f>
      </c>
      <c r="L19" s="0">
        <f>BN18*(1+Calculator!$D$21/100/12)</f>
      </c>
      <c r="M19" s="0">
        <f>BO18*(1+Calculator!$D$22/100/12)</f>
      </c>
      <c r="N19" s="0">
        <f>BP18*(1+Calculator!$D$23/100/12)</f>
      </c>
      <c r="O19" s="0">
        <f>BQ18*(1+Calculator!$D$24/100/12)</f>
      </c>
      <c r="P19" s="0">
        <f>BR18*(1+Calculator!$D$25/100/12)</f>
      </c>
      <c r="Q19" s="0">
        <f>BS18*(1+Calculator!$D$26/100/12)</f>
      </c>
      <c r="R19" s="0">
        <f>BT18*(1+Calculator!$D$27/100/12)</f>
      </c>
      <c r="S19" s="0">
        <f>BU18*(1+Calculator!$D$28/100/12)</f>
      </c>
      <c r="T19" s="0">
        <f>MAX(0,B19-Calculator!$E$11)</f>
      </c>
      <c r="U19" s="0">
        <f>MAX(0,C19-Calculator!$E$12)</f>
      </c>
      <c r="V19" s="0">
        <f>MAX(0,D19-Calculator!$E$13)</f>
      </c>
      <c r="W19" s="0">
        <f>MAX(0,E19-Calculator!$E$14)</f>
      </c>
      <c r="X19" s="0">
        <f>MAX(0,F19-Calculator!$E$15)</f>
      </c>
      <c r="Y19" s="0">
        <f>MAX(0,G19-Calculator!$E$16)</f>
      </c>
      <c r="Z19" s="0">
        <f>MAX(0,H19-Calculator!$E$17)</f>
      </c>
      <c r="AA19" s="0">
        <f>MAX(0,I19-Calculator!$E$18)</f>
      </c>
      <c r="AB19" s="0">
        <f>MAX(0,J19-Calculator!$E$19)</f>
      </c>
      <c r="AC19" s="0">
        <f>MAX(0,K19-Calculator!$E$20)</f>
      </c>
      <c r="AD19" s="0">
        <f>MAX(0,L19-Calculator!$E$21)</f>
      </c>
      <c r="AE19" s="0">
        <f>MAX(0,M19-Calculator!$E$22)</f>
      </c>
      <c r="AF19" s="0">
        <f>MAX(0,N19-Calculator!$E$23)</f>
      </c>
      <c r="AG19" s="0">
        <f>MAX(0,O19-Calculator!$E$24)</f>
      </c>
      <c r="AH19" s="0">
        <f>MAX(0,P19-Calculator!$E$25)</f>
      </c>
      <c r="AI19" s="0">
        <f>MAX(0,Q19-Calculator!$E$26)</f>
      </c>
      <c r="AJ19" s="0">
        <f>MAX(0,R19-Calculator!$E$27)</f>
      </c>
      <c r="AK19" s="0">
        <f>MAX(0,S19-Calculator!$E$28)</f>
      </c>
      <c r="AL19" s="0">
        <f>MAX(0,MIN(T19,BX19-SUMPRODUCT(($T$2:$AK$2&lt;T$2)*($T19:$AK19))))</f>
      </c>
      <c r="AM19" s="0">
        <f>MAX(0,MIN(U19,BX19-SUMPRODUCT(($T$2:$AK$2&lt;U$2)*($T19:$AK19))))</f>
      </c>
      <c r="AN19" s="0">
        <f>MAX(0,MIN(V19,BX19-SUMPRODUCT(($T$2:$AK$2&lt;V$2)*($T19:$AK19))))</f>
      </c>
      <c r="AO19" s="0">
        <f>MAX(0,MIN(W19,BX19-SUMPRODUCT(($T$2:$AK$2&lt;W$2)*($T19:$AK19))))</f>
      </c>
      <c r="AP19" s="0">
        <f>MAX(0,MIN(X19,BX19-SUMPRODUCT(($T$2:$AK$2&lt;X$2)*($T19:$AK19))))</f>
      </c>
      <c r="AQ19" s="0">
        <f>MAX(0,MIN(Y19,BX19-SUMPRODUCT(($T$2:$AK$2&lt;Y$2)*($T19:$AK19))))</f>
      </c>
      <c r="AR19" s="0">
        <f>MAX(0,MIN(Z19,BX19-SUMPRODUCT(($T$2:$AK$2&lt;Z$2)*($T19:$AK19))))</f>
      </c>
      <c r="AS19" s="0">
        <f>MAX(0,MIN(AA19,BX19-SUMPRODUCT(($T$2:$AK$2&lt;AA$2)*($T19:$AK19))))</f>
      </c>
      <c r="AT19" s="0">
        <f>MAX(0,MIN(AB19,BX19-SUMPRODUCT(($T$2:$AK$2&lt;AB$2)*($T19:$AK19))))</f>
      </c>
      <c r="AU19" s="0">
        <f>MAX(0,MIN(AC19,BX19-SUMPRODUCT(($T$2:$AK$2&lt;AC$2)*($T19:$AK19))))</f>
      </c>
      <c r="AV19" s="0">
        <f>MAX(0,MIN(AD19,BX19-SUMPRODUCT(($T$2:$AK$2&lt;AD$2)*($T19:$AK19))))</f>
      </c>
      <c r="AW19" s="0">
        <f>MAX(0,MIN(AE19,BX19-SUMPRODUCT(($T$2:$AK$2&lt;AE$2)*($T19:$AK19))))</f>
      </c>
      <c r="AX19" s="0">
        <f>MAX(0,MIN(AF19,BX19-SUMPRODUCT(($T$2:$AK$2&lt;AF$2)*($T19:$AK19))))</f>
      </c>
      <c r="AY19" s="0">
        <f>MAX(0,MIN(AG19,BX19-SUMPRODUCT(($T$2:$AK$2&lt;AG$2)*($T19:$AK19))))</f>
      </c>
      <c r="AZ19" s="0">
        <f>MAX(0,MIN(AH19,BX19-SUMPRODUCT(($T$2:$AK$2&lt;AH$2)*($T19:$AK19))))</f>
      </c>
      <c r="BA19" s="0">
        <f>MAX(0,MIN(AI19,BX19-SUMPRODUCT(($T$2:$AK$2&lt;AI$2)*($T19:$AK19))))</f>
      </c>
      <c r="BB19" s="0">
        <f>MAX(0,MIN(AJ19,BX19-SUMPRODUCT(($T$2:$AK$2&lt;AJ$2)*($T19:$AK19))))</f>
      </c>
      <c r="BC19" s="0">
        <f>MAX(0,MIN(AK19,BX19-SUMPRODUCT(($T$2:$AK$2&lt;AK$2)*($T19:$AK19))))</f>
      </c>
      <c r="BD19" s="0">
        <f>T19-AL19</f>
      </c>
      <c r="BE19" s="0">
        <f>U19-AM19</f>
      </c>
      <c r="BF19" s="0">
        <f>V19-AN19</f>
      </c>
      <c r="BG19" s="0">
        <f>W19-AO19</f>
      </c>
      <c r="BH19" s="0">
        <f>X19-AP19</f>
      </c>
      <c r="BI19" s="0">
        <f>Y19-AQ19</f>
      </c>
      <c r="BJ19" s="0">
        <f>Z19-AR19</f>
      </c>
      <c r="BK19" s="0">
        <f>AA19-AS19</f>
      </c>
      <c r="BL19" s="0">
        <f>AB19-AT19</f>
      </c>
      <c r="BM19" s="0">
        <f>AC19-AU19</f>
      </c>
      <c r="BN19" s="0">
        <f>AD19-AV19</f>
      </c>
      <c r="BO19" s="0">
        <f>AE19-AW19</f>
      </c>
      <c r="BP19" s="0">
        <f>AF19-AX19</f>
      </c>
      <c r="BQ19" s="0">
        <f>AG19-AY19</f>
      </c>
      <c r="BR19" s="0">
        <f>AH19-AZ19</f>
      </c>
      <c r="BS19" s="0">
        <f>AI19-BA19</f>
      </c>
      <c r="BT19" s="0">
        <f>AJ19-BB19</f>
      </c>
      <c r="BU19" s="0">
        <f>AK19-BC19</f>
      </c>
      <c r="BV19" s="0">
        <f>SUM(B19:S19)</f>
      </c>
      <c r="BW19" s="0">
        <f>SUM(T19:AK19)</f>
      </c>
      <c r="BX19" s="0">
        <f>MAX(0,(SUM(Calculator!$E$11:$E$28)+Calculator!$C$6)-BV19+BW19)</f>
      </c>
      <c r="BY19" s="0">
        <f>SUM(BD19:BU19)</f>
      </c>
      <c r="BZ19" s="0">
        <f>BV19-BY18</f>
      </c>
      <c r="CA19" s="0">
        <f>IF(A19&lt;=IF($CD$1=0,999,$CD$1),BY19,NA())</f>
      </c>
      <c r="CB19" s="0">
        <f>IF(A19&lt;=IF($CD$1=0,999,$CD$1),A19,NA())</f>
      </c>
    </row>
    <row r="20">
      <c r="A20" s="0">
        <v>17</v>
      </c>
      <c r="B20" s="0">
        <f>BD19*(1+Calculator!$D$11/100/12)</f>
      </c>
      <c r="C20" s="0">
        <f>BE19*(1+Calculator!$D$12/100/12)</f>
      </c>
      <c r="D20" s="0">
        <f>BF19*(1+Calculator!$D$13/100/12)</f>
      </c>
      <c r="E20" s="0">
        <f>BG19*(1+Calculator!$D$14/100/12)</f>
      </c>
      <c r="F20" s="0">
        <f>BH19*(1+Calculator!$D$15/100/12)</f>
      </c>
      <c r="G20" s="0">
        <f>BI19*(1+Calculator!$D$16/100/12)</f>
      </c>
      <c r="H20" s="0">
        <f>BJ19*(1+Calculator!$D$17/100/12)</f>
      </c>
      <c r="I20" s="0">
        <f>BK19*(1+Calculator!$D$18/100/12)</f>
      </c>
      <c r="J20" s="0">
        <f>BL19*(1+Calculator!$D$19/100/12)</f>
      </c>
      <c r="K20" s="0">
        <f>BM19*(1+Calculator!$D$20/100/12)</f>
      </c>
      <c r="L20" s="0">
        <f>BN19*(1+Calculator!$D$21/100/12)</f>
      </c>
      <c r="M20" s="0">
        <f>BO19*(1+Calculator!$D$22/100/12)</f>
      </c>
      <c r="N20" s="0">
        <f>BP19*(1+Calculator!$D$23/100/12)</f>
      </c>
      <c r="O20" s="0">
        <f>BQ19*(1+Calculator!$D$24/100/12)</f>
      </c>
      <c r="P20" s="0">
        <f>BR19*(1+Calculator!$D$25/100/12)</f>
      </c>
      <c r="Q20" s="0">
        <f>BS19*(1+Calculator!$D$26/100/12)</f>
      </c>
      <c r="R20" s="0">
        <f>BT19*(1+Calculator!$D$27/100/12)</f>
      </c>
      <c r="S20" s="0">
        <f>BU19*(1+Calculator!$D$28/100/12)</f>
      </c>
      <c r="T20" s="0">
        <f>MAX(0,B20-Calculator!$E$11)</f>
      </c>
      <c r="U20" s="0">
        <f>MAX(0,C20-Calculator!$E$12)</f>
      </c>
      <c r="V20" s="0">
        <f>MAX(0,D20-Calculator!$E$13)</f>
      </c>
      <c r="W20" s="0">
        <f>MAX(0,E20-Calculator!$E$14)</f>
      </c>
      <c r="X20" s="0">
        <f>MAX(0,F20-Calculator!$E$15)</f>
      </c>
      <c r="Y20" s="0">
        <f>MAX(0,G20-Calculator!$E$16)</f>
      </c>
      <c r="Z20" s="0">
        <f>MAX(0,H20-Calculator!$E$17)</f>
      </c>
      <c r="AA20" s="0">
        <f>MAX(0,I20-Calculator!$E$18)</f>
      </c>
      <c r="AB20" s="0">
        <f>MAX(0,J20-Calculator!$E$19)</f>
      </c>
      <c r="AC20" s="0">
        <f>MAX(0,K20-Calculator!$E$20)</f>
      </c>
      <c r="AD20" s="0">
        <f>MAX(0,L20-Calculator!$E$21)</f>
      </c>
      <c r="AE20" s="0">
        <f>MAX(0,M20-Calculator!$E$22)</f>
      </c>
      <c r="AF20" s="0">
        <f>MAX(0,N20-Calculator!$E$23)</f>
      </c>
      <c r="AG20" s="0">
        <f>MAX(0,O20-Calculator!$E$24)</f>
      </c>
      <c r="AH20" s="0">
        <f>MAX(0,P20-Calculator!$E$25)</f>
      </c>
      <c r="AI20" s="0">
        <f>MAX(0,Q20-Calculator!$E$26)</f>
      </c>
      <c r="AJ20" s="0">
        <f>MAX(0,R20-Calculator!$E$27)</f>
      </c>
      <c r="AK20" s="0">
        <f>MAX(0,S20-Calculator!$E$28)</f>
      </c>
      <c r="AL20" s="0">
        <f>MAX(0,MIN(T20,BX20-SUMPRODUCT(($T$2:$AK$2&lt;T$2)*($T20:$AK20))))</f>
      </c>
      <c r="AM20" s="0">
        <f>MAX(0,MIN(U20,BX20-SUMPRODUCT(($T$2:$AK$2&lt;U$2)*($T20:$AK20))))</f>
      </c>
      <c r="AN20" s="0">
        <f>MAX(0,MIN(V20,BX20-SUMPRODUCT(($T$2:$AK$2&lt;V$2)*($T20:$AK20))))</f>
      </c>
      <c r="AO20" s="0">
        <f>MAX(0,MIN(W20,BX20-SUMPRODUCT(($T$2:$AK$2&lt;W$2)*($T20:$AK20))))</f>
      </c>
      <c r="AP20" s="0">
        <f>MAX(0,MIN(X20,BX20-SUMPRODUCT(($T$2:$AK$2&lt;X$2)*($T20:$AK20))))</f>
      </c>
      <c r="AQ20" s="0">
        <f>MAX(0,MIN(Y20,BX20-SUMPRODUCT(($T$2:$AK$2&lt;Y$2)*($T20:$AK20))))</f>
      </c>
      <c r="AR20" s="0">
        <f>MAX(0,MIN(Z20,BX20-SUMPRODUCT(($T$2:$AK$2&lt;Z$2)*($T20:$AK20))))</f>
      </c>
      <c r="AS20" s="0">
        <f>MAX(0,MIN(AA20,BX20-SUMPRODUCT(($T$2:$AK$2&lt;AA$2)*($T20:$AK20))))</f>
      </c>
      <c r="AT20" s="0">
        <f>MAX(0,MIN(AB20,BX20-SUMPRODUCT(($T$2:$AK$2&lt;AB$2)*($T20:$AK20))))</f>
      </c>
      <c r="AU20" s="0">
        <f>MAX(0,MIN(AC20,BX20-SUMPRODUCT(($T$2:$AK$2&lt;AC$2)*($T20:$AK20))))</f>
      </c>
      <c r="AV20" s="0">
        <f>MAX(0,MIN(AD20,BX20-SUMPRODUCT(($T$2:$AK$2&lt;AD$2)*($T20:$AK20))))</f>
      </c>
      <c r="AW20" s="0">
        <f>MAX(0,MIN(AE20,BX20-SUMPRODUCT(($T$2:$AK$2&lt;AE$2)*($T20:$AK20))))</f>
      </c>
      <c r="AX20" s="0">
        <f>MAX(0,MIN(AF20,BX20-SUMPRODUCT(($T$2:$AK$2&lt;AF$2)*($T20:$AK20))))</f>
      </c>
      <c r="AY20" s="0">
        <f>MAX(0,MIN(AG20,BX20-SUMPRODUCT(($T$2:$AK$2&lt;AG$2)*($T20:$AK20))))</f>
      </c>
      <c r="AZ20" s="0">
        <f>MAX(0,MIN(AH20,BX20-SUMPRODUCT(($T$2:$AK$2&lt;AH$2)*($T20:$AK20))))</f>
      </c>
      <c r="BA20" s="0">
        <f>MAX(0,MIN(AI20,BX20-SUMPRODUCT(($T$2:$AK$2&lt;AI$2)*($T20:$AK20))))</f>
      </c>
      <c r="BB20" s="0">
        <f>MAX(0,MIN(AJ20,BX20-SUMPRODUCT(($T$2:$AK$2&lt;AJ$2)*($T20:$AK20))))</f>
      </c>
      <c r="BC20" s="0">
        <f>MAX(0,MIN(AK20,BX20-SUMPRODUCT(($T$2:$AK$2&lt;AK$2)*($T20:$AK20))))</f>
      </c>
      <c r="BD20" s="0">
        <f>T20-AL20</f>
      </c>
      <c r="BE20" s="0">
        <f>U20-AM20</f>
      </c>
      <c r="BF20" s="0">
        <f>V20-AN20</f>
      </c>
      <c r="BG20" s="0">
        <f>W20-AO20</f>
      </c>
      <c r="BH20" s="0">
        <f>X20-AP20</f>
      </c>
      <c r="BI20" s="0">
        <f>Y20-AQ20</f>
      </c>
      <c r="BJ20" s="0">
        <f>Z20-AR20</f>
      </c>
      <c r="BK20" s="0">
        <f>AA20-AS20</f>
      </c>
      <c r="BL20" s="0">
        <f>AB20-AT20</f>
      </c>
      <c r="BM20" s="0">
        <f>AC20-AU20</f>
      </c>
      <c r="BN20" s="0">
        <f>AD20-AV20</f>
      </c>
      <c r="BO20" s="0">
        <f>AE20-AW20</f>
      </c>
      <c r="BP20" s="0">
        <f>AF20-AX20</f>
      </c>
      <c r="BQ20" s="0">
        <f>AG20-AY20</f>
      </c>
      <c r="BR20" s="0">
        <f>AH20-AZ20</f>
      </c>
      <c r="BS20" s="0">
        <f>AI20-BA20</f>
      </c>
      <c r="BT20" s="0">
        <f>AJ20-BB20</f>
      </c>
      <c r="BU20" s="0">
        <f>AK20-BC20</f>
      </c>
      <c r="BV20" s="0">
        <f>SUM(B20:S20)</f>
      </c>
      <c r="BW20" s="0">
        <f>SUM(T20:AK20)</f>
      </c>
      <c r="BX20" s="0">
        <f>MAX(0,(SUM(Calculator!$E$11:$E$28)+Calculator!$C$6)-BV20+BW20)</f>
      </c>
      <c r="BY20" s="0">
        <f>SUM(BD20:BU20)</f>
      </c>
      <c r="BZ20" s="0">
        <f>BV20-BY19</f>
      </c>
      <c r="CA20" s="0">
        <f>IF(A20&lt;=IF($CD$1=0,999,$CD$1),BY20,NA())</f>
      </c>
      <c r="CB20" s="0">
        <f>IF(A20&lt;=IF($CD$1=0,999,$CD$1),A20,NA())</f>
      </c>
    </row>
    <row r="21">
      <c r="A21" s="0">
        <v>18</v>
      </c>
      <c r="B21" s="0">
        <f>BD20*(1+Calculator!$D$11/100/12)</f>
      </c>
      <c r="C21" s="0">
        <f>BE20*(1+Calculator!$D$12/100/12)</f>
      </c>
      <c r="D21" s="0">
        <f>BF20*(1+Calculator!$D$13/100/12)</f>
      </c>
      <c r="E21" s="0">
        <f>BG20*(1+Calculator!$D$14/100/12)</f>
      </c>
      <c r="F21" s="0">
        <f>BH20*(1+Calculator!$D$15/100/12)</f>
      </c>
      <c r="G21" s="0">
        <f>BI20*(1+Calculator!$D$16/100/12)</f>
      </c>
      <c r="H21" s="0">
        <f>BJ20*(1+Calculator!$D$17/100/12)</f>
      </c>
      <c r="I21" s="0">
        <f>BK20*(1+Calculator!$D$18/100/12)</f>
      </c>
      <c r="J21" s="0">
        <f>BL20*(1+Calculator!$D$19/100/12)</f>
      </c>
      <c r="K21" s="0">
        <f>BM20*(1+Calculator!$D$20/100/12)</f>
      </c>
      <c r="L21" s="0">
        <f>BN20*(1+Calculator!$D$21/100/12)</f>
      </c>
      <c r="M21" s="0">
        <f>BO20*(1+Calculator!$D$22/100/12)</f>
      </c>
      <c r="N21" s="0">
        <f>BP20*(1+Calculator!$D$23/100/12)</f>
      </c>
      <c r="O21" s="0">
        <f>BQ20*(1+Calculator!$D$24/100/12)</f>
      </c>
      <c r="P21" s="0">
        <f>BR20*(1+Calculator!$D$25/100/12)</f>
      </c>
      <c r="Q21" s="0">
        <f>BS20*(1+Calculator!$D$26/100/12)</f>
      </c>
      <c r="R21" s="0">
        <f>BT20*(1+Calculator!$D$27/100/12)</f>
      </c>
      <c r="S21" s="0">
        <f>BU20*(1+Calculator!$D$28/100/12)</f>
      </c>
      <c r="T21" s="0">
        <f>MAX(0,B21-Calculator!$E$11)</f>
      </c>
      <c r="U21" s="0">
        <f>MAX(0,C21-Calculator!$E$12)</f>
      </c>
      <c r="V21" s="0">
        <f>MAX(0,D21-Calculator!$E$13)</f>
      </c>
      <c r="W21" s="0">
        <f>MAX(0,E21-Calculator!$E$14)</f>
      </c>
      <c r="X21" s="0">
        <f>MAX(0,F21-Calculator!$E$15)</f>
      </c>
      <c r="Y21" s="0">
        <f>MAX(0,G21-Calculator!$E$16)</f>
      </c>
      <c r="Z21" s="0">
        <f>MAX(0,H21-Calculator!$E$17)</f>
      </c>
      <c r="AA21" s="0">
        <f>MAX(0,I21-Calculator!$E$18)</f>
      </c>
      <c r="AB21" s="0">
        <f>MAX(0,J21-Calculator!$E$19)</f>
      </c>
      <c r="AC21" s="0">
        <f>MAX(0,K21-Calculator!$E$20)</f>
      </c>
      <c r="AD21" s="0">
        <f>MAX(0,L21-Calculator!$E$21)</f>
      </c>
      <c r="AE21" s="0">
        <f>MAX(0,M21-Calculator!$E$22)</f>
      </c>
      <c r="AF21" s="0">
        <f>MAX(0,N21-Calculator!$E$23)</f>
      </c>
      <c r="AG21" s="0">
        <f>MAX(0,O21-Calculator!$E$24)</f>
      </c>
      <c r="AH21" s="0">
        <f>MAX(0,P21-Calculator!$E$25)</f>
      </c>
      <c r="AI21" s="0">
        <f>MAX(0,Q21-Calculator!$E$26)</f>
      </c>
      <c r="AJ21" s="0">
        <f>MAX(0,R21-Calculator!$E$27)</f>
      </c>
      <c r="AK21" s="0">
        <f>MAX(0,S21-Calculator!$E$28)</f>
      </c>
      <c r="AL21" s="0">
        <f>MAX(0,MIN(T21,BX21-SUMPRODUCT(($T$2:$AK$2&lt;T$2)*($T21:$AK21))))</f>
      </c>
      <c r="AM21" s="0">
        <f>MAX(0,MIN(U21,BX21-SUMPRODUCT(($T$2:$AK$2&lt;U$2)*($T21:$AK21))))</f>
      </c>
      <c r="AN21" s="0">
        <f>MAX(0,MIN(V21,BX21-SUMPRODUCT(($T$2:$AK$2&lt;V$2)*($T21:$AK21))))</f>
      </c>
      <c r="AO21" s="0">
        <f>MAX(0,MIN(W21,BX21-SUMPRODUCT(($T$2:$AK$2&lt;W$2)*($T21:$AK21))))</f>
      </c>
      <c r="AP21" s="0">
        <f>MAX(0,MIN(X21,BX21-SUMPRODUCT(($T$2:$AK$2&lt;X$2)*($T21:$AK21))))</f>
      </c>
      <c r="AQ21" s="0">
        <f>MAX(0,MIN(Y21,BX21-SUMPRODUCT(($T$2:$AK$2&lt;Y$2)*($T21:$AK21))))</f>
      </c>
      <c r="AR21" s="0">
        <f>MAX(0,MIN(Z21,BX21-SUMPRODUCT(($T$2:$AK$2&lt;Z$2)*($T21:$AK21))))</f>
      </c>
      <c r="AS21" s="0">
        <f>MAX(0,MIN(AA21,BX21-SUMPRODUCT(($T$2:$AK$2&lt;AA$2)*($T21:$AK21))))</f>
      </c>
      <c r="AT21" s="0">
        <f>MAX(0,MIN(AB21,BX21-SUMPRODUCT(($T$2:$AK$2&lt;AB$2)*($T21:$AK21))))</f>
      </c>
      <c r="AU21" s="0">
        <f>MAX(0,MIN(AC21,BX21-SUMPRODUCT(($T$2:$AK$2&lt;AC$2)*($T21:$AK21))))</f>
      </c>
      <c r="AV21" s="0">
        <f>MAX(0,MIN(AD21,BX21-SUMPRODUCT(($T$2:$AK$2&lt;AD$2)*($T21:$AK21))))</f>
      </c>
      <c r="AW21" s="0">
        <f>MAX(0,MIN(AE21,BX21-SUMPRODUCT(($T$2:$AK$2&lt;AE$2)*($T21:$AK21))))</f>
      </c>
      <c r="AX21" s="0">
        <f>MAX(0,MIN(AF21,BX21-SUMPRODUCT(($T$2:$AK$2&lt;AF$2)*($T21:$AK21))))</f>
      </c>
      <c r="AY21" s="0">
        <f>MAX(0,MIN(AG21,BX21-SUMPRODUCT(($T$2:$AK$2&lt;AG$2)*($T21:$AK21))))</f>
      </c>
      <c r="AZ21" s="0">
        <f>MAX(0,MIN(AH21,BX21-SUMPRODUCT(($T$2:$AK$2&lt;AH$2)*($T21:$AK21))))</f>
      </c>
      <c r="BA21" s="0">
        <f>MAX(0,MIN(AI21,BX21-SUMPRODUCT(($T$2:$AK$2&lt;AI$2)*($T21:$AK21))))</f>
      </c>
      <c r="BB21" s="0">
        <f>MAX(0,MIN(AJ21,BX21-SUMPRODUCT(($T$2:$AK$2&lt;AJ$2)*($T21:$AK21))))</f>
      </c>
      <c r="BC21" s="0">
        <f>MAX(0,MIN(AK21,BX21-SUMPRODUCT(($T$2:$AK$2&lt;AK$2)*($T21:$AK21))))</f>
      </c>
      <c r="BD21" s="0">
        <f>T21-AL21</f>
      </c>
      <c r="BE21" s="0">
        <f>U21-AM21</f>
      </c>
      <c r="BF21" s="0">
        <f>V21-AN21</f>
      </c>
      <c r="BG21" s="0">
        <f>W21-AO21</f>
      </c>
      <c r="BH21" s="0">
        <f>X21-AP21</f>
      </c>
      <c r="BI21" s="0">
        <f>Y21-AQ21</f>
      </c>
      <c r="BJ21" s="0">
        <f>Z21-AR21</f>
      </c>
      <c r="BK21" s="0">
        <f>AA21-AS21</f>
      </c>
      <c r="BL21" s="0">
        <f>AB21-AT21</f>
      </c>
      <c r="BM21" s="0">
        <f>AC21-AU21</f>
      </c>
      <c r="BN21" s="0">
        <f>AD21-AV21</f>
      </c>
      <c r="BO21" s="0">
        <f>AE21-AW21</f>
      </c>
      <c r="BP21" s="0">
        <f>AF21-AX21</f>
      </c>
      <c r="BQ21" s="0">
        <f>AG21-AY21</f>
      </c>
      <c r="BR21" s="0">
        <f>AH21-AZ21</f>
      </c>
      <c r="BS21" s="0">
        <f>AI21-BA21</f>
      </c>
      <c r="BT21" s="0">
        <f>AJ21-BB21</f>
      </c>
      <c r="BU21" s="0">
        <f>AK21-BC21</f>
      </c>
      <c r="BV21" s="0">
        <f>SUM(B21:S21)</f>
      </c>
      <c r="BW21" s="0">
        <f>SUM(T21:AK21)</f>
      </c>
      <c r="BX21" s="0">
        <f>MAX(0,(SUM(Calculator!$E$11:$E$28)+Calculator!$C$6)-BV21+BW21)</f>
      </c>
      <c r="BY21" s="0">
        <f>SUM(BD21:BU21)</f>
      </c>
      <c r="BZ21" s="0">
        <f>BV21-BY20</f>
      </c>
      <c r="CA21" s="0">
        <f>IF(A21&lt;=IF($CD$1=0,999,$CD$1),BY21,NA())</f>
      </c>
      <c r="CB21" s="0">
        <f>IF(A21&lt;=IF($CD$1=0,999,$CD$1),A21,NA())</f>
      </c>
    </row>
    <row r="22">
      <c r="A22" s="0">
        <v>19</v>
      </c>
      <c r="B22" s="0">
        <f>BD21*(1+Calculator!$D$11/100/12)</f>
      </c>
      <c r="C22" s="0">
        <f>BE21*(1+Calculator!$D$12/100/12)</f>
      </c>
      <c r="D22" s="0">
        <f>BF21*(1+Calculator!$D$13/100/12)</f>
      </c>
      <c r="E22" s="0">
        <f>BG21*(1+Calculator!$D$14/100/12)</f>
      </c>
      <c r="F22" s="0">
        <f>BH21*(1+Calculator!$D$15/100/12)</f>
      </c>
      <c r="G22" s="0">
        <f>BI21*(1+Calculator!$D$16/100/12)</f>
      </c>
      <c r="H22" s="0">
        <f>BJ21*(1+Calculator!$D$17/100/12)</f>
      </c>
      <c r="I22" s="0">
        <f>BK21*(1+Calculator!$D$18/100/12)</f>
      </c>
      <c r="J22" s="0">
        <f>BL21*(1+Calculator!$D$19/100/12)</f>
      </c>
      <c r="K22" s="0">
        <f>BM21*(1+Calculator!$D$20/100/12)</f>
      </c>
      <c r="L22" s="0">
        <f>BN21*(1+Calculator!$D$21/100/12)</f>
      </c>
      <c r="M22" s="0">
        <f>BO21*(1+Calculator!$D$22/100/12)</f>
      </c>
      <c r="N22" s="0">
        <f>BP21*(1+Calculator!$D$23/100/12)</f>
      </c>
      <c r="O22" s="0">
        <f>BQ21*(1+Calculator!$D$24/100/12)</f>
      </c>
      <c r="P22" s="0">
        <f>BR21*(1+Calculator!$D$25/100/12)</f>
      </c>
      <c r="Q22" s="0">
        <f>BS21*(1+Calculator!$D$26/100/12)</f>
      </c>
      <c r="R22" s="0">
        <f>BT21*(1+Calculator!$D$27/100/12)</f>
      </c>
      <c r="S22" s="0">
        <f>BU21*(1+Calculator!$D$28/100/12)</f>
      </c>
      <c r="T22" s="0">
        <f>MAX(0,B22-Calculator!$E$11)</f>
      </c>
      <c r="U22" s="0">
        <f>MAX(0,C22-Calculator!$E$12)</f>
      </c>
      <c r="V22" s="0">
        <f>MAX(0,D22-Calculator!$E$13)</f>
      </c>
      <c r="W22" s="0">
        <f>MAX(0,E22-Calculator!$E$14)</f>
      </c>
      <c r="X22" s="0">
        <f>MAX(0,F22-Calculator!$E$15)</f>
      </c>
      <c r="Y22" s="0">
        <f>MAX(0,G22-Calculator!$E$16)</f>
      </c>
      <c r="Z22" s="0">
        <f>MAX(0,H22-Calculator!$E$17)</f>
      </c>
      <c r="AA22" s="0">
        <f>MAX(0,I22-Calculator!$E$18)</f>
      </c>
      <c r="AB22" s="0">
        <f>MAX(0,J22-Calculator!$E$19)</f>
      </c>
      <c r="AC22" s="0">
        <f>MAX(0,K22-Calculator!$E$20)</f>
      </c>
      <c r="AD22" s="0">
        <f>MAX(0,L22-Calculator!$E$21)</f>
      </c>
      <c r="AE22" s="0">
        <f>MAX(0,M22-Calculator!$E$22)</f>
      </c>
      <c r="AF22" s="0">
        <f>MAX(0,N22-Calculator!$E$23)</f>
      </c>
      <c r="AG22" s="0">
        <f>MAX(0,O22-Calculator!$E$24)</f>
      </c>
      <c r="AH22" s="0">
        <f>MAX(0,P22-Calculator!$E$25)</f>
      </c>
      <c r="AI22" s="0">
        <f>MAX(0,Q22-Calculator!$E$26)</f>
      </c>
      <c r="AJ22" s="0">
        <f>MAX(0,R22-Calculator!$E$27)</f>
      </c>
      <c r="AK22" s="0">
        <f>MAX(0,S22-Calculator!$E$28)</f>
      </c>
      <c r="AL22" s="0">
        <f>MAX(0,MIN(T22,BX22-SUMPRODUCT(($T$2:$AK$2&lt;T$2)*($T22:$AK22))))</f>
      </c>
      <c r="AM22" s="0">
        <f>MAX(0,MIN(U22,BX22-SUMPRODUCT(($T$2:$AK$2&lt;U$2)*($T22:$AK22))))</f>
      </c>
      <c r="AN22" s="0">
        <f>MAX(0,MIN(V22,BX22-SUMPRODUCT(($T$2:$AK$2&lt;V$2)*($T22:$AK22))))</f>
      </c>
      <c r="AO22" s="0">
        <f>MAX(0,MIN(W22,BX22-SUMPRODUCT(($T$2:$AK$2&lt;W$2)*($T22:$AK22))))</f>
      </c>
      <c r="AP22" s="0">
        <f>MAX(0,MIN(X22,BX22-SUMPRODUCT(($T$2:$AK$2&lt;X$2)*($T22:$AK22))))</f>
      </c>
      <c r="AQ22" s="0">
        <f>MAX(0,MIN(Y22,BX22-SUMPRODUCT(($T$2:$AK$2&lt;Y$2)*($T22:$AK22))))</f>
      </c>
      <c r="AR22" s="0">
        <f>MAX(0,MIN(Z22,BX22-SUMPRODUCT(($T$2:$AK$2&lt;Z$2)*($T22:$AK22))))</f>
      </c>
      <c r="AS22" s="0">
        <f>MAX(0,MIN(AA22,BX22-SUMPRODUCT(($T$2:$AK$2&lt;AA$2)*($T22:$AK22))))</f>
      </c>
      <c r="AT22" s="0">
        <f>MAX(0,MIN(AB22,BX22-SUMPRODUCT(($T$2:$AK$2&lt;AB$2)*($T22:$AK22))))</f>
      </c>
      <c r="AU22" s="0">
        <f>MAX(0,MIN(AC22,BX22-SUMPRODUCT(($T$2:$AK$2&lt;AC$2)*($T22:$AK22))))</f>
      </c>
      <c r="AV22" s="0">
        <f>MAX(0,MIN(AD22,BX22-SUMPRODUCT(($T$2:$AK$2&lt;AD$2)*($T22:$AK22))))</f>
      </c>
      <c r="AW22" s="0">
        <f>MAX(0,MIN(AE22,BX22-SUMPRODUCT(($T$2:$AK$2&lt;AE$2)*($T22:$AK22))))</f>
      </c>
      <c r="AX22" s="0">
        <f>MAX(0,MIN(AF22,BX22-SUMPRODUCT(($T$2:$AK$2&lt;AF$2)*($T22:$AK22))))</f>
      </c>
      <c r="AY22" s="0">
        <f>MAX(0,MIN(AG22,BX22-SUMPRODUCT(($T$2:$AK$2&lt;AG$2)*($T22:$AK22))))</f>
      </c>
      <c r="AZ22" s="0">
        <f>MAX(0,MIN(AH22,BX22-SUMPRODUCT(($T$2:$AK$2&lt;AH$2)*($T22:$AK22))))</f>
      </c>
      <c r="BA22" s="0">
        <f>MAX(0,MIN(AI22,BX22-SUMPRODUCT(($T$2:$AK$2&lt;AI$2)*($T22:$AK22))))</f>
      </c>
      <c r="BB22" s="0">
        <f>MAX(0,MIN(AJ22,BX22-SUMPRODUCT(($T$2:$AK$2&lt;AJ$2)*($T22:$AK22))))</f>
      </c>
      <c r="BC22" s="0">
        <f>MAX(0,MIN(AK22,BX22-SUMPRODUCT(($T$2:$AK$2&lt;AK$2)*($T22:$AK22))))</f>
      </c>
      <c r="BD22" s="0">
        <f>T22-AL22</f>
      </c>
      <c r="BE22" s="0">
        <f>U22-AM22</f>
      </c>
      <c r="BF22" s="0">
        <f>V22-AN22</f>
      </c>
      <c r="BG22" s="0">
        <f>W22-AO22</f>
      </c>
      <c r="BH22" s="0">
        <f>X22-AP22</f>
      </c>
      <c r="BI22" s="0">
        <f>Y22-AQ22</f>
      </c>
      <c r="BJ22" s="0">
        <f>Z22-AR22</f>
      </c>
      <c r="BK22" s="0">
        <f>AA22-AS22</f>
      </c>
      <c r="BL22" s="0">
        <f>AB22-AT22</f>
      </c>
      <c r="BM22" s="0">
        <f>AC22-AU22</f>
      </c>
      <c r="BN22" s="0">
        <f>AD22-AV22</f>
      </c>
      <c r="BO22" s="0">
        <f>AE22-AW22</f>
      </c>
      <c r="BP22" s="0">
        <f>AF22-AX22</f>
      </c>
      <c r="BQ22" s="0">
        <f>AG22-AY22</f>
      </c>
      <c r="BR22" s="0">
        <f>AH22-AZ22</f>
      </c>
      <c r="BS22" s="0">
        <f>AI22-BA22</f>
      </c>
      <c r="BT22" s="0">
        <f>AJ22-BB22</f>
      </c>
      <c r="BU22" s="0">
        <f>AK22-BC22</f>
      </c>
      <c r="BV22" s="0">
        <f>SUM(B22:S22)</f>
      </c>
      <c r="BW22" s="0">
        <f>SUM(T22:AK22)</f>
      </c>
      <c r="BX22" s="0">
        <f>MAX(0,(SUM(Calculator!$E$11:$E$28)+Calculator!$C$6)-BV22+BW22)</f>
      </c>
      <c r="BY22" s="0">
        <f>SUM(BD22:BU22)</f>
      </c>
      <c r="BZ22" s="0">
        <f>BV22-BY21</f>
      </c>
      <c r="CA22" s="0">
        <f>IF(A22&lt;=IF($CD$1=0,999,$CD$1),BY22,NA())</f>
      </c>
      <c r="CB22" s="0">
        <f>IF(A22&lt;=IF($CD$1=0,999,$CD$1),A22,NA())</f>
      </c>
    </row>
    <row r="23">
      <c r="A23" s="0">
        <v>20</v>
      </c>
      <c r="B23" s="0">
        <f>BD22*(1+Calculator!$D$11/100/12)</f>
      </c>
      <c r="C23" s="0">
        <f>BE22*(1+Calculator!$D$12/100/12)</f>
      </c>
      <c r="D23" s="0">
        <f>BF22*(1+Calculator!$D$13/100/12)</f>
      </c>
      <c r="E23" s="0">
        <f>BG22*(1+Calculator!$D$14/100/12)</f>
      </c>
      <c r="F23" s="0">
        <f>BH22*(1+Calculator!$D$15/100/12)</f>
      </c>
      <c r="G23" s="0">
        <f>BI22*(1+Calculator!$D$16/100/12)</f>
      </c>
      <c r="H23" s="0">
        <f>BJ22*(1+Calculator!$D$17/100/12)</f>
      </c>
      <c r="I23" s="0">
        <f>BK22*(1+Calculator!$D$18/100/12)</f>
      </c>
      <c r="J23" s="0">
        <f>BL22*(1+Calculator!$D$19/100/12)</f>
      </c>
      <c r="K23" s="0">
        <f>BM22*(1+Calculator!$D$20/100/12)</f>
      </c>
      <c r="L23" s="0">
        <f>BN22*(1+Calculator!$D$21/100/12)</f>
      </c>
      <c r="M23" s="0">
        <f>BO22*(1+Calculator!$D$22/100/12)</f>
      </c>
      <c r="N23" s="0">
        <f>BP22*(1+Calculator!$D$23/100/12)</f>
      </c>
      <c r="O23" s="0">
        <f>BQ22*(1+Calculator!$D$24/100/12)</f>
      </c>
      <c r="P23" s="0">
        <f>BR22*(1+Calculator!$D$25/100/12)</f>
      </c>
      <c r="Q23" s="0">
        <f>BS22*(1+Calculator!$D$26/100/12)</f>
      </c>
      <c r="R23" s="0">
        <f>BT22*(1+Calculator!$D$27/100/12)</f>
      </c>
      <c r="S23" s="0">
        <f>BU22*(1+Calculator!$D$28/100/12)</f>
      </c>
      <c r="T23" s="0">
        <f>MAX(0,B23-Calculator!$E$11)</f>
      </c>
      <c r="U23" s="0">
        <f>MAX(0,C23-Calculator!$E$12)</f>
      </c>
      <c r="V23" s="0">
        <f>MAX(0,D23-Calculator!$E$13)</f>
      </c>
      <c r="W23" s="0">
        <f>MAX(0,E23-Calculator!$E$14)</f>
      </c>
      <c r="X23" s="0">
        <f>MAX(0,F23-Calculator!$E$15)</f>
      </c>
      <c r="Y23" s="0">
        <f>MAX(0,G23-Calculator!$E$16)</f>
      </c>
      <c r="Z23" s="0">
        <f>MAX(0,H23-Calculator!$E$17)</f>
      </c>
      <c r="AA23" s="0">
        <f>MAX(0,I23-Calculator!$E$18)</f>
      </c>
      <c r="AB23" s="0">
        <f>MAX(0,J23-Calculator!$E$19)</f>
      </c>
      <c r="AC23" s="0">
        <f>MAX(0,K23-Calculator!$E$20)</f>
      </c>
      <c r="AD23" s="0">
        <f>MAX(0,L23-Calculator!$E$21)</f>
      </c>
      <c r="AE23" s="0">
        <f>MAX(0,M23-Calculator!$E$22)</f>
      </c>
      <c r="AF23" s="0">
        <f>MAX(0,N23-Calculator!$E$23)</f>
      </c>
      <c r="AG23" s="0">
        <f>MAX(0,O23-Calculator!$E$24)</f>
      </c>
      <c r="AH23" s="0">
        <f>MAX(0,P23-Calculator!$E$25)</f>
      </c>
      <c r="AI23" s="0">
        <f>MAX(0,Q23-Calculator!$E$26)</f>
      </c>
      <c r="AJ23" s="0">
        <f>MAX(0,R23-Calculator!$E$27)</f>
      </c>
      <c r="AK23" s="0">
        <f>MAX(0,S23-Calculator!$E$28)</f>
      </c>
      <c r="AL23" s="0">
        <f>MAX(0,MIN(T23,BX23-SUMPRODUCT(($T$2:$AK$2&lt;T$2)*($T23:$AK23))))</f>
      </c>
      <c r="AM23" s="0">
        <f>MAX(0,MIN(U23,BX23-SUMPRODUCT(($T$2:$AK$2&lt;U$2)*($T23:$AK23))))</f>
      </c>
      <c r="AN23" s="0">
        <f>MAX(0,MIN(V23,BX23-SUMPRODUCT(($T$2:$AK$2&lt;V$2)*($T23:$AK23))))</f>
      </c>
      <c r="AO23" s="0">
        <f>MAX(0,MIN(W23,BX23-SUMPRODUCT(($T$2:$AK$2&lt;W$2)*($T23:$AK23))))</f>
      </c>
      <c r="AP23" s="0">
        <f>MAX(0,MIN(X23,BX23-SUMPRODUCT(($T$2:$AK$2&lt;X$2)*($T23:$AK23))))</f>
      </c>
      <c r="AQ23" s="0">
        <f>MAX(0,MIN(Y23,BX23-SUMPRODUCT(($T$2:$AK$2&lt;Y$2)*($T23:$AK23))))</f>
      </c>
      <c r="AR23" s="0">
        <f>MAX(0,MIN(Z23,BX23-SUMPRODUCT(($T$2:$AK$2&lt;Z$2)*($T23:$AK23))))</f>
      </c>
      <c r="AS23" s="0">
        <f>MAX(0,MIN(AA23,BX23-SUMPRODUCT(($T$2:$AK$2&lt;AA$2)*($T23:$AK23))))</f>
      </c>
      <c r="AT23" s="0">
        <f>MAX(0,MIN(AB23,BX23-SUMPRODUCT(($T$2:$AK$2&lt;AB$2)*($T23:$AK23))))</f>
      </c>
      <c r="AU23" s="0">
        <f>MAX(0,MIN(AC23,BX23-SUMPRODUCT(($T$2:$AK$2&lt;AC$2)*($T23:$AK23))))</f>
      </c>
      <c r="AV23" s="0">
        <f>MAX(0,MIN(AD23,BX23-SUMPRODUCT(($T$2:$AK$2&lt;AD$2)*($T23:$AK23))))</f>
      </c>
      <c r="AW23" s="0">
        <f>MAX(0,MIN(AE23,BX23-SUMPRODUCT(($T$2:$AK$2&lt;AE$2)*($T23:$AK23))))</f>
      </c>
      <c r="AX23" s="0">
        <f>MAX(0,MIN(AF23,BX23-SUMPRODUCT(($T$2:$AK$2&lt;AF$2)*($T23:$AK23))))</f>
      </c>
      <c r="AY23" s="0">
        <f>MAX(0,MIN(AG23,BX23-SUMPRODUCT(($T$2:$AK$2&lt;AG$2)*($T23:$AK23))))</f>
      </c>
      <c r="AZ23" s="0">
        <f>MAX(0,MIN(AH23,BX23-SUMPRODUCT(($T$2:$AK$2&lt;AH$2)*($T23:$AK23))))</f>
      </c>
      <c r="BA23" s="0">
        <f>MAX(0,MIN(AI23,BX23-SUMPRODUCT(($T$2:$AK$2&lt;AI$2)*($T23:$AK23))))</f>
      </c>
      <c r="BB23" s="0">
        <f>MAX(0,MIN(AJ23,BX23-SUMPRODUCT(($T$2:$AK$2&lt;AJ$2)*($T23:$AK23))))</f>
      </c>
      <c r="BC23" s="0">
        <f>MAX(0,MIN(AK23,BX23-SUMPRODUCT(($T$2:$AK$2&lt;AK$2)*($T23:$AK23))))</f>
      </c>
      <c r="BD23" s="0">
        <f>T23-AL23</f>
      </c>
      <c r="BE23" s="0">
        <f>U23-AM23</f>
      </c>
      <c r="BF23" s="0">
        <f>V23-AN23</f>
      </c>
      <c r="BG23" s="0">
        <f>W23-AO23</f>
      </c>
      <c r="BH23" s="0">
        <f>X23-AP23</f>
      </c>
      <c r="BI23" s="0">
        <f>Y23-AQ23</f>
      </c>
      <c r="BJ23" s="0">
        <f>Z23-AR23</f>
      </c>
      <c r="BK23" s="0">
        <f>AA23-AS23</f>
      </c>
      <c r="BL23" s="0">
        <f>AB23-AT23</f>
      </c>
      <c r="BM23" s="0">
        <f>AC23-AU23</f>
      </c>
      <c r="BN23" s="0">
        <f>AD23-AV23</f>
      </c>
      <c r="BO23" s="0">
        <f>AE23-AW23</f>
      </c>
      <c r="BP23" s="0">
        <f>AF23-AX23</f>
      </c>
      <c r="BQ23" s="0">
        <f>AG23-AY23</f>
      </c>
      <c r="BR23" s="0">
        <f>AH23-AZ23</f>
      </c>
      <c r="BS23" s="0">
        <f>AI23-BA23</f>
      </c>
      <c r="BT23" s="0">
        <f>AJ23-BB23</f>
      </c>
      <c r="BU23" s="0">
        <f>AK23-BC23</f>
      </c>
      <c r="BV23" s="0">
        <f>SUM(B23:S23)</f>
      </c>
      <c r="BW23" s="0">
        <f>SUM(T23:AK23)</f>
      </c>
      <c r="BX23" s="0">
        <f>MAX(0,(SUM(Calculator!$E$11:$E$28)+Calculator!$C$6)-BV23+BW23)</f>
      </c>
      <c r="BY23" s="0">
        <f>SUM(BD23:BU23)</f>
      </c>
      <c r="BZ23" s="0">
        <f>BV23-BY22</f>
      </c>
      <c r="CA23" s="0">
        <f>IF(A23&lt;=IF($CD$1=0,999,$CD$1),BY23,NA())</f>
      </c>
      <c r="CB23" s="0">
        <f>IF(A23&lt;=IF($CD$1=0,999,$CD$1),A23,NA())</f>
      </c>
    </row>
    <row r="24">
      <c r="A24" s="0">
        <v>21</v>
      </c>
      <c r="B24" s="0">
        <f>BD23*(1+Calculator!$D$11/100/12)</f>
      </c>
      <c r="C24" s="0">
        <f>BE23*(1+Calculator!$D$12/100/12)</f>
      </c>
      <c r="D24" s="0">
        <f>BF23*(1+Calculator!$D$13/100/12)</f>
      </c>
      <c r="E24" s="0">
        <f>BG23*(1+Calculator!$D$14/100/12)</f>
      </c>
      <c r="F24" s="0">
        <f>BH23*(1+Calculator!$D$15/100/12)</f>
      </c>
      <c r="G24" s="0">
        <f>BI23*(1+Calculator!$D$16/100/12)</f>
      </c>
      <c r="H24" s="0">
        <f>BJ23*(1+Calculator!$D$17/100/12)</f>
      </c>
      <c r="I24" s="0">
        <f>BK23*(1+Calculator!$D$18/100/12)</f>
      </c>
      <c r="J24" s="0">
        <f>BL23*(1+Calculator!$D$19/100/12)</f>
      </c>
      <c r="K24" s="0">
        <f>BM23*(1+Calculator!$D$20/100/12)</f>
      </c>
      <c r="L24" s="0">
        <f>BN23*(1+Calculator!$D$21/100/12)</f>
      </c>
      <c r="M24" s="0">
        <f>BO23*(1+Calculator!$D$22/100/12)</f>
      </c>
      <c r="N24" s="0">
        <f>BP23*(1+Calculator!$D$23/100/12)</f>
      </c>
      <c r="O24" s="0">
        <f>BQ23*(1+Calculator!$D$24/100/12)</f>
      </c>
      <c r="P24" s="0">
        <f>BR23*(1+Calculator!$D$25/100/12)</f>
      </c>
      <c r="Q24" s="0">
        <f>BS23*(1+Calculator!$D$26/100/12)</f>
      </c>
      <c r="R24" s="0">
        <f>BT23*(1+Calculator!$D$27/100/12)</f>
      </c>
      <c r="S24" s="0">
        <f>BU23*(1+Calculator!$D$28/100/12)</f>
      </c>
      <c r="T24" s="0">
        <f>MAX(0,B24-Calculator!$E$11)</f>
      </c>
      <c r="U24" s="0">
        <f>MAX(0,C24-Calculator!$E$12)</f>
      </c>
      <c r="V24" s="0">
        <f>MAX(0,D24-Calculator!$E$13)</f>
      </c>
      <c r="W24" s="0">
        <f>MAX(0,E24-Calculator!$E$14)</f>
      </c>
      <c r="X24" s="0">
        <f>MAX(0,F24-Calculator!$E$15)</f>
      </c>
      <c r="Y24" s="0">
        <f>MAX(0,G24-Calculator!$E$16)</f>
      </c>
      <c r="Z24" s="0">
        <f>MAX(0,H24-Calculator!$E$17)</f>
      </c>
      <c r="AA24" s="0">
        <f>MAX(0,I24-Calculator!$E$18)</f>
      </c>
      <c r="AB24" s="0">
        <f>MAX(0,J24-Calculator!$E$19)</f>
      </c>
      <c r="AC24" s="0">
        <f>MAX(0,K24-Calculator!$E$20)</f>
      </c>
      <c r="AD24" s="0">
        <f>MAX(0,L24-Calculator!$E$21)</f>
      </c>
      <c r="AE24" s="0">
        <f>MAX(0,M24-Calculator!$E$22)</f>
      </c>
      <c r="AF24" s="0">
        <f>MAX(0,N24-Calculator!$E$23)</f>
      </c>
      <c r="AG24" s="0">
        <f>MAX(0,O24-Calculator!$E$24)</f>
      </c>
      <c r="AH24" s="0">
        <f>MAX(0,P24-Calculator!$E$25)</f>
      </c>
      <c r="AI24" s="0">
        <f>MAX(0,Q24-Calculator!$E$26)</f>
      </c>
      <c r="AJ24" s="0">
        <f>MAX(0,R24-Calculator!$E$27)</f>
      </c>
      <c r="AK24" s="0">
        <f>MAX(0,S24-Calculator!$E$28)</f>
      </c>
      <c r="AL24" s="0">
        <f>MAX(0,MIN(T24,BX24-SUMPRODUCT(($T$2:$AK$2&lt;T$2)*($T24:$AK24))))</f>
      </c>
      <c r="AM24" s="0">
        <f>MAX(0,MIN(U24,BX24-SUMPRODUCT(($T$2:$AK$2&lt;U$2)*($T24:$AK24))))</f>
      </c>
      <c r="AN24" s="0">
        <f>MAX(0,MIN(V24,BX24-SUMPRODUCT(($T$2:$AK$2&lt;V$2)*($T24:$AK24))))</f>
      </c>
      <c r="AO24" s="0">
        <f>MAX(0,MIN(W24,BX24-SUMPRODUCT(($T$2:$AK$2&lt;W$2)*($T24:$AK24))))</f>
      </c>
      <c r="AP24" s="0">
        <f>MAX(0,MIN(X24,BX24-SUMPRODUCT(($T$2:$AK$2&lt;X$2)*($T24:$AK24))))</f>
      </c>
      <c r="AQ24" s="0">
        <f>MAX(0,MIN(Y24,BX24-SUMPRODUCT(($T$2:$AK$2&lt;Y$2)*($T24:$AK24))))</f>
      </c>
      <c r="AR24" s="0">
        <f>MAX(0,MIN(Z24,BX24-SUMPRODUCT(($T$2:$AK$2&lt;Z$2)*($T24:$AK24))))</f>
      </c>
      <c r="AS24" s="0">
        <f>MAX(0,MIN(AA24,BX24-SUMPRODUCT(($T$2:$AK$2&lt;AA$2)*($T24:$AK24))))</f>
      </c>
      <c r="AT24" s="0">
        <f>MAX(0,MIN(AB24,BX24-SUMPRODUCT(($T$2:$AK$2&lt;AB$2)*($T24:$AK24))))</f>
      </c>
      <c r="AU24" s="0">
        <f>MAX(0,MIN(AC24,BX24-SUMPRODUCT(($T$2:$AK$2&lt;AC$2)*($T24:$AK24))))</f>
      </c>
      <c r="AV24" s="0">
        <f>MAX(0,MIN(AD24,BX24-SUMPRODUCT(($T$2:$AK$2&lt;AD$2)*($T24:$AK24))))</f>
      </c>
      <c r="AW24" s="0">
        <f>MAX(0,MIN(AE24,BX24-SUMPRODUCT(($T$2:$AK$2&lt;AE$2)*($T24:$AK24))))</f>
      </c>
      <c r="AX24" s="0">
        <f>MAX(0,MIN(AF24,BX24-SUMPRODUCT(($T$2:$AK$2&lt;AF$2)*($T24:$AK24))))</f>
      </c>
      <c r="AY24" s="0">
        <f>MAX(0,MIN(AG24,BX24-SUMPRODUCT(($T$2:$AK$2&lt;AG$2)*($T24:$AK24))))</f>
      </c>
      <c r="AZ24" s="0">
        <f>MAX(0,MIN(AH24,BX24-SUMPRODUCT(($T$2:$AK$2&lt;AH$2)*($T24:$AK24))))</f>
      </c>
      <c r="BA24" s="0">
        <f>MAX(0,MIN(AI24,BX24-SUMPRODUCT(($T$2:$AK$2&lt;AI$2)*($T24:$AK24))))</f>
      </c>
      <c r="BB24" s="0">
        <f>MAX(0,MIN(AJ24,BX24-SUMPRODUCT(($T$2:$AK$2&lt;AJ$2)*($T24:$AK24))))</f>
      </c>
      <c r="BC24" s="0">
        <f>MAX(0,MIN(AK24,BX24-SUMPRODUCT(($T$2:$AK$2&lt;AK$2)*($T24:$AK24))))</f>
      </c>
      <c r="BD24" s="0">
        <f>T24-AL24</f>
      </c>
      <c r="BE24" s="0">
        <f>U24-AM24</f>
      </c>
      <c r="BF24" s="0">
        <f>V24-AN24</f>
      </c>
      <c r="BG24" s="0">
        <f>W24-AO24</f>
      </c>
      <c r="BH24" s="0">
        <f>X24-AP24</f>
      </c>
      <c r="BI24" s="0">
        <f>Y24-AQ24</f>
      </c>
      <c r="BJ24" s="0">
        <f>Z24-AR24</f>
      </c>
      <c r="BK24" s="0">
        <f>AA24-AS24</f>
      </c>
      <c r="BL24" s="0">
        <f>AB24-AT24</f>
      </c>
      <c r="BM24" s="0">
        <f>AC24-AU24</f>
      </c>
      <c r="BN24" s="0">
        <f>AD24-AV24</f>
      </c>
      <c r="BO24" s="0">
        <f>AE24-AW24</f>
      </c>
      <c r="BP24" s="0">
        <f>AF24-AX24</f>
      </c>
      <c r="BQ24" s="0">
        <f>AG24-AY24</f>
      </c>
      <c r="BR24" s="0">
        <f>AH24-AZ24</f>
      </c>
      <c r="BS24" s="0">
        <f>AI24-BA24</f>
      </c>
      <c r="BT24" s="0">
        <f>AJ24-BB24</f>
      </c>
      <c r="BU24" s="0">
        <f>AK24-BC24</f>
      </c>
      <c r="BV24" s="0">
        <f>SUM(B24:S24)</f>
      </c>
      <c r="BW24" s="0">
        <f>SUM(T24:AK24)</f>
      </c>
      <c r="BX24" s="0">
        <f>MAX(0,(SUM(Calculator!$E$11:$E$28)+Calculator!$C$6)-BV24+BW24)</f>
      </c>
      <c r="BY24" s="0">
        <f>SUM(BD24:BU24)</f>
      </c>
      <c r="BZ24" s="0">
        <f>BV24-BY23</f>
      </c>
      <c r="CA24" s="0">
        <f>IF(A24&lt;=IF($CD$1=0,999,$CD$1),BY24,NA())</f>
      </c>
      <c r="CB24" s="0">
        <f>IF(A24&lt;=IF($CD$1=0,999,$CD$1),A24,NA())</f>
      </c>
    </row>
    <row r="25">
      <c r="A25" s="0">
        <v>22</v>
      </c>
      <c r="B25" s="0">
        <f>BD24*(1+Calculator!$D$11/100/12)</f>
      </c>
      <c r="C25" s="0">
        <f>BE24*(1+Calculator!$D$12/100/12)</f>
      </c>
      <c r="D25" s="0">
        <f>BF24*(1+Calculator!$D$13/100/12)</f>
      </c>
      <c r="E25" s="0">
        <f>BG24*(1+Calculator!$D$14/100/12)</f>
      </c>
      <c r="F25" s="0">
        <f>BH24*(1+Calculator!$D$15/100/12)</f>
      </c>
      <c r="G25" s="0">
        <f>BI24*(1+Calculator!$D$16/100/12)</f>
      </c>
      <c r="H25" s="0">
        <f>BJ24*(1+Calculator!$D$17/100/12)</f>
      </c>
      <c r="I25" s="0">
        <f>BK24*(1+Calculator!$D$18/100/12)</f>
      </c>
      <c r="J25" s="0">
        <f>BL24*(1+Calculator!$D$19/100/12)</f>
      </c>
      <c r="K25" s="0">
        <f>BM24*(1+Calculator!$D$20/100/12)</f>
      </c>
      <c r="L25" s="0">
        <f>BN24*(1+Calculator!$D$21/100/12)</f>
      </c>
      <c r="M25" s="0">
        <f>BO24*(1+Calculator!$D$22/100/12)</f>
      </c>
      <c r="N25" s="0">
        <f>BP24*(1+Calculator!$D$23/100/12)</f>
      </c>
      <c r="O25" s="0">
        <f>BQ24*(1+Calculator!$D$24/100/12)</f>
      </c>
      <c r="P25" s="0">
        <f>BR24*(1+Calculator!$D$25/100/12)</f>
      </c>
      <c r="Q25" s="0">
        <f>BS24*(1+Calculator!$D$26/100/12)</f>
      </c>
      <c r="R25" s="0">
        <f>BT24*(1+Calculator!$D$27/100/12)</f>
      </c>
      <c r="S25" s="0">
        <f>BU24*(1+Calculator!$D$28/100/12)</f>
      </c>
      <c r="T25" s="0">
        <f>MAX(0,B25-Calculator!$E$11)</f>
      </c>
      <c r="U25" s="0">
        <f>MAX(0,C25-Calculator!$E$12)</f>
      </c>
      <c r="V25" s="0">
        <f>MAX(0,D25-Calculator!$E$13)</f>
      </c>
      <c r="W25" s="0">
        <f>MAX(0,E25-Calculator!$E$14)</f>
      </c>
      <c r="X25" s="0">
        <f>MAX(0,F25-Calculator!$E$15)</f>
      </c>
      <c r="Y25" s="0">
        <f>MAX(0,G25-Calculator!$E$16)</f>
      </c>
      <c r="Z25" s="0">
        <f>MAX(0,H25-Calculator!$E$17)</f>
      </c>
      <c r="AA25" s="0">
        <f>MAX(0,I25-Calculator!$E$18)</f>
      </c>
      <c r="AB25" s="0">
        <f>MAX(0,J25-Calculator!$E$19)</f>
      </c>
      <c r="AC25" s="0">
        <f>MAX(0,K25-Calculator!$E$20)</f>
      </c>
      <c r="AD25" s="0">
        <f>MAX(0,L25-Calculator!$E$21)</f>
      </c>
      <c r="AE25" s="0">
        <f>MAX(0,M25-Calculator!$E$22)</f>
      </c>
      <c r="AF25" s="0">
        <f>MAX(0,N25-Calculator!$E$23)</f>
      </c>
      <c r="AG25" s="0">
        <f>MAX(0,O25-Calculator!$E$24)</f>
      </c>
      <c r="AH25" s="0">
        <f>MAX(0,P25-Calculator!$E$25)</f>
      </c>
      <c r="AI25" s="0">
        <f>MAX(0,Q25-Calculator!$E$26)</f>
      </c>
      <c r="AJ25" s="0">
        <f>MAX(0,R25-Calculator!$E$27)</f>
      </c>
      <c r="AK25" s="0">
        <f>MAX(0,S25-Calculator!$E$28)</f>
      </c>
      <c r="AL25" s="0">
        <f>MAX(0,MIN(T25,BX25-SUMPRODUCT(($T$2:$AK$2&lt;T$2)*($T25:$AK25))))</f>
      </c>
      <c r="AM25" s="0">
        <f>MAX(0,MIN(U25,BX25-SUMPRODUCT(($T$2:$AK$2&lt;U$2)*($T25:$AK25))))</f>
      </c>
      <c r="AN25" s="0">
        <f>MAX(0,MIN(V25,BX25-SUMPRODUCT(($T$2:$AK$2&lt;V$2)*($T25:$AK25))))</f>
      </c>
      <c r="AO25" s="0">
        <f>MAX(0,MIN(W25,BX25-SUMPRODUCT(($T$2:$AK$2&lt;W$2)*($T25:$AK25))))</f>
      </c>
      <c r="AP25" s="0">
        <f>MAX(0,MIN(X25,BX25-SUMPRODUCT(($T$2:$AK$2&lt;X$2)*($T25:$AK25))))</f>
      </c>
      <c r="AQ25" s="0">
        <f>MAX(0,MIN(Y25,BX25-SUMPRODUCT(($T$2:$AK$2&lt;Y$2)*($T25:$AK25))))</f>
      </c>
      <c r="AR25" s="0">
        <f>MAX(0,MIN(Z25,BX25-SUMPRODUCT(($T$2:$AK$2&lt;Z$2)*($T25:$AK25))))</f>
      </c>
      <c r="AS25" s="0">
        <f>MAX(0,MIN(AA25,BX25-SUMPRODUCT(($T$2:$AK$2&lt;AA$2)*($T25:$AK25))))</f>
      </c>
      <c r="AT25" s="0">
        <f>MAX(0,MIN(AB25,BX25-SUMPRODUCT(($T$2:$AK$2&lt;AB$2)*($T25:$AK25))))</f>
      </c>
      <c r="AU25" s="0">
        <f>MAX(0,MIN(AC25,BX25-SUMPRODUCT(($T$2:$AK$2&lt;AC$2)*($T25:$AK25))))</f>
      </c>
      <c r="AV25" s="0">
        <f>MAX(0,MIN(AD25,BX25-SUMPRODUCT(($T$2:$AK$2&lt;AD$2)*($T25:$AK25))))</f>
      </c>
      <c r="AW25" s="0">
        <f>MAX(0,MIN(AE25,BX25-SUMPRODUCT(($T$2:$AK$2&lt;AE$2)*($T25:$AK25))))</f>
      </c>
      <c r="AX25" s="0">
        <f>MAX(0,MIN(AF25,BX25-SUMPRODUCT(($T$2:$AK$2&lt;AF$2)*($T25:$AK25))))</f>
      </c>
      <c r="AY25" s="0">
        <f>MAX(0,MIN(AG25,BX25-SUMPRODUCT(($T$2:$AK$2&lt;AG$2)*($T25:$AK25))))</f>
      </c>
      <c r="AZ25" s="0">
        <f>MAX(0,MIN(AH25,BX25-SUMPRODUCT(($T$2:$AK$2&lt;AH$2)*($T25:$AK25))))</f>
      </c>
      <c r="BA25" s="0">
        <f>MAX(0,MIN(AI25,BX25-SUMPRODUCT(($T$2:$AK$2&lt;AI$2)*($T25:$AK25))))</f>
      </c>
      <c r="BB25" s="0">
        <f>MAX(0,MIN(AJ25,BX25-SUMPRODUCT(($T$2:$AK$2&lt;AJ$2)*($T25:$AK25))))</f>
      </c>
      <c r="BC25" s="0">
        <f>MAX(0,MIN(AK25,BX25-SUMPRODUCT(($T$2:$AK$2&lt;AK$2)*($T25:$AK25))))</f>
      </c>
      <c r="BD25" s="0">
        <f>T25-AL25</f>
      </c>
      <c r="BE25" s="0">
        <f>U25-AM25</f>
      </c>
      <c r="BF25" s="0">
        <f>V25-AN25</f>
      </c>
      <c r="BG25" s="0">
        <f>W25-AO25</f>
      </c>
      <c r="BH25" s="0">
        <f>X25-AP25</f>
      </c>
      <c r="BI25" s="0">
        <f>Y25-AQ25</f>
      </c>
      <c r="BJ25" s="0">
        <f>Z25-AR25</f>
      </c>
      <c r="BK25" s="0">
        <f>AA25-AS25</f>
      </c>
      <c r="BL25" s="0">
        <f>AB25-AT25</f>
      </c>
      <c r="BM25" s="0">
        <f>AC25-AU25</f>
      </c>
      <c r="BN25" s="0">
        <f>AD25-AV25</f>
      </c>
      <c r="BO25" s="0">
        <f>AE25-AW25</f>
      </c>
      <c r="BP25" s="0">
        <f>AF25-AX25</f>
      </c>
      <c r="BQ25" s="0">
        <f>AG25-AY25</f>
      </c>
      <c r="BR25" s="0">
        <f>AH25-AZ25</f>
      </c>
      <c r="BS25" s="0">
        <f>AI25-BA25</f>
      </c>
      <c r="BT25" s="0">
        <f>AJ25-BB25</f>
      </c>
      <c r="BU25" s="0">
        <f>AK25-BC25</f>
      </c>
      <c r="BV25" s="0">
        <f>SUM(B25:S25)</f>
      </c>
      <c r="BW25" s="0">
        <f>SUM(T25:AK25)</f>
      </c>
      <c r="BX25" s="0">
        <f>MAX(0,(SUM(Calculator!$E$11:$E$28)+Calculator!$C$6)-BV25+BW25)</f>
      </c>
      <c r="BY25" s="0">
        <f>SUM(BD25:BU25)</f>
      </c>
      <c r="BZ25" s="0">
        <f>BV25-BY24</f>
      </c>
      <c r="CA25" s="0">
        <f>IF(A25&lt;=IF($CD$1=0,999,$CD$1),BY25,NA())</f>
      </c>
      <c r="CB25" s="0">
        <f>IF(A25&lt;=IF($CD$1=0,999,$CD$1),A25,NA())</f>
      </c>
    </row>
    <row r="26">
      <c r="A26" s="0">
        <v>23</v>
      </c>
      <c r="B26" s="0">
        <f>BD25*(1+Calculator!$D$11/100/12)</f>
      </c>
      <c r="C26" s="0">
        <f>BE25*(1+Calculator!$D$12/100/12)</f>
      </c>
      <c r="D26" s="0">
        <f>BF25*(1+Calculator!$D$13/100/12)</f>
      </c>
      <c r="E26" s="0">
        <f>BG25*(1+Calculator!$D$14/100/12)</f>
      </c>
      <c r="F26" s="0">
        <f>BH25*(1+Calculator!$D$15/100/12)</f>
      </c>
      <c r="G26" s="0">
        <f>BI25*(1+Calculator!$D$16/100/12)</f>
      </c>
      <c r="H26" s="0">
        <f>BJ25*(1+Calculator!$D$17/100/12)</f>
      </c>
      <c r="I26" s="0">
        <f>BK25*(1+Calculator!$D$18/100/12)</f>
      </c>
      <c r="J26" s="0">
        <f>BL25*(1+Calculator!$D$19/100/12)</f>
      </c>
      <c r="K26" s="0">
        <f>BM25*(1+Calculator!$D$20/100/12)</f>
      </c>
      <c r="L26" s="0">
        <f>BN25*(1+Calculator!$D$21/100/12)</f>
      </c>
      <c r="M26" s="0">
        <f>BO25*(1+Calculator!$D$22/100/12)</f>
      </c>
      <c r="N26" s="0">
        <f>BP25*(1+Calculator!$D$23/100/12)</f>
      </c>
      <c r="O26" s="0">
        <f>BQ25*(1+Calculator!$D$24/100/12)</f>
      </c>
      <c r="P26" s="0">
        <f>BR25*(1+Calculator!$D$25/100/12)</f>
      </c>
      <c r="Q26" s="0">
        <f>BS25*(1+Calculator!$D$26/100/12)</f>
      </c>
      <c r="R26" s="0">
        <f>BT25*(1+Calculator!$D$27/100/12)</f>
      </c>
      <c r="S26" s="0">
        <f>BU25*(1+Calculator!$D$28/100/12)</f>
      </c>
      <c r="T26" s="0">
        <f>MAX(0,B26-Calculator!$E$11)</f>
      </c>
      <c r="U26" s="0">
        <f>MAX(0,C26-Calculator!$E$12)</f>
      </c>
      <c r="V26" s="0">
        <f>MAX(0,D26-Calculator!$E$13)</f>
      </c>
      <c r="W26" s="0">
        <f>MAX(0,E26-Calculator!$E$14)</f>
      </c>
      <c r="X26" s="0">
        <f>MAX(0,F26-Calculator!$E$15)</f>
      </c>
      <c r="Y26" s="0">
        <f>MAX(0,G26-Calculator!$E$16)</f>
      </c>
      <c r="Z26" s="0">
        <f>MAX(0,H26-Calculator!$E$17)</f>
      </c>
      <c r="AA26" s="0">
        <f>MAX(0,I26-Calculator!$E$18)</f>
      </c>
      <c r="AB26" s="0">
        <f>MAX(0,J26-Calculator!$E$19)</f>
      </c>
      <c r="AC26" s="0">
        <f>MAX(0,K26-Calculator!$E$20)</f>
      </c>
      <c r="AD26" s="0">
        <f>MAX(0,L26-Calculator!$E$21)</f>
      </c>
      <c r="AE26" s="0">
        <f>MAX(0,M26-Calculator!$E$22)</f>
      </c>
      <c r="AF26" s="0">
        <f>MAX(0,N26-Calculator!$E$23)</f>
      </c>
      <c r="AG26" s="0">
        <f>MAX(0,O26-Calculator!$E$24)</f>
      </c>
      <c r="AH26" s="0">
        <f>MAX(0,P26-Calculator!$E$25)</f>
      </c>
      <c r="AI26" s="0">
        <f>MAX(0,Q26-Calculator!$E$26)</f>
      </c>
      <c r="AJ26" s="0">
        <f>MAX(0,R26-Calculator!$E$27)</f>
      </c>
      <c r="AK26" s="0">
        <f>MAX(0,S26-Calculator!$E$28)</f>
      </c>
      <c r="AL26" s="0">
        <f>MAX(0,MIN(T26,BX26-SUMPRODUCT(($T$2:$AK$2&lt;T$2)*($T26:$AK26))))</f>
      </c>
      <c r="AM26" s="0">
        <f>MAX(0,MIN(U26,BX26-SUMPRODUCT(($T$2:$AK$2&lt;U$2)*($T26:$AK26))))</f>
      </c>
      <c r="AN26" s="0">
        <f>MAX(0,MIN(V26,BX26-SUMPRODUCT(($T$2:$AK$2&lt;V$2)*($T26:$AK26))))</f>
      </c>
      <c r="AO26" s="0">
        <f>MAX(0,MIN(W26,BX26-SUMPRODUCT(($T$2:$AK$2&lt;W$2)*($T26:$AK26))))</f>
      </c>
      <c r="AP26" s="0">
        <f>MAX(0,MIN(X26,BX26-SUMPRODUCT(($T$2:$AK$2&lt;X$2)*($T26:$AK26))))</f>
      </c>
      <c r="AQ26" s="0">
        <f>MAX(0,MIN(Y26,BX26-SUMPRODUCT(($T$2:$AK$2&lt;Y$2)*($T26:$AK26))))</f>
      </c>
      <c r="AR26" s="0">
        <f>MAX(0,MIN(Z26,BX26-SUMPRODUCT(($T$2:$AK$2&lt;Z$2)*($T26:$AK26))))</f>
      </c>
      <c r="AS26" s="0">
        <f>MAX(0,MIN(AA26,BX26-SUMPRODUCT(($T$2:$AK$2&lt;AA$2)*($T26:$AK26))))</f>
      </c>
      <c r="AT26" s="0">
        <f>MAX(0,MIN(AB26,BX26-SUMPRODUCT(($T$2:$AK$2&lt;AB$2)*($T26:$AK26))))</f>
      </c>
      <c r="AU26" s="0">
        <f>MAX(0,MIN(AC26,BX26-SUMPRODUCT(($T$2:$AK$2&lt;AC$2)*($T26:$AK26))))</f>
      </c>
      <c r="AV26" s="0">
        <f>MAX(0,MIN(AD26,BX26-SUMPRODUCT(($T$2:$AK$2&lt;AD$2)*($T26:$AK26))))</f>
      </c>
      <c r="AW26" s="0">
        <f>MAX(0,MIN(AE26,BX26-SUMPRODUCT(($T$2:$AK$2&lt;AE$2)*($T26:$AK26))))</f>
      </c>
      <c r="AX26" s="0">
        <f>MAX(0,MIN(AF26,BX26-SUMPRODUCT(($T$2:$AK$2&lt;AF$2)*($T26:$AK26))))</f>
      </c>
      <c r="AY26" s="0">
        <f>MAX(0,MIN(AG26,BX26-SUMPRODUCT(($T$2:$AK$2&lt;AG$2)*($T26:$AK26))))</f>
      </c>
      <c r="AZ26" s="0">
        <f>MAX(0,MIN(AH26,BX26-SUMPRODUCT(($T$2:$AK$2&lt;AH$2)*($T26:$AK26))))</f>
      </c>
      <c r="BA26" s="0">
        <f>MAX(0,MIN(AI26,BX26-SUMPRODUCT(($T$2:$AK$2&lt;AI$2)*($T26:$AK26))))</f>
      </c>
      <c r="BB26" s="0">
        <f>MAX(0,MIN(AJ26,BX26-SUMPRODUCT(($T$2:$AK$2&lt;AJ$2)*($T26:$AK26))))</f>
      </c>
      <c r="BC26" s="0">
        <f>MAX(0,MIN(AK26,BX26-SUMPRODUCT(($T$2:$AK$2&lt;AK$2)*($T26:$AK26))))</f>
      </c>
      <c r="BD26" s="0">
        <f>T26-AL26</f>
      </c>
      <c r="BE26" s="0">
        <f>U26-AM26</f>
      </c>
      <c r="BF26" s="0">
        <f>V26-AN26</f>
      </c>
      <c r="BG26" s="0">
        <f>W26-AO26</f>
      </c>
      <c r="BH26" s="0">
        <f>X26-AP26</f>
      </c>
      <c r="BI26" s="0">
        <f>Y26-AQ26</f>
      </c>
      <c r="BJ26" s="0">
        <f>Z26-AR26</f>
      </c>
      <c r="BK26" s="0">
        <f>AA26-AS26</f>
      </c>
      <c r="BL26" s="0">
        <f>AB26-AT26</f>
      </c>
      <c r="BM26" s="0">
        <f>AC26-AU26</f>
      </c>
      <c r="BN26" s="0">
        <f>AD26-AV26</f>
      </c>
      <c r="BO26" s="0">
        <f>AE26-AW26</f>
      </c>
      <c r="BP26" s="0">
        <f>AF26-AX26</f>
      </c>
      <c r="BQ26" s="0">
        <f>AG26-AY26</f>
      </c>
      <c r="BR26" s="0">
        <f>AH26-AZ26</f>
      </c>
      <c r="BS26" s="0">
        <f>AI26-BA26</f>
      </c>
      <c r="BT26" s="0">
        <f>AJ26-BB26</f>
      </c>
      <c r="BU26" s="0">
        <f>AK26-BC26</f>
      </c>
      <c r="BV26" s="0">
        <f>SUM(B26:S26)</f>
      </c>
      <c r="BW26" s="0">
        <f>SUM(T26:AK26)</f>
      </c>
      <c r="BX26" s="0">
        <f>MAX(0,(SUM(Calculator!$E$11:$E$28)+Calculator!$C$6)-BV26+BW26)</f>
      </c>
      <c r="BY26" s="0">
        <f>SUM(BD26:BU26)</f>
      </c>
      <c r="BZ26" s="0">
        <f>BV26-BY25</f>
      </c>
      <c r="CA26" s="0">
        <f>IF(A26&lt;=IF($CD$1=0,999,$CD$1),BY26,NA())</f>
      </c>
      <c r="CB26" s="0">
        <f>IF(A26&lt;=IF($CD$1=0,999,$CD$1),A26,NA())</f>
      </c>
    </row>
    <row r="27">
      <c r="A27" s="0">
        <v>24</v>
      </c>
      <c r="B27" s="0">
        <f>BD26*(1+Calculator!$D$11/100/12)</f>
      </c>
      <c r="C27" s="0">
        <f>BE26*(1+Calculator!$D$12/100/12)</f>
      </c>
      <c r="D27" s="0">
        <f>BF26*(1+Calculator!$D$13/100/12)</f>
      </c>
      <c r="E27" s="0">
        <f>BG26*(1+Calculator!$D$14/100/12)</f>
      </c>
      <c r="F27" s="0">
        <f>BH26*(1+Calculator!$D$15/100/12)</f>
      </c>
      <c r="G27" s="0">
        <f>BI26*(1+Calculator!$D$16/100/12)</f>
      </c>
      <c r="H27" s="0">
        <f>BJ26*(1+Calculator!$D$17/100/12)</f>
      </c>
      <c r="I27" s="0">
        <f>BK26*(1+Calculator!$D$18/100/12)</f>
      </c>
      <c r="J27" s="0">
        <f>BL26*(1+Calculator!$D$19/100/12)</f>
      </c>
      <c r="K27" s="0">
        <f>BM26*(1+Calculator!$D$20/100/12)</f>
      </c>
      <c r="L27" s="0">
        <f>BN26*(1+Calculator!$D$21/100/12)</f>
      </c>
      <c r="M27" s="0">
        <f>BO26*(1+Calculator!$D$22/100/12)</f>
      </c>
      <c r="N27" s="0">
        <f>BP26*(1+Calculator!$D$23/100/12)</f>
      </c>
      <c r="O27" s="0">
        <f>BQ26*(1+Calculator!$D$24/100/12)</f>
      </c>
      <c r="P27" s="0">
        <f>BR26*(1+Calculator!$D$25/100/12)</f>
      </c>
      <c r="Q27" s="0">
        <f>BS26*(1+Calculator!$D$26/100/12)</f>
      </c>
      <c r="R27" s="0">
        <f>BT26*(1+Calculator!$D$27/100/12)</f>
      </c>
      <c r="S27" s="0">
        <f>BU26*(1+Calculator!$D$28/100/12)</f>
      </c>
      <c r="T27" s="0">
        <f>MAX(0,B27-Calculator!$E$11)</f>
      </c>
      <c r="U27" s="0">
        <f>MAX(0,C27-Calculator!$E$12)</f>
      </c>
      <c r="V27" s="0">
        <f>MAX(0,D27-Calculator!$E$13)</f>
      </c>
      <c r="W27" s="0">
        <f>MAX(0,E27-Calculator!$E$14)</f>
      </c>
      <c r="X27" s="0">
        <f>MAX(0,F27-Calculator!$E$15)</f>
      </c>
      <c r="Y27" s="0">
        <f>MAX(0,G27-Calculator!$E$16)</f>
      </c>
      <c r="Z27" s="0">
        <f>MAX(0,H27-Calculator!$E$17)</f>
      </c>
      <c r="AA27" s="0">
        <f>MAX(0,I27-Calculator!$E$18)</f>
      </c>
      <c r="AB27" s="0">
        <f>MAX(0,J27-Calculator!$E$19)</f>
      </c>
      <c r="AC27" s="0">
        <f>MAX(0,K27-Calculator!$E$20)</f>
      </c>
      <c r="AD27" s="0">
        <f>MAX(0,L27-Calculator!$E$21)</f>
      </c>
      <c r="AE27" s="0">
        <f>MAX(0,M27-Calculator!$E$22)</f>
      </c>
      <c r="AF27" s="0">
        <f>MAX(0,N27-Calculator!$E$23)</f>
      </c>
      <c r="AG27" s="0">
        <f>MAX(0,O27-Calculator!$E$24)</f>
      </c>
      <c r="AH27" s="0">
        <f>MAX(0,P27-Calculator!$E$25)</f>
      </c>
      <c r="AI27" s="0">
        <f>MAX(0,Q27-Calculator!$E$26)</f>
      </c>
      <c r="AJ27" s="0">
        <f>MAX(0,R27-Calculator!$E$27)</f>
      </c>
      <c r="AK27" s="0">
        <f>MAX(0,S27-Calculator!$E$28)</f>
      </c>
      <c r="AL27" s="0">
        <f>MAX(0,MIN(T27,BX27-SUMPRODUCT(($T$2:$AK$2&lt;T$2)*($T27:$AK27))))</f>
      </c>
      <c r="AM27" s="0">
        <f>MAX(0,MIN(U27,BX27-SUMPRODUCT(($T$2:$AK$2&lt;U$2)*($T27:$AK27))))</f>
      </c>
      <c r="AN27" s="0">
        <f>MAX(0,MIN(V27,BX27-SUMPRODUCT(($T$2:$AK$2&lt;V$2)*($T27:$AK27))))</f>
      </c>
      <c r="AO27" s="0">
        <f>MAX(0,MIN(W27,BX27-SUMPRODUCT(($T$2:$AK$2&lt;W$2)*($T27:$AK27))))</f>
      </c>
      <c r="AP27" s="0">
        <f>MAX(0,MIN(X27,BX27-SUMPRODUCT(($T$2:$AK$2&lt;X$2)*($T27:$AK27))))</f>
      </c>
      <c r="AQ27" s="0">
        <f>MAX(0,MIN(Y27,BX27-SUMPRODUCT(($T$2:$AK$2&lt;Y$2)*($T27:$AK27))))</f>
      </c>
      <c r="AR27" s="0">
        <f>MAX(0,MIN(Z27,BX27-SUMPRODUCT(($T$2:$AK$2&lt;Z$2)*($T27:$AK27))))</f>
      </c>
      <c r="AS27" s="0">
        <f>MAX(0,MIN(AA27,BX27-SUMPRODUCT(($T$2:$AK$2&lt;AA$2)*($T27:$AK27))))</f>
      </c>
      <c r="AT27" s="0">
        <f>MAX(0,MIN(AB27,BX27-SUMPRODUCT(($T$2:$AK$2&lt;AB$2)*($T27:$AK27))))</f>
      </c>
      <c r="AU27" s="0">
        <f>MAX(0,MIN(AC27,BX27-SUMPRODUCT(($T$2:$AK$2&lt;AC$2)*($T27:$AK27))))</f>
      </c>
      <c r="AV27" s="0">
        <f>MAX(0,MIN(AD27,BX27-SUMPRODUCT(($T$2:$AK$2&lt;AD$2)*($T27:$AK27))))</f>
      </c>
      <c r="AW27" s="0">
        <f>MAX(0,MIN(AE27,BX27-SUMPRODUCT(($T$2:$AK$2&lt;AE$2)*($T27:$AK27))))</f>
      </c>
      <c r="AX27" s="0">
        <f>MAX(0,MIN(AF27,BX27-SUMPRODUCT(($T$2:$AK$2&lt;AF$2)*($T27:$AK27))))</f>
      </c>
      <c r="AY27" s="0">
        <f>MAX(0,MIN(AG27,BX27-SUMPRODUCT(($T$2:$AK$2&lt;AG$2)*($T27:$AK27))))</f>
      </c>
      <c r="AZ27" s="0">
        <f>MAX(0,MIN(AH27,BX27-SUMPRODUCT(($T$2:$AK$2&lt;AH$2)*($T27:$AK27))))</f>
      </c>
      <c r="BA27" s="0">
        <f>MAX(0,MIN(AI27,BX27-SUMPRODUCT(($T$2:$AK$2&lt;AI$2)*($T27:$AK27))))</f>
      </c>
      <c r="BB27" s="0">
        <f>MAX(0,MIN(AJ27,BX27-SUMPRODUCT(($T$2:$AK$2&lt;AJ$2)*($T27:$AK27))))</f>
      </c>
      <c r="BC27" s="0">
        <f>MAX(0,MIN(AK27,BX27-SUMPRODUCT(($T$2:$AK$2&lt;AK$2)*($T27:$AK27))))</f>
      </c>
      <c r="BD27" s="0">
        <f>T27-AL27</f>
      </c>
      <c r="BE27" s="0">
        <f>U27-AM27</f>
      </c>
      <c r="BF27" s="0">
        <f>V27-AN27</f>
      </c>
      <c r="BG27" s="0">
        <f>W27-AO27</f>
      </c>
      <c r="BH27" s="0">
        <f>X27-AP27</f>
      </c>
      <c r="BI27" s="0">
        <f>Y27-AQ27</f>
      </c>
      <c r="BJ27" s="0">
        <f>Z27-AR27</f>
      </c>
      <c r="BK27" s="0">
        <f>AA27-AS27</f>
      </c>
      <c r="BL27" s="0">
        <f>AB27-AT27</f>
      </c>
      <c r="BM27" s="0">
        <f>AC27-AU27</f>
      </c>
      <c r="BN27" s="0">
        <f>AD27-AV27</f>
      </c>
      <c r="BO27" s="0">
        <f>AE27-AW27</f>
      </c>
      <c r="BP27" s="0">
        <f>AF27-AX27</f>
      </c>
      <c r="BQ27" s="0">
        <f>AG27-AY27</f>
      </c>
      <c r="BR27" s="0">
        <f>AH27-AZ27</f>
      </c>
      <c r="BS27" s="0">
        <f>AI27-BA27</f>
      </c>
      <c r="BT27" s="0">
        <f>AJ27-BB27</f>
      </c>
      <c r="BU27" s="0">
        <f>AK27-BC27</f>
      </c>
      <c r="BV27" s="0">
        <f>SUM(B27:S27)</f>
      </c>
      <c r="BW27" s="0">
        <f>SUM(T27:AK27)</f>
      </c>
      <c r="BX27" s="0">
        <f>MAX(0,(SUM(Calculator!$E$11:$E$28)+Calculator!$C$6)-BV27+BW27)</f>
      </c>
      <c r="BY27" s="0">
        <f>SUM(BD27:BU27)</f>
      </c>
      <c r="BZ27" s="0">
        <f>BV27-BY26</f>
      </c>
      <c r="CA27" s="0">
        <f>IF(A27&lt;=IF($CD$1=0,999,$CD$1),BY27,NA())</f>
      </c>
      <c r="CB27" s="0">
        <f>IF(A27&lt;=IF($CD$1=0,999,$CD$1),A27,NA())</f>
      </c>
    </row>
    <row r="28">
      <c r="A28" s="0">
        <v>25</v>
      </c>
      <c r="B28" s="0">
        <f>BD27*(1+Calculator!$D$11/100/12)</f>
      </c>
      <c r="C28" s="0">
        <f>BE27*(1+Calculator!$D$12/100/12)</f>
      </c>
      <c r="D28" s="0">
        <f>BF27*(1+Calculator!$D$13/100/12)</f>
      </c>
      <c r="E28" s="0">
        <f>BG27*(1+Calculator!$D$14/100/12)</f>
      </c>
      <c r="F28" s="0">
        <f>BH27*(1+Calculator!$D$15/100/12)</f>
      </c>
      <c r="G28" s="0">
        <f>BI27*(1+Calculator!$D$16/100/12)</f>
      </c>
      <c r="H28" s="0">
        <f>BJ27*(1+Calculator!$D$17/100/12)</f>
      </c>
      <c r="I28" s="0">
        <f>BK27*(1+Calculator!$D$18/100/12)</f>
      </c>
      <c r="J28" s="0">
        <f>BL27*(1+Calculator!$D$19/100/12)</f>
      </c>
      <c r="K28" s="0">
        <f>BM27*(1+Calculator!$D$20/100/12)</f>
      </c>
      <c r="L28" s="0">
        <f>BN27*(1+Calculator!$D$21/100/12)</f>
      </c>
      <c r="M28" s="0">
        <f>BO27*(1+Calculator!$D$22/100/12)</f>
      </c>
      <c r="N28" s="0">
        <f>BP27*(1+Calculator!$D$23/100/12)</f>
      </c>
      <c r="O28" s="0">
        <f>BQ27*(1+Calculator!$D$24/100/12)</f>
      </c>
      <c r="P28" s="0">
        <f>BR27*(1+Calculator!$D$25/100/12)</f>
      </c>
      <c r="Q28" s="0">
        <f>BS27*(1+Calculator!$D$26/100/12)</f>
      </c>
      <c r="R28" s="0">
        <f>BT27*(1+Calculator!$D$27/100/12)</f>
      </c>
      <c r="S28" s="0">
        <f>BU27*(1+Calculator!$D$28/100/12)</f>
      </c>
      <c r="T28" s="0">
        <f>MAX(0,B28-Calculator!$E$11)</f>
      </c>
      <c r="U28" s="0">
        <f>MAX(0,C28-Calculator!$E$12)</f>
      </c>
      <c r="V28" s="0">
        <f>MAX(0,D28-Calculator!$E$13)</f>
      </c>
      <c r="W28" s="0">
        <f>MAX(0,E28-Calculator!$E$14)</f>
      </c>
      <c r="X28" s="0">
        <f>MAX(0,F28-Calculator!$E$15)</f>
      </c>
      <c r="Y28" s="0">
        <f>MAX(0,G28-Calculator!$E$16)</f>
      </c>
      <c r="Z28" s="0">
        <f>MAX(0,H28-Calculator!$E$17)</f>
      </c>
      <c r="AA28" s="0">
        <f>MAX(0,I28-Calculator!$E$18)</f>
      </c>
      <c r="AB28" s="0">
        <f>MAX(0,J28-Calculator!$E$19)</f>
      </c>
      <c r="AC28" s="0">
        <f>MAX(0,K28-Calculator!$E$20)</f>
      </c>
      <c r="AD28" s="0">
        <f>MAX(0,L28-Calculator!$E$21)</f>
      </c>
      <c r="AE28" s="0">
        <f>MAX(0,M28-Calculator!$E$22)</f>
      </c>
      <c r="AF28" s="0">
        <f>MAX(0,N28-Calculator!$E$23)</f>
      </c>
      <c r="AG28" s="0">
        <f>MAX(0,O28-Calculator!$E$24)</f>
      </c>
      <c r="AH28" s="0">
        <f>MAX(0,P28-Calculator!$E$25)</f>
      </c>
      <c r="AI28" s="0">
        <f>MAX(0,Q28-Calculator!$E$26)</f>
      </c>
      <c r="AJ28" s="0">
        <f>MAX(0,R28-Calculator!$E$27)</f>
      </c>
      <c r="AK28" s="0">
        <f>MAX(0,S28-Calculator!$E$28)</f>
      </c>
      <c r="AL28" s="0">
        <f>MAX(0,MIN(T28,BX28-SUMPRODUCT(($T$2:$AK$2&lt;T$2)*($T28:$AK28))))</f>
      </c>
      <c r="AM28" s="0">
        <f>MAX(0,MIN(U28,BX28-SUMPRODUCT(($T$2:$AK$2&lt;U$2)*($T28:$AK28))))</f>
      </c>
      <c r="AN28" s="0">
        <f>MAX(0,MIN(V28,BX28-SUMPRODUCT(($T$2:$AK$2&lt;V$2)*($T28:$AK28))))</f>
      </c>
      <c r="AO28" s="0">
        <f>MAX(0,MIN(W28,BX28-SUMPRODUCT(($T$2:$AK$2&lt;W$2)*($T28:$AK28))))</f>
      </c>
      <c r="AP28" s="0">
        <f>MAX(0,MIN(X28,BX28-SUMPRODUCT(($T$2:$AK$2&lt;X$2)*($T28:$AK28))))</f>
      </c>
      <c r="AQ28" s="0">
        <f>MAX(0,MIN(Y28,BX28-SUMPRODUCT(($T$2:$AK$2&lt;Y$2)*($T28:$AK28))))</f>
      </c>
      <c r="AR28" s="0">
        <f>MAX(0,MIN(Z28,BX28-SUMPRODUCT(($T$2:$AK$2&lt;Z$2)*($T28:$AK28))))</f>
      </c>
      <c r="AS28" s="0">
        <f>MAX(0,MIN(AA28,BX28-SUMPRODUCT(($T$2:$AK$2&lt;AA$2)*($T28:$AK28))))</f>
      </c>
      <c r="AT28" s="0">
        <f>MAX(0,MIN(AB28,BX28-SUMPRODUCT(($T$2:$AK$2&lt;AB$2)*($T28:$AK28))))</f>
      </c>
      <c r="AU28" s="0">
        <f>MAX(0,MIN(AC28,BX28-SUMPRODUCT(($T$2:$AK$2&lt;AC$2)*($T28:$AK28))))</f>
      </c>
      <c r="AV28" s="0">
        <f>MAX(0,MIN(AD28,BX28-SUMPRODUCT(($T$2:$AK$2&lt;AD$2)*($T28:$AK28))))</f>
      </c>
      <c r="AW28" s="0">
        <f>MAX(0,MIN(AE28,BX28-SUMPRODUCT(($T$2:$AK$2&lt;AE$2)*($T28:$AK28))))</f>
      </c>
      <c r="AX28" s="0">
        <f>MAX(0,MIN(AF28,BX28-SUMPRODUCT(($T$2:$AK$2&lt;AF$2)*($T28:$AK28))))</f>
      </c>
      <c r="AY28" s="0">
        <f>MAX(0,MIN(AG28,BX28-SUMPRODUCT(($T$2:$AK$2&lt;AG$2)*($T28:$AK28))))</f>
      </c>
      <c r="AZ28" s="0">
        <f>MAX(0,MIN(AH28,BX28-SUMPRODUCT(($T$2:$AK$2&lt;AH$2)*($T28:$AK28))))</f>
      </c>
      <c r="BA28" s="0">
        <f>MAX(0,MIN(AI28,BX28-SUMPRODUCT(($T$2:$AK$2&lt;AI$2)*($T28:$AK28))))</f>
      </c>
      <c r="BB28" s="0">
        <f>MAX(0,MIN(AJ28,BX28-SUMPRODUCT(($T$2:$AK$2&lt;AJ$2)*($T28:$AK28))))</f>
      </c>
      <c r="BC28" s="0">
        <f>MAX(0,MIN(AK28,BX28-SUMPRODUCT(($T$2:$AK$2&lt;AK$2)*($T28:$AK28))))</f>
      </c>
      <c r="BD28" s="0">
        <f>T28-AL28</f>
      </c>
      <c r="BE28" s="0">
        <f>U28-AM28</f>
      </c>
      <c r="BF28" s="0">
        <f>V28-AN28</f>
      </c>
      <c r="BG28" s="0">
        <f>W28-AO28</f>
      </c>
      <c r="BH28" s="0">
        <f>X28-AP28</f>
      </c>
      <c r="BI28" s="0">
        <f>Y28-AQ28</f>
      </c>
      <c r="BJ28" s="0">
        <f>Z28-AR28</f>
      </c>
      <c r="BK28" s="0">
        <f>AA28-AS28</f>
      </c>
      <c r="BL28" s="0">
        <f>AB28-AT28</f>
      </c>
      <c r="BM28" s="0">
        <f>AC28-AU28</f>
      </c>
      <c r="BN28" s="0">
        <f>AD28-AV28</f>
      </c>
      <c r="BO28" s="0">
        <f>AE28-AW28</f>
      </c>
      <c r="BP28" s="0">
        <f>AF28-AX28</f>
      </c>
      <c r="BQ28" s="0">
        <f>AG28-AY28</f>
      </c>
      <c r="BR28" s="0">
        <f>AH28-AZ28</f>
      </c>
      <c r="BS28" s="0">
        <f>AI28-BA28</f>
      </c>
      <c r="BT28" s="0">
        <f>AJ28-BB28</f>
      </c>
      <c r="BU28" s="0">
        <f>AK28-BC28</f>
      </c>
      <c r="BV28" s="0">
        <f>SUM(B28:S28)</f>
      </c>
      <c r="BW28" s="0">
        <f>SUM(T28:AK28)</f>
      </c>
      <c r="BX28" s="0">
        <f>MAX(0,(SUM(Calculator!$E$11:$E$28)+Calculator!$C$6)-BV28+BW28)</f>
      </c>
      <c r="BY28" s="0">
        <f>SUM(BD28:BU28)</f>
      </c>
      <c r="BZ28" s="0">
        <f>BV28-BY27</f>
      </c>
      <c r="CA28" s="0">
        <f>IF(A28&lt;=IF($CD$1=0,999,$CD$1),BY28,NA())</f>
      </c>
      <c r="CB28" s="0">
        <f>IF(A28&lt;=IF($CD$1=0,999,$CD$1),A28,NA())</f>
      </c>
    </row>
    <row r="29">
      <c r="A29" s="0">
        <v>26</v>
      </c>
      <c r="B29" s="0">
        <f>BD28*(1+Calculator!$D$11/100/12)</f>
      </c>
      <c r="C29" s="0">
        <f>BE28*(1+Calculator!$D$12/100/12)</f>
      </c>
      <c r="D29" s="0">
        <f>BF28*(1+Calculator!$D$13/100/12)</f>
      </c>
      <c r="E29" s="0">
        <f>BG28*(1+Calculator!$D$14/100/12)</f>
      </c>
      <c r="F29" s="0">
        <f>BH28*(1+Calculator!$D$15/100/12)</f>
      </c>
      <c r="G29" s="0">
        <f>BI28*(1+Calculator!$D$16/100/12)</f>
      </c>
      <c r="H29" s="0">
        <f>BJ28*(1+Calculator!$D$17/100/12)</f>
      </c>
      <c r="I29" s="0">
        <f>BK28*(1+Calculator!$D$18/100/12)</f>
      </c>
      <c r="J29" s="0">
        <f>BL28*(1+Calculator!$D$19/100/12)</f>
      </c>
      <c r="K29" s="0">
        <f>BM28*(1+Calculator!$D$20/100/12)</f>
      </c>
      <c r="L29" s="0">
        <f>BN28*(1+Calculator!$D$21/100/12)</f>
      </c>
      <c r="M29" s="0">
        <f>BO28*(1+Calculator!$D$22/100/12)</f>
      </c>
      <c r="N29" s="0">
        <f>BP28*(1+Calculator!$D$23/100/12)</f>
      </c>
      <c r="O29" s="0">
        <f>BQ28*(1+Calculator!$D$24/100/12)</f>
      </c>
      <c r="P29" s="0">
        <f>BR28*(1+Calculator!$D$25/100/12)</f>
      </c>
      <c r="Q29" s="0">
        <f>BS28*(1+Calculator!$D$26/100/12)</f>
      </c>
      <c r="R29" s="0">
        <f>BT28*(1+Calculator!$D$27/100/12)</f>
      </c>
      <c r="S29" s="0">
        <f>BU28*(1+Calculator!$D$28/100/12)</f>
      </c>
      <c r="T29" s="0">
        <f>MAX(0,B29-Calculator!$E$11)</f>
      </c>
      <c r="U29" s="0">
        <f>MAX(0,C29-Calculator!$E$12)</f>
      </c>
      <c r="V29" s="0">
        <f>MAX(0,D29-Calculator!$E$13)</f>
      </c>
      <c r="W29" s="0">
        <f>MAX(0,E29-Calculator!$E$14)</f>
      </c>
      <c r="X29" s="0">
        <f>MAX(0,F29-Calculator!$E$15)</f>
      </c>
      <c r="Y29" s="0">
        <f>MAX(0,G29-Calculator!$E$16)</f>
      </c>
      <c r="Z29" s="0">
        <f>MAX(0,H29-Calculator!$E$17)</f>
      </c>
      <c r="AA29" s="0">
        <f>MAX(0,I29-Calculator!$E$18)</f>
      </c>
      <c r="AB29" s="0">
        <f>MAX(0,J29-Calculator!$E$19)</f>
      </c>
      <c r="AC29" s="0">
        <f>MAX(0,K29-Calculator!$E$20)</f>
      </c>
      <c r="AD29" s="0">
        <f>MAX(0,L29-Calculator!$E$21)</f>
      </c>
      <c r="AE29" s="0">
        <f>MAX(0,M29-Calculator!$E$22)</f>
      </c>
      <c r="AF29" s="0">
        <f>MAX(0,N29-Calculator!$E$23)</f>
      </c>
      <c r="AG29" s="0">
        <f>MAX(0,O29-Calculator!$E$24)</f>
      </c>
      <c r="AH29" s="0">
        <f>MAX(0,P29-Calculator!$E$25)</f>
      </c>
      <c r="AI29" s="0">
        <f>MAX(0,Q29-Calculator!$E$26)</f>
      </c>
      <c r="AJ29" s="0">
        <f>MAX(0,R29-Calculator!$E$27)</f>
      </c>
      <c r="AK29" s="0">
        <f>MAX(0,S29-Calculator!$E$28)</f>
      </c>
      <c r="AL29" s="0">
        <f>MAX(0,MIN(T29,BX29-SUMPRODUCT(($T$2:$AK$2&lt;T$2)*($T29:$AK29))))</f>
      </c>
      <c r="AM29" s="0">
        <f>MAX(0,MIN(U29,BX29-SUMPRODUCT(($T$2:$AK$2&lt;U$2)*($T29:$AK29))))</f>
      </c>
      <c r="AN29" s="0">
        <f>MAX(0,MIN(V29,BX29-SUMPRODUCT(($T$2:$AK$2&lt;V$2)*($T29:$AK29))))</f>
      </c>
      <c r="AO29" s="0">
        <f>MAX(0,MIN(W29,BX29-SUMPRODUCT(($T$2:$AK$2&lt;W$2)*($T29:$AK29))))</f>
      </c>
      <c r="AP29" s="0">
        <f>MAX(0,MIN(X29,BX29-SUMPRODUCT(($T$2:$AK$2&lt;X$2)*($T29:$AK29))))</f>
      </c>
      <c r="AQ29" s="0">
        <f>MAX(0,MIN(Y29,BX29-SUMPRODUCT(($T$2:$AK$2&lt;Y$2)*($T29:$AK29))))</f>
      </c>
      <c r="AR29" s="0">
        <f>MAX(0,MIN(Z29,BX29-SUMPRODUCT(($T$2:$AK$2&lt;Z$2)*($T29:$AK29))))</f>
      </c>
      <c r="AS29" s="0">
        <f>MAX(0,MIN(AA29,BX29-SUMPRODUCT(($T$2:$AK$2&lt;AA$2)*($T29:$AK29))))</f>
      </c>
      <c r="AT29" s="0">
        <f>MAX(0,MIN(AB29,BX29-SUMPRODUCT(($T$2:$AK$2&lt;AB$2)*($T29:$AK29))))</f>
      </c>
      <c r="AU29" s="0">
        <f>MAX(0,MIN(AC29,BX29-SUMPRODUCT(($T$2:$AK$2&lt;AC$2)*($T29:$AK29))))</f>
      </c>
      <c r="AV29" s="0">
        <f>MAX(0,MIN(AD29,BX29-SUMPRODUCT(($T$2:$AK$2&lt;AD$2)*($T29:$AK29))))</f>
      </c>
      <c r="AW29" s="0">
        <f>MAX(0,MIN(AE29,BX29-SUMPRODUCT(($T$2:$AK$2&lt;AE$2)*($T29:$AK29))))</f>
      </c>
      <c r="AX29" s="0">
        <f>MAX(0,MIN(AF29,BX29-SUMPRODUCT(($T$2:$AK$2&lt;AF$2)*($T29:$AK29))))</f>
      </c>
      <c r="AY29" s="0">
        <f>MAX(0,MIN(AG29,BX29-SUMPRODUCT(($T$2:$AK$2&lt;AG$2)*($T29:$AK29))))</f>
      </c>
      <c r="AZ29" s="0">
        <f>MAX(0,MIN(AH29,BX29-SUMPRODUCT(($T$2:$AK$2&lt;AH$2)*($T29:$AK29))))</f>
      </c>
      <c r="BA29" s="0">
        <f>MAX(0,MIN(AI29,BX29-SUMPRODUCT(($T$2:$AK$2&lt;AI$2)*($T29:$AK29))))</f>
      </c>
      <c r="BB29" s="0">
        <f>MAX(0,MIN(AJ29,BX29-SUMPRODUCT(($T$2:$AK$2&lt;AJ$2)*($T29:$AK29))))</f>
      </c>
      <c r="BC29" s="0">
        <f>MAX(0,MIN(AK29,BX29-SUMPRODUCT(($T$2:$AK$2&lt;AK$2)*($T29:$AK29))))</f>
      </c>
      <c r="BD29" s="0">
        <f>T29-AL29</f>
      </c>
      <c r="BE29" s="0">
        <f>U29-AM29</f>
      </c>
      <c r="BF29" s="0">
        <f>V29-AN29</f>
      </c>
      <c r="BG29" s="0">
        <f>W29-AO29</f>
      </c>
      <c r="BH29" s="0">
        <f>X29-AP29</f>
      </c>
      <c r="BI29" s="0">
        <f>Y29-AQ29</f>
      </c>
      <c r="BJ29" s="0">
        <f>Z29-AR29</f>
      </c>
      <c r="BK29" s="0">
        <f>AA29-AS29</f>
      </c>
      <c r="BL29" s="0">
        <f>AB29-AT29</f>
      </c>
      <c r="BM29" s="0">
        <f>AC29-AU29</f>
      </c>
      <c r="BN29" s="0">
        <f>AD29-AV29</f>
      </c>
      <c r="BO29" s="0">
        <f>AE29-AW29</f>
      </c>
      <c r="BP29" s="0">
        <f>AF29-AX29</f>
      </c>
      <c r="BQ29" s="0">
        <f>AG29-AY29</f>
      </c>
      <c r="BR29" s="0">
        <f>AH29-AZ29</f>
      </c>
      <c r="BS29" s="0">
        <f>AI29-BA29</f>
      </c>
      <c r="BT29" s="0">
        <f>AJ29-BB29</f>
      </c>
      <c r="BU29" s="0">
        <f>AK29-BC29</f>
      </c>
      <c r="BV29" s="0">
        <f>SUM(B29:S29)</f>
      </c>
      <c r="BW29" s="0">
        <f>SUM(T29:AK29)</f>
      </c>
      <c r="BX29" s="0">
        <f>MAX(0,(SUM(Calculator!$E$11:$E$28)+Calculator!$C$6)-BV29+BW29)</f>
      </c>
      <c r="BY29" s="0">
        <f>SUM(BD29:BU29)</f>
      </c>
      <c r="BZ29" s="0">
        <f>BV29-BY28</f>
      </c>
      <c r="CA29" s="0">
        <f>IF(A29&lt;=IF($CD$1=0,999,$CD$1),BY29,NA())</f>
      </c>
      <c r="CB29" s="0">
        <f>IF(A29&lt;=IF($CD$1=0,999,$CD$1),A29,NA())</f>
      </c>
    </row>
    <row r="30">
      <c r="A30" s="0">
        <v>27</v>
      </c>
      <c r="B30" s="0">
        <f>BD29*(1+Calculator!$D$11/100/12)</f>
      </c>
      <c r="C30" s="0">
        <f>BE29*(1+Calculator!$D$12/100/12)</f>
      </c>
      <c r="D30" s="0">
        <f>BF29*(1+Calculator!$D$13/100/12)</f>
      </c>
      <c r="E30" s="0">
        <f>BG29*(1+Calculator!$D$14/100/12)</f>
      </c>
      <c r="F30" s="0">
        <f>BH29*(1+Calculator!$D$15/100/12)</f>
      </c>
      <c r="G30" s="0">
        <f>BI29*(1+Calculator!$D$16/100/12)</f>
      </c>
      <c r="H30" s="0">
        <f>BJ29*(1+Calculator!$D$17/100/12)</f>
      </c>
      <c r="I30" s="0">
        <f>BK29*(1+Calculator!$D$18/100/12)</f>
      </c>
      <c r="J30" s="0">
        <f>BL29*(1+Calculator!$D$19/100/12)</f>
      </c>
      <c r="K30" s="0">
        <f>BM29*(1+Calculator!$D$20/100/12)</f>
      </c>
      <c r="L30" s="0">
        <f>BN29*(1+Calculator!$D$21/100/12)</f>
      </c>
      <c r="M30" s="0">
        <f>BO29*(1+Calculator!$D$22/100/12)</f>
      </c>
      <c r="N30" s="0">
        <f>BP29*(1+Calculator!$D$23/100/12)</f>
      </c>
      <c r="O30" s="0">
        <f>BQ29*(1+Calculator!$D$24/100/12)</f>
      </c>
      <c r="P30" s="0">
        <f>BR29*(1+Calculator!$D$25/100/12)</f>
      </c>
      <c r="Q30" s="0">
        <f>BS29*(1+Calculator!$D$26/100/12)</f>
      </c>
      <c r="R30" s="0">
        <f>BT29*(1+Calculator!$D$27/100/12)</f>
      </c>
      <c r="S30" s="0">
        <f>BU29*(1+Calculator!$D$28/100/12)</f>
      </c>
      <c r="T30" s="0">
        <f>MAX(0,B30-Calculator!$E$11)</f>
      </c>
      <c r="U30" s="0">
        <f>MAX(0,C30-Calculator!$E$12)</f>
      </c>
      <c r="V30" s="0">
        <f>MAX(0,D30-Calculator!$E$13)</f>
      </c>
      <c r="W30" s="0">
        <f>MAX(0,E30-Calculator!$E$14)</f>
      </c>
      <c r="X30" s="0">
        <f>MAX(0,F30-Calculator!$E$15)</f>
      </c>
      <c r="Y30" s="0">
        <f>MAX(0,G30-Calculator!$E$16)</f>
      </c>
      <c r="Z30" s="0">
        <f>MAX(0,H30-Calculator!$E$17)</f>
      </c>
      <c r="AA30" s="0">
        <f>MAX(0,I30-Calculator!$E$18)</f>
      </c>
      <c r="AB30" s="0">
        <f>MAX(0,J30-Calculator!$E$19)</f>
      </c>
      <c r="AC30" s="0">
        <f>MAX(0,K30-Calculator!$E$20)</f>
      </c>
      <c r="AD30" s="0">
        <f>MAX(0,L30-Calculator!$E$21)</f>
      </c>
      <c r="AE30" s="0">
        <f>MAX(0,M30-Calculator!$E$22)</f>
      </c>
      <c r="AF30" s="0">
        <f>MAX(0,N30-Calculator!$E$23)</f>
      </c>
      <c r="AG30" s="0">
        <f>MAX(0,O30-Calculator!$E$24)</f>
      </c>
      <c r="AH30" s="0">
        <f>MAX(0,P30-Calculator!$E$25)</f>
      </c>
      <c r="AI30" s="0">
        <f>MAX(0,Q30-Calculator!$E$26)</f>
      </c>
      <c r="AJ30" s="0">
        <f>MAX(0,R30-Calculator!$E$27)</f>
      </c>
      <c r="AK30" s="0">
        <f>MAX(0,S30-Calculator!$E$28)</f>
      </c>
      <c r="AL30" s="0">
        <f>MAX(0,MIN(T30,BX30-SUMPRODUCT(($T$2:$AK$2&lt;T$2)*($T30:$AK30))))</f>
      </c>
      <c r="AM30" s="0">
        <f>MAX(0,MIN(U30,BX30-SUMPRODUCT(($T$2:$AK$2&lt;U$2)*($T30:$AK30))))</f>
      </c>
      <c r="AN30" s="0">
        <f>MAX(0,MIN(V30,BX30-SUMPRODUCT(($T$2:$AK$2&lt;V$2)*($T30:$AK30))))</f>
      </c>
      <c r="AO30" s="0">
        <f>MAX(0,MIN(W30,BX30-SUMPRODUCT(($T$2:$AK$2&lt;W$2)*($T30:$AK30))))</f>
      </c>
      <c r="AP30" s="0">
        <f>MAX(0,MIN(X30,BX30-SUMPRODUCT(($T$2:$AK$2&lt;X$2)*($T30:$AK30))))</f>
      </c>
      <c r="AQ30" s="0">
        <f>MAX(0,MIN(Y30,BX30-SUMPRODUCT(($T$2:$AK$2&lt;Y$2)*($T30:$AK30))))</f>
      </c>
      <c r="AR30" s="0">
        <f>MAX(0,MIN(Z30,BX30-SUMPRODUCT(($T$2:$AK$2&lt;Z$2)*($T30:$AK30))))</f>
      </c>
      <c r="AS30" s="0">
        <f>MAX(0,MIN(AA30,BX30-SUMPRODUCT(($T$2:$AK$2&lt;AA$2)*($T30:$AK30))))</f>
      </c>
      <c r="AT30" s="0">
        <f>MAX(0,MIN(AB30,BX30-SUMPRODUCT(($T$2:$AK$2&lt;AB$2)*($T30:$AK30))))</f>
      </c>
      <c r="AU30" s="0">
        <f>MAX(0,MIN(AC30,BX30-SUMPRODUCT(($T$2:$AK$2&lt;AC$2)*($T30:$AK30))))</f>
      </c>
      <c r="AV30" s="0">
        <f>MAX(0,MIN(AD30,BX30-SUMPRODUCT(($T$2:$AK$2&lt;AD$2)*($T30:$AK30))))</f>
      </c>
      <c r="AW30" s="0">
        <f>MAX(0,MIN(AE30,BX30-SUMPRODUCT(($T$2:$AK$2&lt;AE$2)*($T30:$AK30))))</f>
      </c>
      <c r="AX30" s="0">
        <f>MAX(0,MIN(AF30,BX30-SUMPRODUCT(($T$2:$AK$2&lt;AF$2)*($T30:$AK30))))</f>
      </c>
      <c r="AY30" s="0">
        <f>MAX(0,MIN(AG30,BX30-SUMPRODUCT(($T$2:$AK$2&lt;AG$2)*($T30:$AK30))))</f>
      </c>
      <c r="AZ30" s="0">
        <f>MAX(0,MIN(AH30,BX30-SUMPRODUCT(($T$2:$AK$2&lt;AH$2)*($T30:$AK30))))</f>
      </c>
      <c r="BA30" s="0">
        <f>MAX(0,MIN(AI30,BX30-SUMPRODUCT(($T$2:$AK$2&lt;AI$2)*($T30:$AK30))))</f>
      </c>
      <c r="BB30" s="0">
        <f>MAX(0,MIN(AJ30,BX30-SUMPRODUCT(($T$2:$AK$2&lt;AJ$2)*($T30:$AK30))))</f>
      </c>
      <c r="BC30" s="0">
        <f>MAX(0,MIN(AK30,BX30-SUMPRODUCT(($T$2:$AK$2&lt;AK$2)*($T30:$AK30))))</f>
      </c>
      <c r="BD30" s="0">
        <f>T30-AL30</f>
      </c>
      <c r="BE30" s="0">
        <f>U30-AM30</f>
      </c>
      <c r="BF30" s="0">
        <f>V30-AN30</f>
      </c>
      <c r="BG30" s="0">
        <f>W30-AO30</f>
      </c>
      <c r="BH30" s="0">
        <f>X30-AP30</f>
      </c>
      <c r="BI30" s="0">
        <f>Y30-AQ30</f>
      </c>
      <c r="BJ30" s="0">
        <f>Z30-AR30</f>
      </c>
      <c r="BK30" s="0">
        <f>AA30-AS30</f>
      </c>
      <c r="BL30" s="0">
        <f>AB30-AT30</f>
      </c>
      <c r="BM30" s="0">
        <f>AC30-AU30</f>
      </c>
      <c r="BN30" s="0">
        <f>AD30-AV30</f>
      </c>
      <c r="BO30" s="0">
        <f>AE30-AW30</f>
      </c>
      <c r="BP30" s="0">
        <f>AF30-AX30</f>
      </c>
      <c r="BQ30" s="0">
        <f>AG30-AY30</f>
      </c>
      <c r="BR30" s="0">
        <f>AH30-AZ30</f>
      </c>
      <c r="BS30" s="0">
        <f>AI30-BA30</f>
      </c>
      <c r="BT30" s="0">
        <f>AJ30-BB30</f>
      </c>
      <c r="BU30" s="0">
        <f>AK30-BC30</f>
      </c>
      <c r="BV30" s="0">
        <f>SUM(B30:S30)</f>
      </c>
      <c r="BW30" s="0">
        <f>SUM(T30:AK30)</f>
      </c>
      <c r="BX30" s="0">
        <f>MAX(0,(SUM(Calculator!$E$11:$E$28)+Calculator!$C$6)-BV30+BW30)</f>
      </c>
      <c r="BY30" s="0">
        <f>SUM(BD30:BU30)</f>
      </c>
      <c r="BZ30" s="0">
        <f>BV30-BY29</f>
      </c>
      <c r="CA30" s="0">
        <f>IF(A30&lt;=IF($CD$1=0,999,$CD$1),BY30,NA())</f>
      </c>
      <c r="CB30" s="0">
        <f>IF(A30&lt;=IF($CD$1=0,999,$CD$1),A30,NA())</f>
      </c>
    </row>
    <row r="31">
      <c r="A31" s="0">
        <v>28</v>
      </c>
      <c r="B31" s="0">
        <f>BD30*(1+Calculator!$D$11/100/12)</f>
      </c>
      <c r="C31" s="0">
        <f>BE30*(1+Calculator!$D$12/100/12)</f>
      </c>
      <c r="D31" s="0">
        <f>BF30*(1+Calculator!$D$13/100/12)</f>
      </c>
      <c r="E31" s="0">
        <f>BG30*(1+Calculator!$D$14/100/12)</f>
      </c>
      <c r="F31" s="0">
        <f>BH30*(1+Calculator!$D$15/100/12)</f>
      </c>
      <c r="G31" s="0">
        <f>BI30*(1+Calculator!$D$16/100/12)</f>
      </c>
      <c r="H31" s="0">
        <f>BJ30*(1+Calculator!$D$17/100/12)</f>
      </c>
      <c r="I31" s="0">
        <f>BK30*(1+Calculator!$D$18/100/12)</f>
      </c>
      <c r="J31" s="0">
        <f>BL30*(1+Calculator!$D$19/100/12)</f>
      </c>
      <c r="K31" s="0">
        <f>BM30*(1+Calculator!$D$20/100/12)</f>
      </c>
      <c r="L31" s="0">
        <f>BN30*(1+Calculator!$D$21/100/12)</f>
      </c>
      <c r="M31" s="0">
        <f>BO30*(1+Calculator!$D$22/100/12)</f>
      </c>
      <c r="N31" s="0">
        <f>BP30*(1+Calculator!$D$23/100/12)</f>
      </c>
      <c r="O31" s="0">
        <f>BQ30*(1+Calculator!$D$24/100/12)</f>
      </c>
      <c r="P31" s="0">
        <f>BR30*(1+Calculator!$D$25/100/12)</f>
      </c>
      <c r="Q31" s="0">
        <f>BS30*(1+Calculator!$D$26/100/12)</f>
      </c>
      <c r="R31" s="0">
        <f>BT30*(1+Calculator!$D$27/100/12)</f>
      </c>
      <c r="S31" s="0">
        <f>BU30*(1+Calculator!$D$28/100/12)</f>
      </c>
      <c r="T31" s="0">
        <f>MAX(0,B31-Calculator!$E$11)</f>
      </c>
      <c r="U31" s="0">
        <f>MAX(0,C31-Calculator!$E$12)</f>
      </c>
      <c r="V31" s="0">
        <f>MAX(0,D31-Calculator!$E$13)</f>
      </c>
      <c r="W31" s="0">
        <f>MAX(0,E31-Calculator!$E$14)</f>
      </c>
      <c r="X31" s="0">
        <f>MAX(0,F31-Calculator!$E$15)</f>
      </c>
      <c r="Y31" s="0">
        <f>MAX(0,G31-Calculator!$E$16)</f>
      </c>
      <c r="Z31" s="0">
        <f>MAX(0,H31-Calculator!$E$17)</f>
      </c>
      <c r="AA31" s="0">
        <f>MAX(0,I31-Calculator!$E$18)</f>
      </c>
      <c r="AB31" s="0">
        <f>MAX(0,J31-Calculator!$E$19)</f>
      </c>
      <c r="AC31" s="0">
        <f>MAX(0,K31-Calculator!$E$20)</f>
      </c>
      <c r="AD31" s="0">
        <f>MAX(0,L31-Calculator!$E$21)</f>
      </c>
      <c r="AE31" s="0">
        <f>MAX(0,M31-Calculator!$E$22)</f>
      </c>
      <c r="AF31" s="0">
        <f>MAX(0,N31-Calculator!$E$23)</f>
      </c>
      <c r="AG31" s="0">
        <f>MAX(0,O31-Calculator!$E$24)</f>
      </c>
      <c r="AH31" s="0">
        <f>MAX(0,P31-Calculator!$E$25)</f>
      </c>
      <c r="AI31" s="0">
        <f>MAX(0,Q31-Calculator!$E$26)</f>
      </c>
      <c r="AJ31" s="0">
        <f>MAX(0,R31-Calculator!$E$27)</f>
      </c>
      <c r="AK31" s="0">
        <f>MAX(0,S31-Calculator!$E$28)</f>
      </c>
      <c r="AL31" s="0">
        <f>MAX(0,MIN(T31,BX31-SUMPRODUCT(($T$2:$AK$2&lt;T$2)*($T31:$AK31))))</f>
      </c>
      <c r="AM31" s="0">
        <f>MAX(0,MIN(U31,BX31-SUMPRODUCT(($T$2:$AK$2&lt;U$2)*($T31:$AK31))))</f>
      </c>
      <c r="AN31" s="0">
        <f>MAX(0,MIN(V31,BX31-SUMPRODUCT(($T$2:$AK$2&lt;V$2)*($T31:$AK31))))</f>
      </c>
      <c r="AO31" s="0">
        <f>MAX(0,MIN(W31,BX31-SUMPRODUCT(($T$2:$AK$2&lt;W$2)*($T31:$AK31))))</f>
      </c>
      <c r="AP31" s="0">
        <f>MAX(0,MIN(X31,BX31-SUMPRODUCT(($T$2:$AK$2&lt;X$2)*($T31:$AK31))))</f>
      </c>
      <c r="AQ31" s="0">
        <f>MAX(0,MIN(Y31,BX31-SUMPRODUCT(($T$2:$AK$2&lt;Y$2)*($T31:$AK31))))</f>
      </c>
      <c r="AR31" s="0">
        <f>MAX(0,MIN(Z31,BX31-SUMPRODUCT(($T$2:$AK$2&lt;Z$2)*($T31:$AK31))))</f>
      </c>
      <c r="AS31" s="0">
        <f>MAX(0,MIN(AA31,BX31-SUMPRODUCT(($T$2:$AK$2&lt;AA$2)*($T31:$AK31))))</f>
      </c>
      <c r="AT31" s="0">
        <f>MAX(0,MIN(AB31,BX31-SUMPRODUCT(($T$2:$AK$2&lt;AB$2)*($T31:$AK31))))</f>
      </c>
      <c r="AU31" s="0">
        <f>MAX(0,MIN(AC31,BX31-SUMPRODUCT(($T$2:$AK$2&lt;AC$2)*($T31:$AK31))))</f>
      </c>
      <c r="AV31" s="0">
        <f>MAX(0,MIN(AD31,BX31-SUMPRODUCT(($T$2:$AK$2&lt;AD$2)*($T31:$AK31))))</f>
      </c>
      <c r="AW31" s="0">
        <f>MAX(0,MIN(AE31,BX31-SUMPRODUCT(($T$2:$AK$2&lt;AE$2)*($T31:$AK31))))</f>
      </c>
      <c r="AX31" s="0">
        <f>MAX(0,MIN(AF31,BX31-SUMPRODUCT(($T$2:$AK$2&lt;AF$2)*($T31:$AK31))))</f>
      </c>
      <c r="AY31" s="0">
        <f>MAX(0,MIN(AG31,BX31-SUMPRODUCT(($T$2:$AK$2&lt;AG$2)*($T31:$AK31))))</f>
      </c>
      <c r="AZ31" s="0">
        <f>MAX(0,MIN(AH31,BX31-SUMPRODUCT(($T$2:$AK$2&lt;AH$2)*($T31:$AK31))))</f>
      </c>
      <c r="BA31" s="0">
        <f>MAX(0,MIN(AI31,BX31-SUMPRODUCT(($T$2:$AK$2&lt;AI$2)*($T31:$AK31))))</f>
      </c>
      <c r="BB31" s="0">
        <f>MAX(0,MIN(AJ31,BX31-SUMPRODUCT(($T$2:$AK$2&lt;AJ$2)*($T31:$AK31))))</f>
      </c>
      <c r="BC31" s="0">
        <f>MAX(0,MIN(AK31,BX31-SUMPRODUCT(($T$2:$AK$2&lt;AK$2)*($T31:$AK31))))</f>
      </c>
      <c r="BD31" s="0">
        <f>T31-AL31</f>
      </c>
      <c r="BE31" s="0">
        <f>U31-AM31</f>
      </c>
      <c r="BF31" s="0">
        <f>V31-AN31</f>
      </c>
      <c r="BG31" s="0">
        <f>W31-AO31</f>
      </c>
      <c r="BH31" s="0">
        <f>X31-AP31</f>
      </c>
      <c r="BI31" s="0">
        <f>Y31-AQ31</f>
      </c>
      <c r="BJ31" s="0">
        <f>Z31-AR31</f>
      </c>
      <c r="BK31" s="0">
        <f>AA31-AS31</f>
      </c>
      <c r="BL31" s="0">
        <f>AB31-AT31</f>
      </c>
      <c r="BM31" s="0">
        <f>AC31-AU31</f>
      </c>
      <c r="BN31" s="0">
        <f>AD31-AV31</f>
      </c>
      <c r="BO31" s="0">
        <f>AE31-AW31</f>
      </c>
      <c r="BP31" s="0">
        <f>AF31-AX31</f>
      </c>
      <c r="BQ31" s="0">
        <f>AG31-AY31</f>
      </c>
      <c r="BR31" s="0">
        <f>AH31-AZ31</f>
      </c>
      <c r="BS31" s="0">
        <f>AI31-BA31</f>
      </c>
      <c r="BT31" s="0">
        <f>AJ31-BB31</f>
      </c>
      <c r="BU31" s="0">
        <f>AK31-BC31</f>
      </c>
      <c r="BV31" s="0">
        <f>SUM(B31:S31)</f>
      </c>
      <c r="BW31" s="0">
        <f>SUM(T31:AK31)</f>
      </c>
      <c r="BX31" s="0">
        <f>MAX(0,(SUM(Calculator!$E$11:$E$28)+Calculator!$C$6)-BV31+BW31)</f>
      </c>
      <c r="BY31" s="0">
        <f>SUM(BD31:BU31)</f>
      </c>
      <c r="BZ31" s="0">
        <f>BV31-BY30</f>
      </c>
      <c r="CA31" s="0">
        <f>IF(A31&lt;=IF($CD$1=0,999,$CD$1),BY31,NA())</f>
      </c>
      <c r="CB31" s="0">
        <f>IF(A31&lt;=IF($CD$1=0,999,$CD$1),A31,NA())</f>
      </c>
    </row>
    <row r="32">
      <c r="A32" s="0">
        <v>29</v>
      </c>
      <c r="B32" s="0">
        <f>BD31*(1+Calculator!$D$11/100/12)</f>
      </c>
      <c r="C32" s="0">
        <f>BE31*(1+Calculator!$D$12/100/12)</f>
      </c>
      <c r="D32" s="0">
        <f>BF31*(1+Calculator!$D$13/100/12)</f>
      </c>
      <c r="E32" s="0">
        <f>BG31*(1+Calculator!$D$14/100/12)</f>
      </c>
      <c r="F32" s="0">
        <f>BH31*(1+Calculator!$D$15/100/12)</f>
      </c>
      <c r="G32" s="0">
        <f>BI31*(1+Calculator!$D$16/100/12)</f>
      </c>
      <c r="H32" s="0">
        <f>BJ31*(1+Calculator!$D$17/100/12)</f>
      </c>
      <c r="I32" s="0">
        <f>BK31*(1+Calculator!$D$18/100/12)</f>
      </c>
      <c r="J32" s="0">
        <f>BL31*(1+Calculator!$D$19/100/12)</f>
      </c>
      <c r="K32" s="0">
        <f>BM31*(1+Calculator!$D$20/100/12)</f>
      </c>
      <c r="L32" s="0">
        <f>BN31*(1+Calculator!$D$21/100/12)</f>
      </c>
      <c r="M32" s="0">
        <f>BO31*(1+Calculator!$D$22/100/12)</f>
      </c>
      <c r="N32" s="0">
        <f>BP31*(1+Calculator!$D$23/100/12)</f>
      </c>
      <c r="O32" s="0">
        <f>BQ31*(1+Calculator!$D$24/100/12)</f>
      </c>
      <c r="P32" s="0">
        <f>BR31*(1+Calculator!$D$25/100/12)</f>
      </c>
      <c r="Q32" s="0">
        <f>BS31*(1+Calculator!$D$26/100/12)</f>
      </c>
      <c r="R32" s="0">
        <f>BT31*(1+Calculator!$D$27/100/12)</f>
      </c>
      <c r="S32" s="0">
        <f>BU31*(1+Calculator!$D$28/100/12)</f>
      </c>
      <c r="T32" s="0">
        <f>MAX(0,B32-Calculator!$E$11)</f>
      </c>
      <c r="U32" s="0">
        <f>MAX(0,C32-Calculator!$E$12)</f>
      </c>
      <c r="V32" s="0">
        <f>MAX(0,D32-Calculator!$E$13)</f>
      </c>
      <c r="W32" s="0">
        <f>MAX(0,E32-Calculator!$E$14)</f>
      </c>
      <c r="X32" s="0">
        <f>MAX(0,F32-Calculator!$E$15)</f>
      </c>
      <c r="Y32" s="0">
        <f>MAX(0,G32-Calculator!$E$16)</f>
      </c>
      <c r="Z32" s="0">
        <f>MAX(0,H32-Calculator!$E$17)</f>
      </c>
      <c r="AA32" s="0">
        <f>MAX(0,I32-Calculator!$E$18)</f>
      </c>
      <c r="AB32" s="0">
        <f>MAX(0,J32-Calculator!$E$19)</f>
      </c>
      <c r="AC32" s="0">
        <f>MAX(0,K32-Calculator!$E$20)</f>
      </c>
      <c r="AD32" s="0">
        <f>MAX(0,L32-Calculator!$E$21)</f>
      </c>
      <c r="AE32" s="0">
        <f>MAX(0,M32-Calculator!$E$22)</f>
      </c>
      <c r="AF32" s="0">
        <f>MAX(0,N32-Calculator!$E$23)</f>
      </c>
      <c r="AG32" s="0">
        <f>MAX(0,O32-Calculator!$E$24)</f>
      </c>
      <c r="AH32" s="0">
        <f>MAX(0,P32-Calculator!$E$25)</f>
      </c>
      <c r="AI32" s="0">
        <f>MAX(0,Q32-Calculator!$E$26)</f>
      </c>
      <c r="AJ32" s="0">
        <f>MAX(0,R32-Calculator!$E$27)</f>
      </c>
      <c r="AK32" s="0">
        <f>MAX(0,S32-Calculator!$E$28)</f>
      </c>
      <c r="AL32" s="0">
        <f>MAX(0,MIN(T32,BX32-SUMPRODUCT(($T$2:$AK$2&lt;T$2)*($T32:$AK32))))</f>
      </c>
      <c r="AM32" s="0">
        <f>MAX(0,MIN(U32,BX32-SUMPRODUCT(($T$2:$AK$2&lt;U$2)*($T32:$AK32))))</f>
      </c>
      <c r="AN32" s="0">
        <f>MAX(0,MIN(V32,BX32-SUMPRODUCT(($T$2:$AK$2&lt;V$2)*($T32:$AK32))))</f>
      </c>
      <c r="AO32" s="0">
        <f>MAX(0,MIN(W32,BX32-SUMPRODUCT(($T$2:$AK$2&lt;W$2)*($T32:$AK32))))</f>
      </c>
      <c r="AP32" s="0">
        <f>MAX(0,MIN(X32,BX32-SUMPRODUCT(($T$2:$AK$2&lt;X$2)*($T32:$AK32))))</f>
      </c>
      <c r="AQ32" s="0">
        <f>MAX(0,MIN(Y32,BX32-SUMPRODUCT(($T$2:$AK$2&lt;Y$2)*($T32:$AK32))))</f>
      </c>
      <c r="AR32" s="0">
        <f>MAX(0,MIN(Z32,BX32-SUMPRODUCT(($T$2:$AK$2&lt;Z$2)*($T32:$AK32))))</f>
      </c>
      <c r="AS32" s="0">
        <f>MAX(0,MIN(AA32,BX32-SUMPRODUCT(($T$2:$AK$2&lt;AA$2)*($T32:$AK32))))</f>
      </c>
      <c r="AT32" s="0">
        <f>MAX(0,MIN(AB32,BX32-SUMPRODUCT(($T$2:$AK$2&lt;AB$2)*($T32:$AK32))))</f>
      </c>
      <c r="AU32" s="0">
        <f>MAX(0,MIN(AC32,BX32-SUMPRODUCT(($T$2:$AK$2&lt;AC$2)*($T32:$AK32))))</f>
      </c>
      <c r="AV32" s="0">
        <f>MAX(0,MIN(AD32,BX32-SUMPRODUCT(($T$2:$AK$2&lt;AD$2)*($T32:$AK32))))</f>
      </c>
      <c r="AW32" s="0">
        <f>MAX(0,MIN(AE32,BX32-SUMPRODUCT(($T$2:$AK$2&lt;AE$2)*($T32:$AK32))))</f>
      </c>
      <c r="AX32" s="0">
        <f>MAX(0,MIN(AF32,BX32-SUMPRODUCT(($T$2:$AK$2&lt;AF$2)*($T32:$AK32))))</f>
      </c>
      <c r="AY32" s="0">
        <f>MAX(0,MIN(AG32,BX32-SUMPRODUCT(($T$2:$AK$2&lt;AG$2)*($T32:$AK32))))</f>
      </c>
      <c r="AZ32" s="0">
        <f>MAX(0,MIN(AH32,BX32-SUMPRODUCT(($T$2:$AK$2&lt;AH$2)*($T32:$AK32))))</f>
      </c>
      <c r="BA32" s="0">
        <f>MAX(0,MIN(AI32,BX32-SUMPRODUCT(($T$2:$AK$2&lt;AI$2)*($T32:$AK32))))</f>
      </c>
      <c r="BB32" s="0">
        <f>MAX(0,MIN(AJ32,BX32-SUMPRODUCT(($T$2:$AK$2&lt;AJ$2)*($T32:$AK32))))</f>
      </c>
      <c r="BC32" s="0">
        <f>MAX(0,MIN(AK32,BX32-SUMPRODUCT(($T$2:$AK$2&lt;AK$2)*($T32:$AK32))))</f>
      </c>
      <c r="BD32" s="0">
        <f>T32-AL32</f>
      </c>
      <c r="BE32" s="0">
        <f>U32-AM32</f>
      </c>
      <c r="BF32" s="0">
        <f>V32-AN32</f>
      </c>
      <c r="BG32" s="0">
        <f>W32-AO32</f>
      </c>
      <c r="BH32" s="0">
        <f>X32-AP32</f>
      </c>
      <c r="BI32" s="0">
        <f>Y32-AQ32</f>
      </c>
      <c r="BJ32" s="0">
        <f>Z32-AR32</f>
      </c>
      <c r="BK32" s="0">
        <f>AA32-AS32</f>
      </c>
      <c r="BL32" s="0">
        <f>AB32-AT32</f>
      </c>
      <c r="BM32" s="0">
        <f>AC32-AU32</f>
      </c>
      <c r="BN32" s="0">
        <f>AD32-AV32</f>
      </c>
      <c r="BO32" s="0">
        <f>AE32-AW32</f>
      </c>
      <c r="BP32" s="0">
        <f>AF32-AX32</f>
      </c>
      <c r="BQ32" s="0">
        <f>AG32-AY32</f>
      </c>
      <c r="BR32" s="0">
        <f>AH32-AZ32</f>
      </c>
      <c r="BS32" s="0">
        <f>AI32-BA32</f>
      </c>
      <c r="BT32" s="0">
        <f>AJ32-BB32</f>
      </c>
      <c r="BU32" s="0">
        <f>AK32-BC32</f>
      </c>
      <c r="BV32" s="0">
        <f>SUM(B32:S32)</f>
      </c>
      <c r="BW32" s="0">
        <f>SUM(T32:AK32)</f>
      </c>
      <c r="BX32" s="0">
        <f>MAX(0,(SUM(Calculator!$E$11:$E$28)+Calculator!$C$6)-BV32+BW32)</f>
      </c>
      <c r="BY32" s="0">
        <f>SUM(BD32:BU32)</f>
      </c>
      <c r="BZ32" s="0">
        <f>BV32-BY31</f>
      </c>
      <c r="CA32" s="0">
        <f>IF(A32&lt;=IF($CD$1=0,999,$CD$1),BY32,NA())</f>
      </c>
      <c r="CB32" s="0">
        <f>IF(A32&lt;=IF($CD$1=0,999,$CD$1),A32,NA())</f>
      </c>
    </row>
    <row r="33">
      <c r="A33" s="0">
        <v>30</v>
      </c>
      <c r="B33" s="0">
        <f>BD32*(1+Calculator!$D$11/100/12)</f>
      </c>
      <c r="C33" s="0">
        <f>BE32*(1+Calculator!$D$12/100/12)</f>
      </c>
      <c r="D33" s="0">
        <f>BF32*(1+Calculator!$D$13/100/12)</f>
      </c>
      <c r="E33" s="0">
        <f>BG32*(1+Calculator!$D$14/100/12)</f>
      </c>
      <c r="F33" s="0">
        <f>BH32*(1+Calculator!$D$15/100/12)</f>
      </c>
      <c r="G33" s="0">
        <f>BI32*(1+Calculator!$D$16/100/12)</f>
      </c>
      <c r="H33" s="0">
        <f>BJ32*(1+Calculator!$D$17/100/12)</f>
      </c>
      <c r="I33" s="0">
        <f>BK32*(1+Calculator!$D$18/100/12)</f>
      </c>
      <c r="J33" s="0">
        <f>BL32*(1+Calculator!$D$19/100/12)</f>
      </c>
      <c r="K33" s="0">
        <f>BM32*(1+Calculator!$D$20/100/12)</f>
      </c>
      <c r="L33" s="0">
        <f>BN32*(1+Calculator!$D$21/100/12)</f>
      </c>
      <c r="M33" s="0">
        <f>BO32*(1+Calculator!$D$22/100/12)</f>
      </c>
      <c r="N33" s="0">
        <f>BP32*(1+Calculator!$D$23/100/12)</f>
      </c>
      <c r="O33" s="0">
        <f>BQ32*(1+Calculator!$D$24/100/12)</f>
      </c>
      <c r="P33" s="0">
        <f>BR32*(1+Calculator!$D$25/100/12)</f>
      </c>
      <c r="Q33" s="0">
        <f>BS32*(1+Calculator!$D$26/100/12)</f>
      </c>
      <c r="R33" s="0">
        <f>BT32*(1+Calculator!$D$27/100/12)</f>
      </c>
      <c r="S33" s="0">
        <f>BU32*(1+Calculator!$D$28/100/12)</f>
      </c>
      <c r="T33" s="0">
        <f>MAX(0,B33-Calculator!$E$11)</f>
      </c>
      <c r="U33" s="0">
        <f>MAX(0,C33-Calculator!$E$12)</f>
      </c>
      <c r="V33" s="0">
        <f>MAX(0,D33-Calculator!$E$13)</f>
      </c>
      <c r="W33" s="0">
        <f>MAX(0,E33-Calculator!$E$14)</f>
      </c>
      <c r="X33" s="0">
        <f>MAX(0,F33-Calculator!$E$15)</f>
      </c>
      <c r="Y33" s="0">
        <f>MAX(0,G33-Calculator!$E$16)</f>
      </c>
      <c r="Z33" s="0">
        <f>MAX(0,H33-Calculator!$E$17)</f>
      </c>
      <c r="AA33" s="0">
        <f>MAX(0,I33-Calculator!$E$18)</f>
      </c>
      <c r="AB33" s="0">
        <f>MAX(0,J33-Calculator!$E$19)</f>
      </c>
      <c r="AC33" s="0">
        <f>MAX(0,K33-Calculator!$E$20)</f>
      </c>
      <c r="AD33" s="0">
        <f>MAX(0,L33-Calculator!$E$21)</f>
      </c>
      <c r="AE33" s="0">
        <f>MAX(0,M33-Calculator!$E$22)</f>
      </c>
      <c r="AF33" s="0">
        <f>MAX(0,N33-Calculator!$E$23)</f>
      </c>
      <c r="AG33" s="0">
        <f>MAX(0,O33-Calculator!$E$24)</f>
      </c>
      <c r="AH33" s="0">
        <f>MAX(0,P33-Calculator!$E$25)</f>
      </c>
      <c r="AI33" s="0">
        <f>MAX(0,Q33-Calculator!$E$26)</f>
      </c>
      <c r="AJ33" s="0">
        <f>MAX(0,R33-Calculator!$E$27)</f>
      </c>
      <c r="AK33" s="0">
        <f>MAX(0,S33-Calculator!$E$28)</f>
      </c>
      <c r="AL33" s="0">
        <f>MAX(0,MIN(T33,BX33-SUMPRODUCT(($T$2:$AK$2&lt;T$2)*($T33:$AK33))))</f>
      </c>
      <c r="AM33" s="0">
        <f>MAX(0,MIN(U33,BX33-SUMPRODUCT(($T$2:$AK$2&lt;U$2)*($T33:$AK33))))</f>
      </c>
      <c r="AN33" s="0">
        <f>MAX(0,MIN(V33,BX33-SUMPRODUCT(($T$2:$AK$2&lt;V$2)*($T33:$AK33))))</f>
      </c>
      <c r="AO33" s="0">
        <f>MAX(0,MIN(W33,BX33-SUMPRODUCT(($T$2:$AK$2&lt;W$2)*($T33:$AK33))))</f>
      </c>
      <c r="AP33" s="0">
        <f>MAX(0,MIN(X33,BX33-SUMPRODUCT(($T$2:$AK$2&lt;X$2)*($T33:$AK33))))</f>
      </c>
      <c r="AQ33" s="0">
        <f>MAX(0,MIN(Y33,BX33-SUMPRODUCT(($T$2:$AK$2&lt;Y$2)*($T33:$AK33))))</f>
      </c>
      <c r="AR33" s="0">
        <f>MAX(0,MIN(Z33,BX33-SUMPRODUCT(($T$2:$AK$2&lt;Z$2)*($T33:$AK33))))</f>
      </c>
      <c r="AS33" s="0">
        <f>MAX(0,MIN(AA33,BX33-SUMPRODUCT(($T$2:$AK$2&lt;AA$2)*($T33:$AK33))))</f>
      </c>
      <c r="AT33" s="0">
        <f>MAX(0,MIN(AB33,BX33-SUMPRODUCT(($T$2:$AK$2&lt;AB$2)*($T33:$AK33))))</f>
      </c>
      <c r="AU33" s="0">
        <f>MAX(0,MIN(AC33,BX33-SUMPRODUCT(($T$2:$AK$2&lt;AC$2)*($T33:$AK33))))</f>
      </c>
      <c r="AV33" s="0">
        <f>MAX(0,MIN(AD33,BX33-SUMPRODUCT(($T$2:$AK$2&lt;AD$2)*($T33:$AK33))))</f>
      </c>
      <c r="AW33" s="0">
        <f>MAX(0,MIN(AE33,BX33-SUMPRODUCT(($T$2:$AK$2&lt;AE$2)*($T33:$AK33))))</f>
      </c>
      <c r="AX33" s="0">
        <f>MAX(0,MIN(AF33,BX33-SUMPRODUCT(($T$2:$AK$2&lt;AF$2)*($T33:$AK33))))</f>
      </c>
      <c r="AY33" s="0">
        <f>MAX(0,MIN(AG33,BX33-SUMPRODUCT(($T$2:$AK$2&lt;AG$2)*($T33:$AK33))))</f>
      </c>
      <c r="AZ33" s="0">
        <f>MAX(0,MIN(AH33,BX33-SUMPRODUCT(($T$2:$AK$2&lt;AH$2)*($T33:$AK33))))</f>
      </c>
      <c r="BA33" s="0">
        <f>MAX(0,MIN(AI33,BX33-SUMPRODUCT(($T$2:$AK$2&lt;AI$2)*($T33:$AK33))))</f>
      </c>
      <c r="BB33" s="0">
        <f>MAX(0,MIN(AJ33,BX33-SUMPRODUCT(($T$2:$AK$2&lt;AJ$2)*($T33:$AK33))))</f>
      </c>
      <c r="BC33" s="0">
        <f>MAX(0,MIN(AK33,BX33-SUMPRODUCT(($T$2:$AK$2&lt;AK$2)*($T33:$AK33))))</f>
      </c>
      <c r="BD33" s="0">
        <f>T33-AL33</f>
      </c>
      <c r="BE33" s="0">
        <f>U33-AM33</f>
      </c>
      <c r="BF33" s="0">
        <f>V33-AN33</f>
      </c>
      <c r="BG33" s="0">
        <f>W33-AO33</f>
      </c>
      <c r="BH33" s="0">
        <f>X33-AP33</f>
      </c>
      <c r="BI33" s="0">
        <f>Y33-AQ33</f>
      </c>
      <c r="BJ33" s="0">
        <f>Z33-AR33</f>
      </c>
      <c r="BK33" s="0">
        <f>AA33-AS33</f>
      </c>
      <c r="BL33" s="0">
        <f>AB33-AT33</f>
      </c>
      <c r="BM33" s="0">
        <f>AC33-AU33</f>
      </c>
      <c r="BN33" s="0">
        <f>AD33-AV33</f>
      </c>
      <c r="BO33" s="0">
        <f>AE33-AW33</f>
      </c>
      <c r="BP33" s="0">
        <f>AF33-AX33</f>
      </c>
      <c r="BQ33" s="0">
        <f>AG33-AY33</f>
      </c>
      <c r="BR33" s="0">
        <f>AH33-AZ33</f>
      </c>
      <c r="BS33" s="0">
        <f>AI33-BA33</f>
      </c>
      <c r="BT33" s="0">
        <f>AJ33-BB33</f>
      </c>
      <c r="BU33" s="0">
        <f>AK33-BC33</f>
      </c>
      <c r="BV33" s="0">
        <f>SUM(B33:S33)</f>
      </c>
      <c r="BW33" s="0">
        <f>SUM(T33:AK33)</f>
      </c>
      <c r="BX33" s="0">
        <f>MAX(0,(SUM(Calculator!$E$11:$E$28)+Calculator!$C$6)-BV33+BW33)</f>
      </c>
      <c r="BY33" s="0">
        <f>SUM(BD33:BU33)</f>
      </c>
      <c r="BZ33" s="0">
        <f>BV33-BY32</f>
      </c>
      <c r="CA33" s="0">
        <f>IF(A33&lt;=IF($CD$1=0,999,$CD$1),BY33,NA())</f>
      </c>
      <c r="CB33" s="0">
        <f>IF(A33&lt;=IF($CD$1=0,999,$CD$1),A33,NA())</f>
      </c>
    </row>
    <row r="34">
      <c r="A34" s="0">
        <v>31</v>
      </c>
      <c r="B34" s="0">
        <f>BD33*(1+Calculator!$D$11/100/12)</f>
      </c>
      <c r="C34" s="0">
        <f>BE33*(1+Calculator!$D$12/100/12)</f>
      </c>
      <c r="D34" s="0">
        <f>BF33*(1+Calculator!$D$13/100/12)</f>
      </c>
      <c r="E34" s="0">
        <f>BG33*(1+Calculator!$D$14/100/12)</f>
      </c>
      <c r="F34" s="0">
        <f>BH33*(1+Calculator!$D$15/100/12)</f>
      </c>
      <c r="G34" s="0">
        <f>BI33*(1+Calculator!$D$16/100/12)</f>
      </c>
      <c r="H34" s="0">
        <f>BJ33*(1+Calculator!$D$17/100/12)</f>
      </c>
      <c r="I34" s="0">
        <f>BK33*(1+Calculator!$D$18/100/12)</f>
      </c>
      <c r="J34" s="0">
        <f>BL33*(1+Calculator!$D$19/100/12)</f>
      </c>
      <c r="K34" s="0">
        <f>BM33*(1+Calculator!$D$20/100/12)</f>
      </c>
      <c r="L34" s="0">
        <f>BN33*(1+Calculator!$D$21/100/12)</f>
      </c>
      <c r="M34" s="0">
        <f>BO33*(1+Calculator!$D$22/100/12)</f>
      </c>
      <c r="N34" s="0">
        <f>BP33*(1+Calculator!$D$23/100/12)</f>
      </c>
      <c r="O34" s="0">
        <f>BQ33*(1+Calculator!$D$24/100/12)</f>
      </c>
      <c r="P34" s="0">
        <f>BR33*(1+Calculator!$D$25/100/12)</f>
      </c>
      <c r="Q34" s="0">
        <f>BS33*(1+Calculator!$D$26/100/12)</f>
      </c>
      <c r="R34" s="0">
        <f>BT33*(1+Calculator!$D$27/100/12)</f>
      </c>
      <c r="S34" s="0">
        <f>BU33*(1+Calculator!$D$28/100/12)</f>
      </c>
      <c r="T34" s="0">
        <f>MAX(0,B34-Calculator!$E$11)</f>
      </c>
      <c r="U34" s="0">
        <f>MAX(0,C34-Calculator!$E$12)</f>
      </c>
      <c r="V34" s="0">
        <f>MAX(0,D34-Calculator!$E$13)</f>
      </c>
      <c r="W34" s="0">
        <f>MAX(0,E34-Calculator!$E$14)</f>
      </c>
      <c r="X34" s="0">
        <f>MAX(0,F34-Calculator!$E$15)</f>
      </c>
      <c r="Y34" s="0">
        <f>MAX(0,G34-Calculator!$E$16)</f>
      </c>
      <c r="Z34" s="0">
        <f>MAX(0,H34-Calculator!$E$17)</f>
      </c>
      <c r="AA34" s="0">
        <f>MAX(0,I34-Calculator!$E$18)</f>
      </c>
      <c r="AB34" s="0">
        <f>MAX(0,J34-Calculator!$E$19)</f>
      </c>
      <c r="AC34" s="0">
        <f>MAX(0,K34-Calculator!$E$20)</f>
      </c>
      <c r="AD34" s="0">
        <f>MAX(0,L34-Calculator!$E$21)</f>
      </c>
      <c r="AE34" s="0">
        <f>MAX(0,M34-Calculator!$E$22)</f>
      </c>
      <c r="AF34" s="0">
        <f>MAX(0,N34-Calculator!$E$23)</f>
      </c>
      <c r="AG34" s="0">
        <f>MAX(0,O34-Calculator!$E$24)</f>
      </c>
      <c r="AH34" s="0">
        <f>MAX(0,P34-Calculator!$E$25)</f>
      </c>
      <c r="AI34" s="0">
        <f>MAX(0,Q34-Calculator!$E$26)</f>
      </c>
      <c r="AJ34" s="0">
        <f>MAX(0,R34-Calculator!$E$27)</f>
      </c>
      <c r="AK34" s="0">
        <f>MAX(0,S34-Calculator!$E$28)</f>
      </c>
      <c r="AL34" s="0">
        <f>MAX(0,MIN(T34,BX34-SUMPRODUCT(($T$2:$AK$2&lt;T$2)*($T34:$AK34))))</f>
      </c>
      <c r="AM34" s="0">
        <f>MAX(0,MIN(U34,BX34-SUMPRODUCT(($T$2:$AK$2&lt;U$2)*($T34:$AK34))))</f>
      </c>
      <c r="AN34" s="0">
        <f>MAX(0,MIN(V34,BX34-SUMPRODUCT(($T$2:$AK$2&lt;V$2)*($T34:$AK34))))</f>
      </c>
      <c r="AO34" s="0">
        <f>MAX(0,MIN(W34,BX34-SUMPRODUCT(($T$2:$AK$2&lt;W$2)*($T34:$AK34))))</f>
      </c>
      <c r="AP34" s="0">
        <f>MAX(0,MIN(X34,BX34-SUMPRODUCT(($T$2:$AK$2&lt;X$2)*($T34:$AK34))))</f>
      </c>
      <c r="AQ34" s="0">
        <f>MAX(0,MIN(Y34,BX34-SUMPRODUCT(($T$2:$AK$2&lt;Y$2)*($T34:$AK34))))</f>
      </c>
      <c r="AR34" s="0">
        <f>MAX(0,MIN(Z34,BX34-SUMPRODUCT(($T$2:$AK$2&lt;Z$2)*($T34:$AK34))))</f>
      </c>
      <c r="AS34" s="0">
        <f>MAX(0,MIN(AA34,BX34-SUMPRODUCT(($T$2:$AK$2&lt;AA$2)*($T34:$AK34))))</f>
      </c>
      <c r="AT34" s="0">
        <f>MAX(0,MIN(AB34,BX34-SUMPRODUCT(($T$2:$AK$2&lt;AB$2)*($T34:$AK34))))</f>
      </c>
      <c r="AU34" s="0">
        <f>MAX(0,MIN(AC34,BX34-SUMPRODUCT(($T$2:$AK$2&lt;AC$2)*($T34:$AK34))))</f>
      </c>
      <c r="AV34" s="0">
        <f>MAX(0,MIN(AD34,BX34-SUMPRODUCT(($T$2:$AK$2&lt;AD$2)*($T34:$AK34))))</f>
      </c>
      <c r="AW34" s="0">
        <f>MAX(0,MIN(AE34,BX34-SUMPRODUCT(($T$2:$AK$2&lt;AE$2)*($T34:$AK34))))</f>
      </c>
      <c r="AX34" s="0">
        <f>MAX(0,MIN(AF34,BX34-SUMPRODUCT(($T$2:$AK$2&lt;AF$2)*($T34:$AK34))))</f>
      </c>
      <c r="AY34" s="0">
        <f>MAX(0,MIN(AG34,BX34-SUMPRODUCT(($T$2:$AK$2&lt;AG$2)*($T34:$AK34))))</f>
      </c>
      <c r="AZ34" s="0">
        <f>MAX(0,MIN(AH34,BX34-SUMPRODUCT(($T$2:$AK$2&lt;AH$2)*($T34:$AK34))))</f>
      </c>
      <c r="BA34" s="0">
        <f>MAX(0,MIN(AI34,BX34-SUMPRODUCT(($T$2:$AK$2&lt;AI$2)*($T34:$AK34))))</f>
      </c>
      <c r="BB34" s="0">
        <f>MAX(0,MIN(AJ34,BX34-SUMPRODUCT(($T$2:$AK$2&lt;AJ$2)*($T34:$AK34))))</f>
      </c>
      <c r="BC34" s="0">
        <f>MAX(0,MIN(AK34,BX34-SUMPRODUCT(($T$2:$AK$2&lt;AK$2)*($T34:$AK34))))</f>
      </c>
      <c r="BD34" s="0">
        <f>T34-AL34</f>
      </c>
      <c r="BE34" s="0">
        <f>U34-AM34</f>
      </c>
      <c r="BF34" s="0">
        <f>V34-AN34</f>
      </c>
      <c r="BG34" s="0">
        <f>W34-AO34</f>
      </c>
      <c r="BH34" s="0">
        <f>X34-AP34</f>
      </c>
      <c r="BI34" s="0">
        <f>Y34-AQ34</f>
      </c>
      <c r="BJ34" s="0">
        <f>Z34-AR34</f>
      </c>
      <c r="BK34" s="0">
        <f>AA34-AS34</f>
      </c>
      <c r="BL34" s="0">
        <f>AB34-AT34</f>
      </c>
      <c r="BM34" s="0">
        <f>AC34-AU34</f>
      </c>
      <c r="BN34" s="0">
        <f>AD34-AV34</f>
      </c>
      <c r="BO34" s="0">
        <f>AE34-AW34</f>
      </c>
      <c r="BP34" s="0">
        <f>AF34-AX34</f>
      </c>
      <c r="BQ34" s="0">
        <f>AG34-AY34</f>
      </c>
      <c r="BR34" s="0">
        <f>AH34-AZ34</f>
      </c>
      <c r="BS34" s="0">
        <f>AI34-BA34</f>
      </c>
      <c r="BT34" s="0">
        <f>AJ34-BB34</f>
      </c>
      <c r="BU34" s="0">
        <f>AK34-BC34</f>
      </c>
      <c r="BV34" s="0">
        <f>SUM(B34:S34)</f>
      </c>
      <c r="BW34" s="0">
        <f>SUM(T34:AK34)</f>
      </c>
      <c r="BX34" s="0">
        <f>MAX(0,(SUM(Calculator!$E$11:$E$28)+Calculator!$C$6)-BV34+BW34)</f>
      </c>
      <c r="BY34" s="0">
        <f>SUM(BD34:BU34)</f>
      </c>
      <c r="BZ34" s="0">
        <f>BV34-BY33</f>
      </c>
      <c r="CA34" s="0">
        <f>IF(A34&lt;=IF($CD$1=0,999,$CD$1),BY34,NA())</f>
      </c>
      <c r="CB34" s="0">
        <f>IF(A34&lt;=IF($CD$1=0,999,$CD$1),A34,NA())</f>
      </c>
    </row>
    <row r="35">
      <c r="A35" s="0">
        <v>32</v>
      </c>
      <c r="B35" s="0">
        <f>BD34*(1+Calculator!$D$11/100/12)</f>
      </c>
      <c r="C35" s="0">
        <f>BE34*(1+Calculator!$D$12/100/12)</f>
      </c>
      <c r="D35" s="0">
        <f>BF34*(1+Calculator!$D$13/100/12)</f>
      </c>
      <c r="E35" s="0">
        <f>BG34*(1+Calculator!$D$14/100/12)</f>
      </c>
      <c r="F35" s="0">
        <f>BH34*(1+Calculator!$D$15/100/12)</f>
      </c>
      <c r="G35" s="0">
        <f>BI34*(1+Calculator!$D$16/100/12)</f>
      </c>
      <c r="H35" s="0">
        <f>BJ34*(1+Calculator!$D$17/100/12)</f>
      </c>
      <c r="I35" s="0">
        <f>BK34*(1+Calculator!$D$18/100/12)</f>
      </c>
      <c r="J35" s="0">
        <f>BL34*(1+Calculator!$D$19/100/12)</f>
      </c>
      <c r="K35" s="0">
        <f>BM34*(1+Calculator!$D$20/100/12)</f>
      </c>
      <c r="L35" s="0">
        <f>BN34*(1+Calculator!$D$21/100/12)</f>
      </c>
      <c r="M35" s="0">
        <f>BO34*(1+Calculator!$D$22/100/12)</f>
      </c>
      <c r="N35" s="0">
        <f>BP34*(1+Calculator!$D$23/100/12)</f>
      </c>
      <c r="O35" s="0">
        <f>BQ34*(1+Calculator!$D$24/100/12)</f>
      </c>
      <c r="P35" s="0">
        <f>BR34*(1+Calculator!$D$25/100/12)</f>
      </c>
      <c r="Q35" s="0">
        <f>BS34*(1+Calculator!$D$26/100/12)</f>
      </c>
      <c r="R35" s="0">
        <f>BT34*(1+Calculator!$D$27/100/12)</f>
      </c>
      <c r="S35" s="0">
        <f>BU34*(1+Calculator!$D$28/100/12)</f>
      </c>
      <c r="T35" s="0">
        <f>MAX(0,B35-Calculator!$E$11)</f>
      </c>
      <c r="U35" s="0">
        <f>MAX(0,C35-Calculator!$E$12)</f>
      </c>
      <c r="V35" s="0">
        <f>MAX(0,D35-Calculator!$E$13)</f>
      </c>
      <c r="W35" s="0">
        <f>MAX(0,E35-Calculator!$E$14)</f>
      </c>
      <c r="X35" s="0">
        <f>MAX(0,F35-Calculator!$E$15)</f>
      </c>
      <c r="Y35" s="0">
        <f>MAX(0,G35-Calculator!$E$16)</f>
      </c>
      <c r="Z35" s="0">
        <f>MAX(0,H35-Calculator!$E$17)</f>
      </c>
      <c r="AA35" s="0">
        <f>MAX(0,I35-Calculator!$E$18)</f>
      </c>
      <c r="AB35" s="0">
        <f>MAX(0,J35-Calculator!$E$19)</f>
      </c>
      <c r="AC35" s="0">
        <f>MAX(0,K35-Calculator!$E$20)</f>
      </c>
      <c r="AD35" s="0">
        <f>MAX(0,L35-Calculator!$E$21)</f>
      </c>
      <c r="AE35" s="0">
        <f>MAX(0,M35-Calculator!$E$22)</f>
      </c>
      <c r="AF35" s="0">
        <f>MAX(0,N35-Calculator!$E$23)</f>
      </c>
      <c r="AG35" s="0">
        <f>MAX(0,O35-Calculator!$E$24)</f>
      </c>
      <c r="AH35" s="0">
        <f>MAX(0,P35-Calculator!$E$25)</f>
      </c>
      <c r="AI35" s="0">
        <f>MAX(0,Q35-Calculator!$E$26)</f>
      </c>
      <c r="AJ35" s="0">
        <f>MAX(0,R35-Calculator!$E$27)</f>
      </c>
      <c r="AK35" s="0">
        <f>MAX(0,S35-Calculator!$E$28)</f>
      </c>
      <c r="AL35" s="0">
        <f>MAX(0,MIN(T35,BX35-SUMPRODUCT(($T$2:$AK$2&lt;T$2)*($T35:$AK35))))</f>
      </c>
      <c r="AM35" s="0">
        <f>MAX(0,MIN(U35,BX35-SUMPRODUCT(($T$2:$AK$2&lt;U$2)*($T35:$AK35))))</f>
      </c>
      <c r="AN35" s="0">
        <f>MAX(0,MIN(V35,BX35-SUMPRODUCT(($T$2:$AK$2&lt;V$2)*($T35:$AK35))))</f>
      </c>
      <c r="AO35" s="0">
        <f>MAX(0,MIN(W35,BX35-SUMPRODUCT(($T$2:$AK$2&lt;W$2)*($T35:$AK35))))</f>
      </c>
      <c r="AP35" s="0">
        <f>MAX(0,MIN(X35,BX35-SUMPRODUCT(($T$2:$AK$2&lt;X$2)*($T35:$AK35))))</f>
      </c>
      <c r="AQ35" s="0">
        <f>MAX(0,MIN(Y35,BX35-SUMPRODUCT(($T$2:$AK$2&lt;Y$2)*($T35:$AK35))))</f>
      </c>
      <c r="AR35" s="0">
        <f>MAX(0,MIN(Z35,BX35-SUMPRODUCT(($T$2:$AK$2&lt;Z$2)*($T35:$AK35))))</f>
      </c>
      <c r="AS35" s="0">
        <f>MAX(0,MIN(AA35,BX35-SUMPRODUCT(($T$2:$AK$2&lt;AA$2)*($T35:$AK35))))</f>
      </c>
      <c r="AT35" s="0">
        <f>MAX(0,MIN(AB35,BX35-SUMPRODUCT(($T$2:$AK$2&lt;AB$2)*($T35:$AK35))))</f>
      </c>
      <c r="AU35" s="0">
        <f>MAX(0,MIN(AC35,BX35-SUMPRODUCT(($T$2:$AK$2&lt;AC$2)*($T35:$AK35))))</f>
      </c>
      <c r="AV35" s="0">
        <f>MAX(0,MIN(AD35,BX35-SUMPRODUCT(($T$2:$AK$2&lt;AD$2)*($T35:$AK35))))</f>
      </c>
      <c r="AW35" s="0">
        <f>MAX(0,MIN(AE35,BX35-SUMPRODUCT(($T$2:$AK$2&lt;AE$2)*($T35:$AK35))))</f>
      </c>
      <c r="AX35" s="0">
        <f>MAX(0,MIN(AF35,BX35-SUMPRODUCT(($T$2:$AK$2&lt;AF$2)*($T35:$AK35))))</f>
      </c>
      <c r="AY35" s="0">
        <f>MAX(0,MIN(AG35,BX35-SUMPRODUCT(($T$2:$AK$2&lt;AG$2)*($T35:$AK35))))</f>
      </c>
      <c r="AZ35" s="0">
        <f>MAX(0,MIN(AH35,BX35-SUMPRODUCT(($T$2:$AK$2&lt;AH$2)*($T35:$AK35))))</f>
      </c>
      <c r="BA35" s="0">
        <f>MAX(0,MIN(AI35,BX35-SUMPRODUCT(($T$2:$AK$2&lt;AI$2)*($T35:$AK35))))</f>
      </c>
      <c r="BB35" s="0">
        <f>MAX(0,MIN(AJ35,BX35-SUMPRODUCT(($T$2:$AK$2&lt;AJ$2)*($T35:$AK35))))</f>
      </c>
      <c r="BC35" s="0">
        <f>MAX(0,MIN(AK35,BX35-SUMPRODUCT(($T$2:$AK$2&lt;AK$2)*($T35:$AK35))))</f>
      </c>
      <c r="BD35" s="0">
        <f>T35-AL35</f>
      </c>
      <c r="BE35" s="0">
        <f>U35-AM35</f>
      </c>
      <c r="BF35" s="0">
        <f>V35-AN35</f>
      </c>
      <c r="BG35" s="0">
        <f>W35-AO35</f>
      </c>
      <c r="BH35" s="0">
        <f>X35-AP35</f>
      </c>
      <c r="BI35" s="0">
        <f>Y35-AQ35</f>
      </c>
      <c r="BJ35" s="0">
        <f>Z35-AR35</f>
      </c>
      <c r="BK35" s="0">
        <f>AA35-AS35</f>
      </c>
      <c r="BL35" s="0">
        <f>AB35-AT35</f>
      </c>
      <c r="BM35" s="0">
        <f>AC35-AU35</f>
      </c>
      <c r="BN35" s="0">
        <f>AD35-AV35</f>
      </c>
      <c r="BO35" s="0">
        <f>AE35-AW35</f>
      </c>
      <c r="BP35" s="0">
        <f>AF35-AX35</f>
      </c>
      <c r="BQ35" s="0">
        <f>AG35-AY35</f>
      </c>
      <c r="BR35" s="0">
        <f>AH35-AZ35</f>
      </c>
      <c r="BS35" s="0">
        <f>AI35-BA35</f>
      </c>
      <c r="BT35" s="0">
        <f>AJ35-BB35</f>
      </c>
      <c r="BU35" s="0">
        <f>AK35-BC35</f>
      </c>
      <c r="BV35" s="0">
        <f>SUM(B35:S35)</f>
      </c>
      <c r="BW35" s="0">
        <f>SUM(T35:AK35)</f>
      </c>
      <c r="BX35" s="0">
        <f>MAX(0,(SUM(Calculator!$E$11:$E$28)+Calculator!$C$6)-BV35+BW35)</f>
      </c>
      <c r="BY35" s="0">
        <f>SUM(BD35:BU35)</f>
      </c>
      <c r="BZ35" s="0">
        <f>BV35-BY34</f>
      </c>
      <c r="CA35" s="0">
        <f>IF(A35&lt;=IF($CD$1=0,999,$CD$1),BY35,NA())</f>
      </c>
      <c r="CB35" s="0">
        <f>IF(A35&lt;=IF($CD$1=0,999,$CD$1),A35,NA())</f>
      </c>
    </row>
    <row r="36">
      <c r="A36" s="0">
        <v>33</v>
      </c>
      <c r="B36" s="0">
        <f>BD35*(1+Calculator!$D$11/100/12)</f>
      </c>
      <c r="C36" s="0">
        <f>BE35*(1+Calculator!$D$12/100/12)</f>
      </c>
      <c r="D36" s="0">
        <f>BF35*(1+Calculator!$D$13/100/12)</f>
      </c>
      <c r="E36" s="0">
        <f>BG35*(1+Calculator!$D$14/100/12)</f>
      </c>
      <c r="F36" s="0">
        <f>BH35*(1+Calculator!$D$15/100/12)</f>
      </c>
      <c r="G36" s="0">
        <f>BI35*(1+Calculator!$D$16/100/12)</f>
      </c>
      <c r="H36" s="0">
        <f>BJ35*(1+Calculator!$D$17/100/12)</f>
      </c>
      <c r="I36" s="0">
        <f>BK35*(1+Calculator!$D$18/100/12)</f>
      </c>
      <c r="J36" s="0">
        <f>BL35*(1+Calculator!$D$19/100/12)</f>
      </c>
      <c r="K36" s="0">
        <f>BM35*(1+Calculator!$D$20/100/12)</f>
      </c>
      <c r="L36" s="0">
        <f>BN35*(1+Calculator!$D$21/100/12)</f>
      </c>
      <c r="M36" s="0">
        <f>BO35*(1+Calculator!$D$22/100/12)</f>
      </c>
      <c r="N36" s="0">
        <f>BP35*(1+Calculator!$D$23/100/12)</f>
      </c>
      <c r="O36" s="0">
        <f>BQ35*(1+Calculator!$D$24/100/12)</f>
      </c>
      <c r="P36" s="0">
        <f>BR35*(1+Calculator!$D$25/100/12)</f>
      </c>
      <c r="Q36" s="0">
        <f>BS35*(1+Calculator!$D$26/100/12)</f>
      </c>
      <c r="R36" s="0">
        <f>BT35*(1+Calculator!$D$27/100/12)</f>
      </c>
      <c r="S36" s="0">
        <f>BU35*(1+Calculator!$D$28/100/12)</f>
      </c>
      <c r="T36" s="0">
        <f>MAX(0,B36-Calculator!$E$11)</f>
      </c>
      <c r="U36" s="0">
        <f>MAX(0,C36-Calculator!$E$12)</f>
      </c>
      <c r="V36" s="0">
        <f>MAX(0,D36-Calculator!$E$13)</f>
      </c>
      <c r="W36" s="0">
        <f>MAX(0,E36-Calculator!$E$14)</f>
      </c>
      <c r="X36" s="0">
        <f>MAX(0,F36-Calculator!$E$15)</f>
      </c>
      <c r="Y36" s="0">
        <f>MAX(0,G36-Calculator!$E$16)</f>
      </c>
      <c r="Z36" s="0">
        <f>MAX(0,H36-Calculator!$E$17)</f>
      </c>
      <c r="AA36" s="0">
        <f>MAX(0,I36-Calculator!$E$18)</f>
      </c>
      <c r="AB36" s="0">
        <f>MAX(0,J36-Calculator!$E$19)</f>
      </c>
      <c r="AC36" s="0">
        <f>MAX(0,K36-Calculator!$E$20)</f>
      </c>
      <c r="AD36" s="0">
        <f>MAX(0,L36-Calculator!$E$21)</f>
      </c>
      <c r="AE36" s="0">
        <f>MAX(0,M36-Calculator!$E$22)</f>
      </c>
      <c r="AF36" s="0">
        <f>MAX(0,N36-Calculator!$E$23)</f>
      </c>
      <c r="AG36" s="0">
        <f>MAX(0,O36-Calculator!$E$24)</f>
      </c>
      <c r="AH36" s="0">
        <f>MAX(0,P36-Calculator!$E$25)</f>
      </c>
      <c r="AI36" s="0">
        <f>MAX(0,Q36-Calculator!$E$26)</f>
      </c>
      <c r="AJ36" s="0">
        <f>MAX(0,R36-Calculator!$E$27)</f>
      </c>
      <c r="AK36" s="0">
        <f>MAX(0,S36-Calculator!$E$28)</f>
      </c>
      <c r="AL36" s="0">
        <f>MAX(0,MIN(T36,BX36-SUMPRODUCT(($T$2:$AK$2&lt;T$2)*($T36:$AK36))))</f>
      </c>
      <c r="AM36" s="0">
        <f>MAX(0,MIN(U36,BX36-SUMPRODUCT(($T$2:$AK$2&lt;U$2)*($T36:$AK36))))</f>
      </c>
      <c r="AN36" s="0">
        <f>MAX(0,MIN(V36,BX36-SUMPRODUCT(($T$2:$AK$2&lt;V$2)*($T36:$AK36))))</f>
      </c>
      <c r="AO36" s="0">
        <f>MAX(0,MIN(W36,BX36-SUMPRODUCT(($T$2:$AK$2&lt;W$2)*($T36:$AK36))))</f>
      </c>
      <c r="AP36" s="0">
        <f>MAX(0,MIN(X36,BX36-SUMPRODUCT(($T$2:$AK$2&lt;X$2)*($T36:$AK36))))</f>
      </c>
      <c r="AQ36" s="0">
        <f>MAX(0,MIN(Y36,BX36-SUMPRODUCT(($T$2:$AK$2&lt;Y$2)*($T36:$AK36))))</f>
      </c>
      <c r="AR36" s="0">
        <f>MAX(0,MIN(Z36,BX36-SUMPRODUCT(($T$2:$AK$2&lt;Z$2)*($T36:$AK36))))</f>
      </c>
      <c r="AS36" s="0">
        <f>MAX(0,MIN(AA36,BX36-SUMPRODUCT(($T$2:$AK$2&lt;AA$2)*($T36:$AK36))))</f>
      </c>
      <c r="AT36" s="0">
        <f>MAX(0,MIN(AB36,BX36-SUMPRODUCT(($T$2:$AK$2&lt;AB$2)*($T36:$AK36))))</f>
      </c>
      <c r="AU36" s="0">
        <f>MAX(0,MIN(AC36,BX36-SUMPRODUCT(($T$2:$AK$2&lt;AC$2)*($T36:$AK36))))</f>
      </c>
      <c r="AV36" s="0">
        <f>MAX(0,MIN(AD36,BX36-SUMPRODUCT(($T$2:$AK$2&lt;AD$2)*($T36:$AK36))))</f>
      </c>
      <c r="AW36" s="0">
        <f>MAX(0,MIN(AE36,BX36-SUMPRODUCT(($T$2:$AK$2&lt;AE$2)*($T36:$AK36))))</f>
      </c>
      <c r="AX36" s="0">
        <f>MAX(0,MIN(AF36,BX36-SUMPRODUCT(($T$2:$AK$2&lt;AF$2)*($T36:$AK36))))</f>
      </c>
      <c r="AY36" s="0">
        <f>MAX(0,MIN(AG36,BX36-SUMPRODUCT(($T$2:$AK$2&lt;AG$2)*($T36:$AK36))))</f>
      </c>
      <c r="AZ36" s="0">
        <f>MAX(0,MIN(AH36,BX36-SUMPRODUCT(($T$2:$AK$2&lt;AH$2)*($T36:$AK36))))</f>
      </c>
      <c r="BA36" s="0">
        <f>MAX(0,MIN(AI36,BX36-SUMPRODUCT(($T$2:$AK$2&lt;AI$2)*($T36:$AK36))))</f>
      </c>
      <c r="BB36" s="0">
        <f>MAX(0,MIN(AJ36,BX36-SUMPRODUCT(($T$2:$AK$2&lt;AJ$2)*($T36:$AK36))))</f>
      </c>
      <c r="BC36" s="0">
        <f>MAX(0,MIN(AK36,BX36-SUMPRODUCT(($T$2:$AK$2&lt;AK$2)*($T36:$AK36))))</f>
      </c>
      <c r="BD36" s="0">
        <f>T36-AL36</f>
      </c>
      <c r="BE36" s="0">
        <f>U36-AM36</f>
      </c>
      <c r="BF36" s="0">
        <f>V36-AN36</f>
      </c>
      <c r="BG36" s="0">
        <f>W36-AO36</f>
      </c>
      <c r="BH36" s="0">
        <f>X36-AP36</f>
      </c>
      <c r="BI36" s="0">
        <f>Y36-AQ36</f>
      </c>
      <c r="BJ36" s="0">
        <f>Z36-AR36</f>
      </c>
      <c r="BK36" s="0">
        <f>AA36-AS36</f>
      </c>
      <c r="BL36" s="0">
        <f>AB36-AT36</f>
      </c>
      <c r="BM36" s="0">
        <f>AC36-AU36</f>
      </c>
      <c r="BN36" s="0">
        <f>AD36-AV36</f>
      </c>
      <c r="BO36" s="0">
        <f>AE36-AW36</f>
      </c>
      <c r="BP36" s="0">
        <f>AF36-AX36</f>
      </c>
      <c r="BQ36" s="0">
        <f>AG36-AY36</f>
      </c>
      <c r="BR36" s="0">
        <f>AH36-AZ36</f>
      </c>
      <c r="BS36" s="0">
        <f>AI36-BA36</f>
      </c>
      <c r="BT36" s="0">
        <f>AJ36-BB36</f>
      </c>
      <c r="BU36" s="0">
        <f>AK36-BC36</f>
      </c>
      <c r="BV36" s="0">
        <f>SUM(B36:S36)</f>
      </c>
      <c r="BW36" s="0">
        <f>SUM(T36:AK36)</f>
      </c>
      <c r="BX36" s="0">
        <f>MAX(0,(SUM(Calculator!$E$11:$E$28)+Calculator!$C$6)-BV36+BW36)</f>
      </c>
      <c r="BY36" s="0">
        <f>SUM(BD36:BU36)</f>
      </c>
      <c r="BZ36" s="0">
        <f>BV36-BY35</f>
      </c>
      <c r="CA36" s="0">
        <f>IF(A36&lt;=IF($CD$1=0,999,$CD$1),BY36,NA())</f>
      </c>
      <c r="CB36" s="0">
        <f>IF(A36&lt;=IF($CD$1=0,999,$CD$1),A36,NA())</f>
      </c>
    </row>
    <row r="37">
      <c r="A37" s="0">
        <v>34</v>
      </c>
      <c r="B37" s="0">
        <f>BD36*(1+Calculator!$D$11/100/12)</f>
      </c>
      <c r="C37" s="0">
        <f>BE36*(1+Calculator!$D$12/100/12)</f>
      </c>
      <c r="D37" s="0">
        <f>BF36*(1+Calculator!$D$13/100/12)</f>
      </c>
      <c r="E37" s="0">
        <f>BG36*(1+Calculator!$D$14/100/12)</f>
      </c>
      <c r="F37" s="0">
        <f>BH36*(1+Calculator!$D$15/100/12)</f>
      </c>
      <c r="G37" s="0">
        <f>BI36*(1+Calculator!$D$16/100/12)</f>
      </c>
      <c r="H37" s="0">
        <f>BJ36*(1+Calculator!$D$17/100/12)</f>
      </c>
      <c r="I37" s="0">
        <f>BK36*(1+Calculator!$D$18/100/12)</f>
      </c>
      <c r="J37" s="0">
        <f>BL36*(1+Calculator!$D$19/100/12)</f>
      </c>
      <c r="K37" s="0">
        <f>BM36*(1+Calculator!$D$20/100/12)</f>
      </c>
      <c r="L37" s="0">
        <f>BN36*(1+Calculator!$D$21/100/12)</f>
      </c>
      <c r="M37" s="0">
        <f>BO36*(1+Calculator!$D$22/100/12)</f>
      </c>
      <c r="N37" s="0">
        <f>BP36*(1+Calculator!$D$23/100/12)</f>
      </c>
      <c r="O37" s="0">
        <f>BQ36*(1+Calculator!$D$24/100/12)</f>
      </c>
      <c r="P37" s="0">
        <f>BR36*(1+Calculator!$D$25/100/12)</f>
      </c>
      <c r="Q37" s="0">
        <f>BS36*(1+Calculator!$D$26/100/12)</f>
      </c>
      <c r="R37" s="0">
        <f>BT36*(1+Calculator!$D$27/100/12)</f>
      </c>
      <c r="S37" s="0">
        <f>BU36*(1+Calculator!$D$28/100/12)</f>
      </c>
      <c r="T37" s="0">
        <f>MAX(0,B37-Calculator!$E$11)</f>
      </c>
      <c r="U37" s="0">
        <f>MAX(0,C37-Calculator!$E$12)</f>
      </c>
      <c r="V37" s="0">
        <f>MAX(0,D37-Calculator!$E$13)</f>
      </c>
      <c r="W37" s="0">
        <f>MAX(0,E37-Calculator!$E$14)</f>
      </c>
      <c r="X37" s="0">
        <f>MAX(0,F37-Calculator!$E$15)</f>
      </c>
      <c r="Y37" s="0">
        <f>MAX(0,G37-Calculator!$E$16)</f>
      </c>
      <c r="Z37" s="0">
        <f>MAX(0,H37-Calculator!$E$17)</f>
      </c>
      <c r="AA37" s="0">
        <f>MAX(0,I37-Calculator!$E$18)</f>
      </c>
      <c r="AB37" s="0">
        <f>MAX(0,J37-Calculator!$E$19)</f>
      </c>
      <c r="AC37" s="0">
        <f>MAX(0,K37-Calculator!$E$20)</f>
      </c>
      <c r="AD37" s="0">
        <f>MAX(0,L37-Calculator!$E$21)</f>
      </c>
      <c r="AE37" s="0">
        <f>MAX(0,M37-Calculator!$E$22)</f>
      </c>
      <c r="AF37" s="0">
        <f>MAX(0,N37-Calculator!$E$23)</f>
      </c>
      <c r="AG37" s="0">
        <f>MAX(0,O37-Calculator!$E$24)</f>
      </c>
      <c r="AH37" s="0">
        <f>MAX(0,P37-Calculator!$E$25)</f>
      </c>
      <c r="AI37" s="0">
        <f>MAX(0,Q37-Calculator!$E$26)</f>
      </c>
      <c r="AJ37" s="0">
        <f>MAX(0,R37-Calculator!$E$27)</f>
      </c>
      <c r="AK37" s="0">
        <f>MAX(0,S37-Calculator!$E$28)</f>
      </c>
      <c r="AL37" s="0">
        <f>MAX(0,MIN(T37,BX37-SUMPRODUCT(($T$2:$AK$2&lt;T$2)*($T37:$AK37))))</f>
      </c>
      <c r="AM37" s="0">
        <f>MAX(0,MIN(U37,BX37-SUMPRODUCT(($T$2:$AK$2&lt;U$2)*($T37:$AK37))))</f>
      </c>
      <c r="AN37" s="0">
        <f>MAX(0,MIN(V37,BX37-SUMPRODUCT(($T$2:$AK$2&lt;V$2)*($T37:$AK37))))</f>
      </c>
      <c r="AO37" s="0">
        <f>MAX(0,MIN(W37,BX37-SUMPRODUCT(($T$2:$AK$2&lt;W$2)*($T37:$AK37))))</f>
      </c>
      <c r="AP37" s="0">
        <f>MAX(0,MIN(X37,BX37-SUMPRODUCT(($T$2:$AK$2&lt;X$2)*($T37:$AK37))))</f>
      </c>
      <c r="AQ37" s="0">
        <f>MAX(0,MIN(Y37,BX37-SUMPRODUCT(($T$2:$AK$2&lt;Y$2)*($T37:$AK37))))</f>
      </c>
      <c r="AR37" s="0">
        <f>MAX(0,MIN(Z37,BX37-SUMPRODUCT(($T$2:$AK$2&lt;Z$2)*($T37:$AK37))))</f>
      </c>
      <c r="AS37" s="0">
        <f>MAX(0,MIN(AA37,BX37-SUMPRODUCT(($T$2:$AK$2&lt;AA$2)*($T37:$AK37))))</f>
      </c>
      <c r="AT37" s="0">
        <f>MAX(0,MIN(AB37,BX37-SUMPRODUCT(($T$2:$AK$2&lt;AB$2)*($T37:$AK37))))</f>
      </c>
      <c r="AU37" s="0">
        <f>MAX(0,MIN(AC37,BX37-SUMPRODUCT(($T$2:$AK$2&lt;AC$2)*($T37:$AK37))))</f>
      </c>
      <c r="AV37" s="0">
        <f>MAX(0,MIN(AD37,BX37-SUMPRODUCT(($T$2:$AK$2&lt;AD$2)*($T37:$AK37))))</f>
      </c>
      <c r="AW37" s="0">
        <f>MAX(0,MIN(AE37,BX37-SUMPRODUCT(($T$2:$AK$2&lt;AE$2)*($T37:$AK37))))</f>
      </c>
      <c r="AX37" s="0">
        <f>MAX(0,MIN(AF37,BX37-SUMPRODUCT(($T$2:$AK$2&lt;AF$2)*($T37:$AK37))))</f>
      </c>
      <c r="AY37" s="0">
        <f>MAX(0,MIN(AG37,BX37-SUMPRODUCT(($T$2:$AK$2&lt;AG$2)*($T37:$AK37))))</f>
      </c>
      <c r="AZ37" s="0">
        <f>MAX(0,MIN(AH37,BX37-SUMPRODUCT(($T$2:$AK$2&lt;AH$2)*($T37:$AK37))))</f>
      </c>
      <c r="BA37" s="0">
        <f>MAX(0,MIN(AI37,BX37-SUMPRODUCT(($T$2:$AK$2&lt;AI$2)*($T37:$AK37))))</f>
      </c>
      <c r="BB37" s="0">
        <f>MAX(0,MIN(AJ37,BX37-SUMPRODUCT(($T$2:$AK$2&lt;AJ$2)*($T37:$AK37))))</f>
      </c>
      <c r="BC37" s="0">
        <f>MAX(0,MIN(AK37,BX37-SUMPRODUCT(($T$2:$AK$2&lt;AK$2)*($T37:$AK37))))</f>
      </c>
      <c r="BD37" s="0">
        <f>T37-AL37</f>
      </c>
      <c r="BE37" s="0">
        <f>U37-AM37</f>
      </c>
      <c r="BF37" s="0">
        <f>V37-AN37</f>
      </c>
      <c r="BG37" s="0">
        <f>W37-AO37</f>
      </c>
      <c r="BH37" s="0">
        <f>X37-AP37</f>
      </c>
      <c r="BI37" s="0">
        <f>Y37-AQ37</f>
      </c>
      <c r="BJ37" s="0">
        <f>Z37-AR37</f>
      </c>
      <c r="BK37" s="0">
        <f>AA37-AS37</f>
      </c>
      <c r="BL37" s="0">
        <f>AB37-AT37</f>
      </c>
      <c r="BM37" s="0">
        <f>AC37-AU37</f>
      </c>
      <c r="BN37" s="0">
        <f>AD37-AV37</f>
      </c>
      <c r="BO37" s="0">
        <f>AE37-AW37</f>
      </c>
      <c r="BP37" s="0">
        <f>AF37-AX37</f>
      </c>
      <c r="BQ37" s="0">
        <f>AG37-AY37</f>
      </c>
      <c r="BR37" s="0">
        <f>AH37-AZ37</f>
      </c>
      <c r="BS37" s="0">
        <f>AI37-BA37</f>
      </c>
      <c r="BT37" s="0">
        <f>AJ37-BB37</f>
      </c>
      <c r="BU37" s="0">
        <f>AK37-BC37</f>
      </c>
      <c r="BV37" s="0">
        <f>SUM(B37:S37)</f>
      </c>
      <c r="BW37" s="0">
        <f>SUM(T37:AK37)</f>
      </c>
      <c r="BX37" s="0">
        <f>MAX(0,(SUM(Calculator!$E$11:$E$28)+Calculator!$C$6)-BV37+BW37)</f>
      </c>
      <c r="BY37" s="0">
        <f>SUM(BD37:BU37)</f>
      </c>
      <c r="BZ37" s="0">
        <f>BV37-BY36</f>
      </c>
      <c r="CA37" s="0">
        <f>IF(A37&lt;=IF($CD$1=0,999,$CD$1),BY37,NA())</f>
      </c>
      <c r="CB37" s="0">
        <f>IF(A37&lt;=IF($CD$1=0,999,$CD$1),A37,NA())</f>
      </c>
    </row>
    <row r="38">
      <c r="A38" s="0">
        <v>35</v>
      </c>
      <c r="B38" s="0">
        <f>BD37*(1+Calculator!$D$11/100/12)</f>
      </c>
      <c r="C38" s="0">
        <f>BE37*(1+Calculator!$D$12/100/12)</f>
      </c>
      <c r="D38" s="0">
        <f>BF37*(1+Calculator!$D$13/100/12)</f>
      </c>
      <c r="E38" s="0">
        <f>BG37*(1+Calculator!$D$14/100/12)</f>
      </c>
      <c r="F38" s="0">
        <f>BH37*(1+Calculator!$D$15/100/12)</f>
      </c>
      <c r="G38" s="0">
        <f>BI37*(1+Calculator!$D$16/100/12)</f>
      </c>
      <c r="H38" s="0">
        <f>BJ37*(1+Calculator!$D$17/100/12)</f>
      </c>
      <c r="I38" s="0">
        <f>BK37*(1+Calculator!$D$18/100/12)</f>
      </c>
      <c r="J38" s="0">
        <f>BL37*(1+Calculator!$D$19/100/12)</f>
      </c>
      <c r="K38" s="0">
        <f>BM37*(1+Calculator!$D$20/100/12)</f>
      </c>
      <c r="L38" s="0">
        <f>BN37*(1+Calculator!$D$21/100/12)</f>
      </c>
      <c r="M38" s="0">
        <f>BO37*(1+Calculator!$D$22/100/12)</f>
      </c>
      <c r="N38" s="0">
        <f>BP37*(1+Calculator!$D$23/100/12)</f>
      </c>
      <c r="O38" s="0">
        <f>BQ37*(1+Calculator!$D$24/100/12)</f>
      </c>
      <c r="P38" s="0">
        <f>BR37*(1+Calculator!$D$25/100/12)</f>
      </c>
      <c r="Q38" s="0">
        <f>BS37*(1+Calculator!$D$26/100/12)</f>
      </c>
      <c r="R38" s="0">
        <f>BT37*(1+Calculator!$D$27/100/12)</f>
      </c>
      <c r="S38" s="0">
        <f>BU37*(1+Calculator!$D$28/100/12)</f>
      </c>
      <c r="T38" s="0">
        <f>MAX(0,B38-Calculator!$E$11)</f>
      </c>
      <c r="U38" s="0">
        <f>MAX(0,C38-Calculator!$E$12)</f>
      </c>
      <c r="V38" s="0">
        <f>MAX(0,D38-Calculator!$E$13)</f>
      </c>
      <c r="W38" s="0">
        <f>MAX(0,E38-Calculator!$E$14)</f>
      </c>
      <c r="X38" s="0">
        <f>MAX(0,F38-Calculator!$E$15)</f>
      </c>
      <c r="Y38" s="0">
        <f>MAX(0,G38-Calculator!$E$16)</f>
      </c>
      <c r="Z38" s="0">
        <f>MAX(0,H38-Calculator!$E$17)</f>
      </c>
      <c r="AA38" s="0">
        <f>MAX(0,I38-Calculator!$E$18)</f>
      </c>
      <c r="AB38" s="0">
        <f>MAX(0,J38-Calculator!$E$19)</f>
      </c>
      <c r="AC38" s="0">
        <f>MAX(0,K38-Calculator!$E$20)</f>
      </c>
      <c r="AD38" s="0">
        <f>MAX(0,L38-Calculator!$E$21)</f>
      </c>
      <c r="AE38" s="0">
        <f>MAX(0,M38-Calculator!$E$22)</f>
      </c>
      <c r="AF38" s="0">
        <f>MAX(0,N38-Calculator!$E$23)</f>
      </c>
      <c r="AG38" s="0">
        <f>MAX(0,O38-Calculator!$E$24)</f>
      </c>
      <c r="AH38" s="0">
        <f>MAX(0,P38-Calculator!$E$25)</f>
      </c>
      <c r="AI38" s="0">
        <f>MAX(0,Q38-Calculator!$E$26)</f>
      </c>
      <c r="AJ38" s="0">
        <f>MAX(0,R38-Calculator!$E$27)</f>
      </c>
      <c r="AK38" s="0">
        <f>MAX(0,S38-Calculator!$E$28)</f>
      </c>
      <c r="AL38" s="0">
        <f>MAX(0,MIN(T38,BX38-SUMPRODUCT(($T$2:$AK$2&lt;T$2)*($T38:$AK38))))</f>
      </c>
      <c r="AM38" s="0">
        <f>MAX(0,MIN(U38,BX38-SUMPRODUCT(($T$2:$AK$2&lt;U$2)*($T38:$AK38))))</f>
      </c>
      <c r="AN38" s="0">
        <f>MAX(0,MIN(V38,BX38-SUMPRODUCT(($T$2:$AK$2&lt;V$2)*($T38:$AK38))))</f>
      </c>
      <c r="AO38" s="0">
        <f>MAX(0,MIN(W38,BX38-SUMPRODUCT(($T$2:$AK$2&lt;W$2)*($T38:$AK38))))</f>
      </c>
      <c r="AP38" s="0">
        <f>MAX(0,MIN(X38,BX38-SUMPRODUCT(($T$2:$AK$2&lt;X$2)*($T38:$AK38))))</f>
      </c>
      <c r="AQ38" s="0">
        <f>MAX(0,MIN(Y38,BX38-SUMPRODUCT(($T$2:$AK$2&lt;Y$2)*($T38:$AK38))))</f>
      </c>
      <c r="AR38" s="0">
        <f>MAX(0,MIN(Z38,BX38-SUMPRODUCT(($T$2:$AK$2&lt;Z$2)*($T38:$AK38))))</f>
      </c>
      <c r="AS38" s="0">
        <f>MAX(0,MIN(AA38,BX38-SUMPRODUCT(($T$2:$AK$2&lt;AA$2)*($T38:$AK38))))</f>
      </c>
      <c r="AT38" s="0">
        <f>MAX(0,MIN(AB38,BX38-SUMPRODUCT(($T$2:$AK$2&lt;AB$2)*($T38:$AK38))))</f>
      </c>
      <c r="AU38" s="0">
        <f>MAX(0,MIN(AC38,BX38-SUMPRODUCT(($T$2:$AK$2&lt;AC$2)*($T38:$AK38))))</f>
      </c>
      <c r="AV38" s="0">
        <f>MAX(0,MIN(AD38,BX38-SUMPRODUCT(($T$2:$AK$2&lt;AD$2)*($T38:$AK38))))</f>
      </c>
      <c r="AW38" s="0">
        <f>MAX(0,MIN(AE38,BX38-SUMPRODUCT(($T$2:$AK$2&lt;AE$2)*($T38:$AK38))))</f>
      </c>
      <c r="AX38" s="0">
        <f>MAX(0,MIN(AF38,BX38-SUMPRODUCT(($T$2:$AK$2&lt;AF$2)*($T38:$AK38))))</f>
      </c>
      <c r="AY38" s="0">
        <f>MAX(0,MIN(AG38,BX38-SUMPRODUCT(($T$2:$AK$2&lt;AG$2)*($T38:$AK38))))</f>
      </c>
      <c r="AZ38" s="0">
        <f>MAX(0,MIN(AH38,BX38-SUMPRODUCT(($T$2:$AK$2&lt;AH$2)*($T38:$AK38))))</f>
      </c>
      <c r="BA38" s="0">
        <f>MAX(0,MIN(AI38,BX38-SUMPRODUCT(($T$2:$AK$2&lt;AI$2)*($T38:$AK38))))</f>
      </c>
      <c r="BB38" s="0">
        <f>MAX(0,MIN(AJ38,BX38-SUMPRODUCT(($T$2:$AK$2&lt;AJ$2)*($T38:$AK38))))</f>
      </c>
      <c r="BC38" s="0">
        <f>MAX(0,MIN(AK38,BX38-SUMPRODUCT(($T$2:$AK$2&lt;AK$2)*($T38:$AK38))))</f>
      </c>
      <c r="BD38" s="0">
        <f>T38-AL38</f>
      </c>
      <c r="BE38" s="0">
        <f>U38-AM38</f>
      </c>
      <c r="BF38" s="0">
        <f>V38-AN38</f>
      </c>
      <c r="BG38" s="0">
        <f>W38-AO38</f>
      </c>
      <c r="BH38" s="0">
        <f>X38-AP38</f>
      </c>
      <c r="BI38" s="0">
        <f>Y38-AQ38</f>
      </c>
      <c r="BJ38" s="0">
        <f>Z38-AR38</f>
      </c>
      <c r="BK38" s="0">
        <f>AA38-AS38</f>
      </c>
      <c r="BL38" s="0">
        <f>AB38-AT38</f>
      </c>
      <c r="BM38" s="0">
        <f>AC38-AU38</f>
      </c>
      <c r="BN38" s="0">
        <f>AD38-AV38</f>
      </c>
      <c r="BO38" s="0">
        <f>AE38-AW38</f>
      </c>
      <c r="BP38" s="0">
        <f>AF38-AX38</f>
      </c>
      <c r="BQ38" s="0">
        <f>AG38-AY38</f>
      </c>
      <c r="BR38" s="0">
        <f>AH38-AZ38</f>
      </c>
      <c r="BS38" s="0">
        <f>AI38-BA38</f>
      </c>
      <c r="BT38" s="0">
        <f>AJ38-BB38</f>
      </c>
      <c r="BU38" s="0">
        <f>AK38-BC38</f>
      </c>
      <c r="BV38" s="0">
        <f>SUM(B38:S38)</f>
      </c>
      <c r="BW38" s="0">
        <f>SUM(T38:AK38)</f>
      </c>
      <c r="BX38" s="0">
        <f>MAX(0,(SUM(Calculator!$E$11:$E$28)+Calculator!$C$6)-BV38+BW38)</f>
      </c>
      <c r="BY38" s="0">
        <f>SUM(BD38:BU38)</f>
      </c>
      <c r="BZ38" s="0">
        <f>BV38-BY37</f>
      </c>
      <c r="CA38" s="0">
        <f>IF(A38&lt;=IF($CD$1=0,999,$CD$1),BY38,NA())</f>
      </c>
      <c r="CB38" s="0">
        <f>IF(A38&lt;=IF($CD$1=0,999,$CD$1),A38,NA())</f>
      </c>
    </row>
    <row r="39">
      <c r="A39" s="0">
        <v>36</v>
      </c>
      <c r="B39" s="0">
        <f>BD38*(1+Calculator!$D$11/100/12)</f>
      </c>
      <c r="C39" s="0">
        <f>BE38*(1+Calculator!$D$12/100/12)</f>
      </c>
      <c r="D39" s="0">
        <f>BF38*(1+Calculator!$D$13/100/12)</f>
      </c>
      <c r="E39" s="0">
        <f>BG38*(1+Calculator!$D$14/100/12)</f>
      </c>
      <c r="F39" s="0">
        <f>BH38*(1+Calculator!$D$15/100/12)</f>
      </c>
      <c r="G39" s="0">
        <f>BI38*(1+Calculator!$D$16/100/12)</f>
      </c>
      <c r="H39" s="0">
        <f>BJ38*(1+Calculator!$D$17/100/12)</f>
      </c>
      <c r="I39" s="0">
        <f>BK38*(1+Calculator!$D$18/100/12)</f>
      </c>
      <c r="J39" s="0">
        <f>BL38*(1+Calculator!$D$19/100/12)</f>
      </c>
      <c r="K39" s="0">
        <f>BM38*(1+Calculator!$D$20/100/12)</f>
      </c>
      <c r="L39" s="0">
        <f>BN38*(1+Calculator!$D$21/100/12)</f>
      </c>
      <c r="M39" s="0">
        <f>BO38*(1+Calculator!$D$22/100/12)</f>
      </c>
      <c r="N39" s="0">
        <f>BP38*(1+Calculator!$D$23/100/12)</f>
      </c>
      <c r="O39" s="0">
        <f>BQ38*(1+Calculator!$D$24/100/12)</f>
      </c>
      <c r="P39" s="0">
        <f>BR38*(1+Calculator!$D$25/100/12)</f>
      </c>
      <c r="Q39" s="0">
        <f>BS38*(1+Calculator!$D$26/100/12)</f>
      </c>
      <c r="R39" s="0">
        <f>BT38*(1+Calculator!$D$27/100/12)</f>
      </c>
      <c r="S39" s="0">
        <f>BU38*(1+Calculator!$D$28/100/12)</f>
      </c>
      <c r="T39" s="0">
        <f>MAX(0,B39-Calculator!$E$11)</f>
      </c>
      <c r="U39" s="0">
        <f>MAX(0,C39-Calculator!$E$12)</f>
      </c>
      <c r="V39" s="0">
        <f>MAX(0,D39-Calculator!$E$13)</f>
      </c>
      <c r="W39" s="0">
        <f>MAX(0,E39-Calculator!$E$14)</f>
      </c>
      <c r="X39" s="0">
        <f>MAX(0,F39-Calculator!$E$15)</f>
      </c>
      <c r="Y39" s="0">
        <f>MAX(0,G39-Calculator!$E$16)</f>
      </c>
      <c r="Z39" s="0">
        <f>MAX(0,H39-Calculator!$E$17)</f>
      </c>
      <c r="AA39" s="0">
        <f>MAX(0,I39-Calculator!$E$18)</f>
      </c>
      <c r="AB39" s="0">
        <f>MAX(0,J39-Calculator!$E$19)</f>
      </c>
      <c r="AC39" s="0">
        <f>MAX(0,K39-Calculator!$E$20)</f>
      </c>
      <c r="AD39" s="0">
        <f>MAX(0,L39-Calculator!$E$21)</f>
      </c>
      <c r="AE39" s="0">
        <f>MAX(0,M39-Calculator!$E$22)</f>
      </c>
      <c r="AF39" s="0">
        <f>MAX(0,N39-Calculator!$E$23)</f>
      </c>
      <c r="AG39" s="0">
        <f>MAX(0,O39-Calculator!$E$24)</f>
      </c>
      <c r="AH39" s="0">
        <f>MAX(0,P39-Calculator!$E$25)</f>
      </c>
      <c r="AI39" s="0">
        <f>MAX(0,Q39-Calculator!$E$26)</f>
      </c>
      <c r="AJ39" s="0">
        <f>MAX(0,R39-Calculator!$E$27)</f>
      </c>
      <c r="AK39" s="0">
        <f>MAX(0,S39-Calculator!$E$28)</f>
      </c>
      <c r="AL39" s="0">
        <f>MAX(0,MIN(T39,BX39-SUMPRODUCT(($T$2:$AK$2&lt;T$2)*($T39:$AK39))))</f>
      </c>
      <c r="AM39" s="0">
        <f>MAX(0,MIN(U39,BX39-SUMPRODUCT(($T$2:$AK$2&lt;U$2)*($T39:$AK39))))</f>
      </c>
      <c r="AN39" s="0">
        <f>MAX(0,MIN(V39,BX39-SUMPRODUCT(($T$2:$AK$2&lt;V$2)*($T39:$AK39))))</f>
      </c>
      <c r="AO39" s="0">
        <f>MAX(0,MIN(W39,BX39-SUMPRODUCT(($T$2:$AK$2&lt;W$2)*($T39:$AK39))))</f>
      </c>
      <c r="AP39" s="0">
        <f>MAX(0,MIN(X39,BX39-SUMPRODUCT(($T$2:$AK$2&lt;X$2)*($T39:$AK39))))</f>
      </c>
      <c r="AQ39" s="0">
        <f>MAX(0,MIN(Y39,BX39-SUMPRODUCT(($T$2:$AK$2&lt;Y$2)*($T39:$AK39))))</f>
      </c>
      <c r="AR39" s="0">
        <f>MAX(0,MIN(Z39,BX39-SUMPRODUCT(($T$2:$AK$2&lt;Z$2)*($T39:$AK39))))</f>
      </c>
      <c r="AS39" s="0">
        <f>MAX(0,MIN(AA39,BX39-SUMPRODUCT(($T$2:$AK$2&lt;AA$2)*($T39:$AK39))))</f>
      </c>
      <c r="AT39" s="0">
        <f>MAX(0,MIN(AB39,BX39-SUMPRODUCT(($T$2:$AK$2&lt;AB$2)*($T39:$AK39))))</f>
      </c>
      <c r="AU39" s="0">
        <f>MAX(0,MIN(AC39,BX39-SUMPRODUCT(($T$2:$AK$2&lt;AC$2)*($T39:$AK39))))</f>
      </c>
      <c r="AV39" s="0">
        <f>MAX(0,MIN(AD39,BX39-SUMPRODUCT(($T$2:$AK$2&lt;AD$2)*($T39:$AK39))))</f>
      </c>
      <c r="AW39" s="0">
        <f>MAX(0,MIN(AE39,BX39-SUMPRODUCT(($T$2:$AK$2&lt;AE$2)*($T39:$AK39))))</f>
      </c>
      <c r="AX39" s="0">
        <f>MAX(0,MIN(AF39,BX39-SUMPRODUCT(($T$2:$AK$2&lt;AF$2)*($T39:$AK39))))</f>
      </c>
      <c r="AY39" s="0">
        <f>MAX(0,MIN(AG39,BX39-SUMPRODUCT(($T$2:$AK$2&lt;AG$2)*($T39:$AK39))))</f>
      </c>
      <c r="AZ39" s="0">
        <f>MAX(0,MIN(AH39,BX39-SUMPRODUCT(($T$2:$AK$2&lt;AH$2)*($T39:$AK39))))</f>
      </c>
      <c r="BA39" s="0">
        <f>MAX(0,MIN(AI39,BX39-SUMPRODUCT(($T$2:$AK$2&lt;AI$2)*($T39:$AK39))))</f>
      </c>
      <c r="BB39" s="0">
        <f>MAX(0,MIN(AJ39,BX39-SUMPRODUCT(($T$2:$AK$2&lt;AJ$2)*($T39:$AK39))))</f>
      </c>
      <c r="BC39" s="0">
        <f>MAX(0,MIN(AK39,BX39-SUMPRODUCT(($T$2:$AK$2&lt;AK$2)*($T39:$AK39))))</f>
      </c>
      <c r="BD39" s="0">
        <f>T39-AL39</f>
      </c>
      <c r="BE39" s="0">
        <f>U39-AM39</f>
      </c>
      <c r="BF39" s="0">
        <f>V39-AN39</f>
      </c>
      <c r="BG39" s="0">
        <f>W39-AO39</f>
      </c>
      <c r="BH39" s="0">
        <f>X39-AP39</f>
      </c>
      <c r="BI39" s="0">
        <f>Y39-AQ39</f>
      </c>
      <c r="BJ39" s="0">
        <f>Z39-AR39</f>
      </c>
      <c r="BK39" s="0">
        <f>AA39-AS39</f>
      </c>
      <c r="BL39" s="0">
        <f>AB39-AT39</f>
      </c>
      <c r="BM39" s="0">
        <f>AC39-AU39</f>
      </c>
      <c r="BN39" s="0">
        <f>AD39-AV39</f>
      </c>
      <c r="BO39" s="0">
        <f>AE39-AW39</f>
      </c>
      <c r="BP39" s="0">
        <f>AF39-AX39</f>
      </c>
      <c r="BQ39" s="0">
        <f>AG39-AY39</f>
      </c>
      <c r="BR39" s="0">
        <f>AH39-AZ39</f>
      </c>
      <c r="BS39" s="0">
        <f>AI39-BA39</f>
      </c>
      <c r="BT39" s="0">
        <f>AJ39-BB39</f>
      </c>
      <c r="BU39" s="0">
        <f>AK39-BC39</f>
      </c>
      <c r="BV39" s="0">
        <f>SUM(B39:S39)</f>
      </c>
      <c r="BW39" s="0">
        <f>SUM(T39:AK39)</f>
      </c>
      <c r="BX39" s="0">
        <f>MAX(0,(SUM(Calculator!$E$11:$E$28)+Calculator!$C$6)-BV39+BW39)</f>
      </c>
      <c r="BY39" s="0">
        <f>SUM(BD39:BU39)</f>
      </c>
      <c r="BZ39" s="0">
        <f>BV39-BY38</f>
      </c>
      <c r="CA39" s="0">
        <f>IF(A39&lt;=IF($CD$1=0,999,$CD$1),BY39,NA())</f>
      </c>
      <c r="CB39" s="0">
        <f>IF(A39&lt;=IF($CD$1=0,999,$CD$1),A39,NA())</f>
      </c>
    </row>
    <row r="40">
      <c r="A40" s="0">
        <v>37</v>
      </c>
      <c r="B40" s="0">
        <f>BD39*(1+Calculator!$D$11/100/12)</f>
      </c>
      <c r="C40" s="0">
        <f>BE39*(1+Calculator!$D$12/100/12)</f>
      </c>
      <c r="D40" s="0">
        <f>BF39*(1+Calculator!$D$13/100/12)</f>
      </c>
      <c r="E40" s="0">
        <f>BG39*(1+Calculator!$D$14/100/12)</f>
      </c>
      <c r="F40" s="0">
        <f>BH39*(1+Calculator!$D$15/100/12)</f>
      </c>
      <c r="G40" s="0">
        <f>BI39*(1+Calculator!$D$16/100/12)</f>
      </c>
      <c r="H40" s="0">
        <f>BJ39*(1+Calculator!$D$17/100/12)</f>
      </c>
      <c r="I40" s="0">
        <f>BK39*(1+Calculator!$D$18/100/12)</f>
      </c>
      <c r="J40" s="0">
        <f>BL39*(1+Calculator!$D$19/100/12)</f>
      </c>
      <c r="K40" s="0">
        <f>BM39*(1+Calculator!$D$20/100/12)</f>
      </c>
      <c r="L40" s="0">
        <f>BN39*(1+Calculator!$D$21/100/12)</f>
      </c>
      <c r="M40" s="0">
        <f>BO39*(1+Calculator!$D$22/100/12)</f>
      </c>
      <c r="N40" s="0">
        <f>BP39*(1+Calculator!$D$23/100/12)</f>
      </c>
      <c r="O40" s="0">
        <f>BQ39*(1+Calculator!$D$24/100/12)</f>
      </c>
      <c r="P40" s="0">
        <f>BR39*(1+Calculator!$D$25/100/12)</f>
      </c>
      <c r="Q40" s="0">
        <f>BS39*(1+Calculator!$D$26/100/12)</f>
      </c>
      <c r="R40" s="0">
        <f>BT39*(1+Calculator!$D$27/100/12)</f>
      </c>
      <c r="S40" s="0">
        <f>BU39*(1+Calculator!$D$28/100/12)</f>
      </c>
      <c r="T40" s="0">
        <f>MAX(0,B40-Calculator!$E$11)</f>
      </c>
      <c r="U40" s="0">
        <f>MAX(0,C40-Calculator!$E$12)</f>
      </c>
      <c r="V40" s="0">
        <f>MAX(0,D40-Calculator!$E$13)</f>
      </c>
      <c r="W40" s="0">
        <f>MAX(0,E40-Calculator!$E$14)</f>
      </c>
      <c r="X40" s="0">
        <f>MAX(0,F40-Calculator!$E$15)</f>
      </c>
      <c r="Y40" s="0">
        <f>MAX(0,G40-Calculator!$E$16)</f>
      </c>
      <c r="Z40" s="0">
        <f>MAX(0,H40-Calculator!$E$17)</f>
      </c>
      <c r="AA40" s="0">
        <f>MAX(0,I40-Calculator!$E$18)</f>
      </c>
      <c r="AB40" s="0">
        <f>MAX(0,J40-Calculator!$E$19)</f>
      </c>
      <c r="AC40" s="0">
        <f>MAX(0,K40-Calculator!$E$20)</f>
      </c>
      <c r="AD40" s="0">
        <f>MAX(0,L40-Calculator!$E$21)</f>
      </c>
      <c r="AE40" s="0">
        <f>MAX(0,M40-Calculator!$E$22)</f>
      </c>
      <c r="AF40" s="0">
        <f>MAX(0,N40-Calculator!$E$23)</f>
      </c>
      <c r="AG40" s="0">
        <f>MAX(0,O40-Calculator!$E$24)</f>
      </c>
      <c r="AH40" s="0">
        <f>MAX(0,P40-Calculator!$E$25)</f>
      </c>
      <c r="AI40" s="0">
        <f>MAX(0,Q40-Calculator!$E$26)</f>
      </c>
      <c r="AJ40" s="0">
        <f>MAX(0,R40-Calculator!$E$27)</f>
      </c>
      <c r="AK40" s="0">
        <f>MAX(0,S40-Calculator!$E$28)</f>
      </c>
      <c r="AL40" s="0">
        <f>MAX(0,MIN(T40,BX40-SUMPRODUCT(($T$2:$AK$2&lt;T$2)*($T40:$AK40))))</f>
      </c>
      <c r="AM40" s="0">
        <f>MAX(0,MIN(U40,BX40-SUMPRODUCT(($T$2:$AK$2&lt;U$2)*($T40:$AK40))))</f>
      </c>
      <c r="AN40" s="0">
        <f>MAX(0,MIN(V40,BX40-SUMPRODUCT(($T$2:$AK$2&lt;V$2)*($T40:$AK40))))</f>
      </c>
      <c r="AO40" s="0">
        <f>MAX(0,MIN(W40,BX40-SUMPRODUCT(($T$2:$AK$2&lt;W$2)*($T40:$AK40))))</f>
      </c>
      <c r="AP40" s="0">
        <f>MAX(0,MIN(X40,BX40-SUMPRODUCT(($T$2:$AK$2&lt;X$2)*($T40:$AK40))))</f>
      </c>
      <c r="AQ40" s="0">
        <f>MAX(0,MIN(Y40,BX40-SUMPRODUCT(($T$2:$AK$2&lt;Y$2)*($T40:$AK40))))</f>
      </c>
      <c r="AR40" s="0">
        <f>MAX(0,MIN(Z40,BX40-SUMPRODUCT(($T$2:$AK$2&lt;Z$2)*($T40:$AK40))))</f>
      </c>
      <c r="AS40" s="0">
        <f>MAX(0,MIN(AA40,BX40-SUMPRODUCT(($T$2:$AK$2&lt;AA$2)*($T40:$AK40))))</f>
      </c>
      <c r="AT40" s="0">
        <f>MAX(0,MIN(AB40,BX40-SUMPRODUCT(($T$2:$AK$2&lt;AB$2)*($T40:$AK40))))</f>
      </c>
      <c r="AU40" s="0">
        <f>MAX(0,MIN(AC40,BX40-SUMPRODUCT(($T$2:$AK$2&lt;AC$2)*($T40:$AK40))))</f>
      </c>
      <c r="AV40" s="0">
        <f>MAX(0,MIN(AD40,BX40-SUMPRODUCT(($T$2:$AK$2&lt;AD$2)*($T40:$AK40))))</f>
      </c>
      <c r="AW40" s="0">
        <f>MAX(0,MIN(AE40,BX40-SUMPRODUCT(($T$2:$AK$2&lt;AE$2)*($T40:$AK40))))</f>
      </c>
      <c r="AX40" s="0">
        <f>MAX(0,MIN(AF40,BX40-SUMPRODUCT(($T$2:$AK$2&lt;AF$2)*($T40:$AK40))))</f>
      </c>
      <c r="AY40" s="0">
        <f>MAX(0,MIN(AG40,BX40-SUMPRODUCT(($T$2:$AK$2&lt;AG$2)*($T40:$AK40))))</f>
      </c>
      <c r="AZ40" s="0">
        <f>MAX(0,MIN(AH40,BX40-SUMPRODUCT(($T$2:$AK$2&lt;AH$2)*($T40:$AK40))))</f>
      </c>
      <c r="BA40" s="0">
        <f>MAX(0,MIN(AI40,BX40-SUMPRODUCT(($T$2:$AK$2&lt;AI$2)*($T40:$AK40))))</f>
      </c>
      <c r="BB40" s="0">
        <f>MAX(0,MIN(AJ40,BX40-SUMPRODUCT(($T$2:$AK$2&lt;AJ$2)*($T40:$AK40))))</f>
      </c>
      <c r="BC40" s="0">
        <f>MAX(0,MIN(AK40,BX40-SUMPRODUCT(($T$2:$AK$2&lt;AK$2)*($T40:$AK40))))</f>
      </c>
      <c r="BD40" s="0">
        <f>T40-AL40</f>
      </c>
      <c r="BE40" s="0">
        <f>U40-AM40</f>
      </c>
      <c r="BF40" s="0">
        <f>V40-AN40</f>
      </c>
      <c r="BG40" s="0">
        <f>W40-AO40</f>
      </c>
      <c r="BH40" s="0">
        <f>X40-AP40</f>
      </c>
      <c r="BI40" s="0">
        <f>Y40-AQ40</f>
      </c>
      <c r="BJ40" s="0">
        <f>Z40-AR40</f>
      </c>
      <c r="BK40" s="0">
        <f>AA40-AS40</f>
      </c>
      <c r="BL40" s="0">
        <f>AB40-AT40</f>
      </c>
      <c r="BM40" s="0">
        <f>AC40-AU40</f>
      </c>
      <c r="BN40" s="0">
        <f>AD40-AV40</f>
      </c>
      <c r="BO40" s="0">
        <f>AE40-AW40</f>
      </c>
      <c r="BP40" s="0">
        <f>AF40-AX40</f>
      </c>
      <c r="BQ40" s="0">
        <f>AG40-AY40</f>
      </c>
      <c r="BR40" s="0">
        <f>AH40-AZ40</f>
      </c>
      <c r="BS40" s="0">
        <f>AI40-BA40</f>
      </c>
      <c r="BT40" s="0">
        <f>AJ40-BB40</f>
      </c>
      <c r="BU40" s="0">
        <f>AK40-BC40</f>
      </c>
      <c r="BV40" s="0">
        <f>SUM(B40:S40)</f>
      </c>
      <c r="BW40" s="0">
        <f>SUM(T40:AK40)</f>
      </c>
      <c r="BX40" s="0">
        <f>MAX(0,(SUM(Calculator!$E$11:$E$28)+Calculator!$C$6)-BV40+BW40)</f>
      </c>
      <c r="BY40" s="0">
        <f>SUM(BD40:BU40)</f>
      </c>
      <c r="BZ40" s="0">
        <f>BV40-BY39</f>
      </c>
      <c r="CA40" s="0">
        <f>IF(A40&lt;=IF($CD$1=0,999,$CD$1),BY40,NA())</f>
      </c>
      <c r="CB40" s="0">
        <f>IF(A40&lt;=IF($CD$1=0,999,$CD$1),A40,NA())</f>
      </c>
    </row>
    <row r="41">
      <c r="A41" s="0">
        <v>38</v>
      </c>
      <c r="B41" s="0">
        <f>BD40*(1+Calculator!$D$11/100/12)</f>
      </c>
      <c r="C41" s="0">
        <f>BE40*(1+Calculator!$D$12/100/12)</f>
      </c>
      <c r="D41" s="0">
        <f>BF40*(1+Calculator!$D$13/100/12)</f>
      </c>
      <c r="E41" s="0">
        <f>BG40*(1+Calculator!$D$14/100/12)</f>
      </c>
      <c r="F41" s="0">
        <f>BH40*(1+Calculator!$D$15/100/12)</f>
      </c>
      <c r="G41" s="0">
        <f>BI40*(1+Calculator!$D$16/100/12)</f>
      </c>
      <c r="H41" s="0">
        <f>BJ40*(1+Calculator!$D$17/100/12)</f>
      </c>
      <c r="I41" s="0">
        <f>BK40*(1+Calculator!$D$18/100/12)</f>
      </c>
      <c r="J41" s="0">
        <f>BL40*(1+Calculator!$D$19/100/12)</f>
      </c>
      <c r="K41" s="0">
        <f>BM40*(1+Calculator!$D$20/100/12)</f>
      </c>
      <c r="L41" s="0">
        <f>BN40*(1+Calculator!$D$21/100/12)</f>
      </c>
      <c r="M41" s="0">
        <f>BO40*(1+Calculator!$D$22/100/12)</f>
      </c>
      <c r="N41" s="0">
        <f>BP40*(1+Calculator!$D$23/100/12)</f>
      </c>
      <c r="O41" s="0">
        <f>BQ40*(1+Calculator!$D$24/100/12)</f>
      </c>
      <c r="P41" s="0">
        <f>BR40*(1+Calculator!$D$25/100/12)</f>
      </c>
      <c r="Q41" s="0">
        <f>BS40*(1+Calculator!$D$26/100/12)</f>
      </c>
      <c r="R41" s="0">
        <f>BT40*(1+Calculator!$D$27/100/12)</f>
      </c>
      <c r="S41" s="0">
        <f>BU40*(1+Calculator!$D$28/100/12)</f>
      </c>
      <c r="T41" s="0">
        <f>MAX(0,B41-Calculator!$E$11)</f>
      </c>
      <c r="U41" s="0">
        <f>MAX(0,C41-Calculator!$E$12)</f>
      </c>
      <c r="V41" s="0">
        <f>MAX(0,D41-Calculator!$E$13)</f>
      </c>
      <c r="W41" s="0">
        <f>MAX(0,E41-Calculator!$E$14)</f>
      </c>
      <c r="X41" s="0">
        <f>MAX(0,F41-Calculator!$E$15)</f>
      </c>
      <c r="Y41" s="0">
        <f>MAX(0,G41-Calculator!$E$16)</f>
      </c>
      <c r="Z41" s="0">
        <f>MAX(0,H41-Calculator!$E$17)</f>
      </c>
      <c r="AA41" s="0">
        <f>MAX(0,I41-Calculator!$E$18)</f>
      </c>
      <c r="AB41" s="0">
        <f>MAX(0,J41-Calculator!$E$19)</f>
      </c>
      <c r="AC41" s="0">
        <f>MAX(0,K41-Calculator!$E$20)</f>
      </c>
      <c r="AD41" s="0">
        <f>MAX(0,L41-Calculator!$E$21)</f>
      </c>
      <c r="AE41" s="0">
        <f>MAX(0,M41-Calculator!$E$22)</f>
      </c>
      <c r="AF41" s="0">
        <f>MAX(0,N41-Calculator!$E$23)</f>
      </c>
      <c r="AG41" s="0">
        <f>MAX(0,O41-Calculator!$E$24)</f>
      </c>
      <c r="AH41" s="0">
        <f>MAX(0,P41-Calculator!$E$25)</f>
      </c>
      <c r="AI41" s="0">
        <f>MAX(0,Q41-Calculator!$E$26)</f>
      </c>
      <c r="AJ41" s="0">
        <f>MAX(0,R41-Calculator!$E$27)</f>
      </c>
      <c r="AK41" s="0">
        <f>MAX(0,S41-Calculator!$E$28)</f>
      </c>
      <c r="AL41" s="0">
        <f>MAX(0,MIN(T41,BX41-SUMPRODUCT(($T$2:$AK$2&lt;T$2)*($T41:$AK41))))</f>
      </c>
      <c r="AM41" s="0">
        <f>MAX(0,MIN(U41,BX41-SUMPRODUCT(($T$2:$AK$2&lt;U$2)*($T41:$AK41))))</f>
      </c>
      <c r="AN41" s="0">
        <f>MAX(0,MIN(V41,BX41-SUMPRODUCT(($T$2:$AK$2&lt;V$2)*($T41:$AK41))))</f>
      </c>
      <c r="AO41" s="0">
        <f>MAX(0,MIN(W41,BX41-SUMPRODUCT(($T$2:$AK$2&lt;W$2)*($T41:$AK41))))</f>
      </c>
      <c r="AP41" s="0">
        <f>MAX(0,MIN(X41,BX41-SUMPRODUCT(($T$2:$AK$2&lt;X$2)*($T41:$AK41))))</f>
      </c>
      <c r="AQ41" s="0">
        <f>MAX(0,MIN(Y41,BX41-SUMPRODUCT(($T$2:$AK$2&lt;Y$2)*($T41:$AK41))))</f>
      </c>
      <c r="AR41" s="0">
        <f>MAX(0,MIN(Z41,BX41-SUMPRODUCT(($T$2:$AK$2&lt;Z$2)*($T41:$AK41))))</f>
      </c>
      <c r="AS41" s="0">
        <f>MAX(0,MIN(AA41,BX41-SUMPRODUCT(($T$2:$AK$2&lt;AA$2)*($T41:$AK41))))</f>
      </c>
      <c r="AT41" s="0">
        <f>MAX(0,MIN(AB41,BX41-SUMPRODUCT(($T$2:$AK$2&lt;AB$2)*($T41:$AK41))))</f>
      </c>
      <c r="AU41" s="0">
        <f>MAX(0,MIN(AC41,BX41-SUMPRODUCT(($T$2:$AK$2&lt;AC$2)*($T41:$AK41))))</f>
      </c>
      <c r="AV41" s="0">
        <f>MAX(0,MIN(AD41,BX41-SUMPRODUCT(($T$2:$AK$2&lt;AD$2)*($T41:$AK41))))</f>
      </c>
      <c r="AW41" s="0">
        <f>MAX(0,MIN(AE41,BX41-SUMPRODUCT(($T$2:$AK$2&lt;AE$2)*($T41:$AK41))))</f>
      </c>
      <c r="AX41" s="0">
        <f>MAX(0,MIN(AF41,BX41-SUMPRODUCT(($T$2:$AK$2&lt;AF$2)*($T41:$AK41))))</f>
      </c>
      <c r="AY41" s="0">
        <f>MAX(0,MIN(AG41,BX41-SUMPRODUCT(($T$2:$AK$2&lt;AG$2)*($T41:$AK41))))</f>
      </c>
      <c r="AZ41" s="0">
        <f>MAX(0,MIN(AH41,BX41-SUMPRODUCT(($T$2:$AK$2&lt;AH$2)*($T41:$AK41))))</f>
      </c>
      <c r="BA41" s="0">
        <f>MAX(0,MIN(AI41,BX41-SUMPRODUCT(($T$2:$AK$2&lt;AI$2)*($T41:$AK41))))</f>
      </c>
      <c r="BB41" s="0">
        <f>MAX(0,MIN(AJ41,BX41-SUMPRODUCT(($T$2:$AK$2&lt;AJ$2)*($T41:$AK41))))</f>
      </c>
      <c r="BC41" s="0">
        <f>MAX(0,MIN(AK41,BX41-SUMPRODUCT(($T$2:$AK$2&lt;AK$2)*($T41:$AK41))))</f>
      </c>
      <c r="BD41" s="0">
        <f>T41-AL41</f>
      </c>
      <c r="BE41" s="0">
        <f>U41-AM41</f>
      </c>
      <c r="BF41" s="0">
        <f>V41-AN41</f>
      </c>
      <c r="BG41" s="0">
        <f>W41-AO41</f>
      </c>
      <c r="BH41" s="0">
        <f>X41-AP41</f>
      </c>
      <c r="BI41" s="0">
        <f>Y41-AQ41</f>
      </c>
      <c r="BJ41" s="0">
        <f>Z41-AR41</f>
      </c>
      <c r="BK41" s="0">
        <f>AA41-AS41</f>
      </c>
      <c r="BL41" s="0">
        <f>AB41-AT41</f>
      </c>
      <c r="BM41" s="0">
        <f>AC41-AU41</f>
      </c>
      <c r="BN41" s="0">
        <f>AD41-AV41</f>
      </c>
      <c r="BO41" s="0">
        <f>AE41-AW41</f>
      </c>
      <c r="BP41" s="0">
        <f>AF41-AX41</f>
      </c>
      <c r="BQ41" s="0">
        <f>AG41-AY41</f>
      </c>
      <c r="BR41" s="0">
        <f>AH41-AZ41</f>
      </c>
      <c r="BS41" s="0">
        <f>AI41-BA41</f>
      </c>
      <c r="BT41" s="0">
        <f>AJ41-BB41</f>
      </c>
      <c r="BU41" s="0">
        <f>AK41-BC41</f>
      </c>
      <c r="BV41" s="0">
        <f>SUM(B41:S41)</f>
      </c>
      <c r="BW41" s="0">
        <f>SUM(T41:AK41)</f>
      </c>
      <c r="BX41" s="0">
        <f>MAX(0,(SUM(Calculator!$E$11:$E$28)+Calculator!$C$6)-BV41+BW41)</f>
      </c>
      <c r="BY41" s="0">
        <f>SUM(BD41:BU41)</f>
      </c>
      <c r="BZ41" s="0">
        <f>BV41-BY40</f>
      </c>
      <c r="CA41" s="0">
        <f>IF(A41&lt;=IF($CD$1=0,999,$CD$1),BY41,NA())</f>
      </c>
      <c r="CB41" s="0">
        <f>IF(A41&lt;=IF($CD$1=0,999,$CD$1),A41,NA())</f>
      </c>
    </row>
    <row r="42">
      <c r="A42" s="0">
        <v>39</v>
      </c>
      <c r="B42" s="0">
        <f>BD41*(1+Calculator!$D$11/100/12)</f>
      </c>
      <c r="C42" s="0">
        <f>BE41*(1+Calculator!$D$12/100/12)</f>
      </c>
      <c r="D42" s="0">
        <f>BF41*(1+Calculator!$D$13/100/12)</f>
      </c>
      <c r="E42" s="0">
        <f>BG41*(1+Calculator!$D$14/100/12)</f>
      </c>
      <c r="F42" s="0">
        <f>BH41*(1+Calculator!$D$15/100/12)</f>
      </c>
      <c r="G42" s="0">
        <f>BI41*(1+Calculator!$D$16/100/12)</f>
      </c>
      <c r="H42" s="0">
        <f>BJ41*(1+Calculator!$D$17/100/12)</f>
      </c>
      <c r="I42" s="0">
        <f>BK41*(1+Calculator!$D$18/100/12)</f>
      </c>
      <c r="J42" s="0">
        <f>BL41*(1+Calculator!$D$19/100/12)</f>
      </c>
      <c r="K42" s="0">
        <f>BM41*(1+Calculator!$D$20/100/12)</f>
      </c>
      <c r="L42" s="0">
        <f>BN41*(1+Calculator!$D$21/100/12)</f>
      </c>
      <c r="M42" s="0">
        <f>BO41*(1+Calculator!$D$22/100/12)</f>
      </c>
      <c r="N42" s="0">
        <f>BP41*(1+Calculator!$D$23/100/12)</f>
      </c>
      <c r="O42" s="0">
        <f>BQ41*(1+Calculator!$D$24/100/12)</f>
      </c>
      <c r="P42" s="0">
        <f>BR41*(1+Calculator!$D$25/100/12)</f>
      </c>
      <c r="Q42" s="0">
        <f>BS41*(1+Calculator!$D$26/100/12)</f>
      </c>
      <c r="R42" s="0">
        <f>BT41*(1+Calculator!$D$27/100/12)</f>
      </c>
      <c r="S42" s="0">
        <f>BU41*(1+Calculator!$D$28/100/12)</f>
      </c>
      <c r="T42" s="0">
        <f>MAX(0,B42-Calculator!$E$11)</f>
      </c>
      <c r="U42" s="0">
        <f>MAX(0,C42-Calculator!$E$12)</f>
      </c>
      <c r="V42" s="0">
        <f>MAX(0,D42-Calculator!$E$13)</f>
      </c>
      <c r="W42" s="0">
        <f>MAX(0,E42-Calculator!$E$14)</f>
      </c>
      <c r="X42" s="0">
        <f>MAX(0,F42-Calculator!$E$15)</f>
      </c>
      <c r="Y42" s="0">
        <f>MAX(0,G42-Calculator!$E$16)</f>
      </c>
      <c r="Z42" s="0">
        <f>MAX(0,H42-Calculator!$E$17)</f>
      </c>
      <c r="AA42" s="0">
        <f>MAX(0,I42-Calculator!$E$18)</f>
      </c>
      <c r="AB42" s="0">
        <f>MAX(0,J42-Calculator!$E$19)</f>
      </c>
      <c r="AC42" s="0">
        <f>MAX(0,K42-Calculator!$E$20)</f>
      </c>
      <c r="AD42" s="0">
        <f>MAX(0,L42-Calculator!$E$21)</f>
      </c>
      <c r="AE42" s="0">
        <f>MAX(0,M42-Calculator!$E$22)</f>
      </c>
      <c r="AF42" s="0">
        <f>MAX(0,N42-Calculator!$E$23)</f>
      </c>
      <c r="AG42" s="0">
        <f>MAX(0,O42-Calculator!$E$24)</f>
      </c>
      <c r="AH42" s="0">
        <f>MAX(0,P42-Calculator!$E$25)</f>
      </c>
      <c r="AI42" s="0">
        <f>MAX(0,Q42-Calculator!$E$26)</f>
      </c>
      <c r="AJ42" s="0">
        <f>MAX(0,R42-Calculator!$E$27)</f>
      </c>
      <c r="AK42" s="0">
        <f>MAX(0,S42-Calculator!$E$28)</f>
      </c>
      <c r="AL42" s="0">
        <f>MAX(0,MIN(T42,BX42-SUMPRODUCT(($T$2:$AK$2&lt;T$2)*($T42:$AK42))))</f>
      </c>
      <c r="AM42" s="0">
        <f>MAX(0,MIN(U42,BX42-SUMPRODUCT(($T$2:$AK$2&lt;U$2)*($T42:$AK42))))</f>
      </c>
      <c r="AN42" s="0">
        <f>MAX(0,MIN(V42,BX42-SUMPRODUCT(($T$2:$AK$2&lt;V$2)*($T42:$AK42))))</f>
      </c>
      <c r="AO42" s="0">
        <f>MAX(0,MIN(W42,BX42-SUMPRODUCT(($T$2:$AK$2&lt;W$2)*($T42:$AK42))))</f>
      </c>
      <c r="AP42" s="0">
        <f>MAX(0,MIN(X42,BX42-SUMPRODUCT(($T$2:$AK$2&lt;X$2)*($T42:$AK42))))</f>
      </c>
      <c r="AQ42" s="0">
        <f>MAX(0,MIN(Y42,BX42-SUMPRODUCT(($T$2:$AK$2&lt;Y$2)*($T42:$AK42))))</f>
      </c>
      <c r="AR42" s="0">
        <f>MAX(0,MIN(Z42,BX42-SUMPRODUCT(($T$2:$AK$2&lt;Z$2)*($T42:$AK42))))</f>
      </c>
      <c r="AS42" s="0">
        <f>MAX(0,MIN(AA42,BX42-SUMPRODUCT(($T$2:$AK$2&lt;AA$2)*($T42:$AK42))))</f>
      </c>
      <c r="AT42" s="0">
        <f>MAX(0,MIN(AB42,BX42-SUMPRODUCT(($T$2:$AK$2&lt;AB$2)*($T42:$AK42))))</f>
      </c>
      <c r="AU42" s="0">
        <f>MAX(0,MIN(AC42,BX42-SUMPRODUCT(($T$2:$AK$2&lt;AC$2)*($T42:$AK42))))</f>
      </c>
      <c r="AV42" s="0">
        <f>MAX(0,MIN(AD42,BX42-SUMPRODUCT(($T$2:$AK$2&lt;AD$2)*($T42:$AK42))))</f>
      </c>
      <c r="AW42" s="0">
        <f>MAX(0,MIN(AE42,BX42-SUMPRODUCT(($T$2:$AK$2&lt;AE$2)*($T42:$AK42))))</f>
      </c>
      <c r="AX42" s="0">
        <f>MAX(0,MIN(AF42,BX42-SUMPRODUCT(($T$2:$AK$2&lt;AF$2)*($T42:$AK42))))</f>
      </c>
      <c r="AY42" s="0">
        <f>MAX(0,MIN(AG42,BX42-SUMPRODUCT(($T$2:$AK$2&lt;AG$2)*($T42:$AK42))))</f>
      </c>
      <c r="AZ42" s="0">
        <f>MAX(0,MIN(AH42,BX42-SUMPRODUCT(($T$2:$AK$2&lt;AH$2)*($T42:$AK42))))</f>
      </c>
      <c r="BA42" s="0">
        <f>MAX(0,MIN(AI42,BX42-SUMPRODUCT(($T$2:$AK$2&lt;AI$2)*($T42:$AK42))))</f>
      </c>
      <c r="BB42" s="0">
        <f>MAX(0,MIN(AJ42,BX42-SUMPRODUCT(($T$2:$AK$2&lt;AJ$2)*($T42:$AK42))))</f>
      </c>
      <c r="BC42" s="0">
        <f>MAX(0,MIN(AK42,BX42-SUMPRODUCT(($T$2:$AK$2&lt;AK$2)*($T42:$AK42))))</f>
      </c>
      <c r="BD42" s="0">
        <f>T42-AL42</f>
      </c>
      <c r="BE42" s="0">
        <f>U42-AM42</f>
      </c>
      <c r="BF42" s="0">
        <f>V42-AN42</f>
      </c>
      <c r="BG42" s="0">
        <f>W42-AO42</f>
      </c>
      <c r="BH42" s="0">
        <f>X42-AP42</f>
      </c>
      <c r="BI42" s="0">
        <f>Y42-AQ42</f>
      </c>
      <c r="BJ42" s="0">
        <f>Z42-AR42</f>
      </c>
      <c r="BK42" s="0">
        <f>AA42-AS42</f>
      </c>
      <c r="BL42" s="0">
        <f>AB42-AT42</f>
      </c>
      <c r="BM42" s="0">
        <f>AC42-AU42</f>
      </c>
      <c r="BN42" s="0">
        <f>AD42-AV42</f>
      </c>
      <c r="BO42" s="0">
        <f>AE42-AW42</f>
      </c>
      <c r="BP42" s="0">
        <f>AF42-AX42</f>
      </c>
      <c r="BQ42" s="0">
        <f>AG42-AY42</f>
      </c>
      <c r="BR42" s="0">
        <f>AH42-AZ42</f>
      </c>
      <c r="BS42" s="0">
        <f>AI42-BA42</f>
      </c>
      <c r="BT42" s="0">
        <f>AJ42-BB42</f>
      </c>
      <c r="BU42" s="0">
        <f>AK42-BC42</f>
      </c>
      <c r="BV42" s="0">
        <f>SUM(B42:S42)</f>
      </c>
      <c r="BW42" s="0">
        <f>SUM(T42:AK42)</f>
      </c>
      <c r="BX42" s="0">
        <f>MAX(0,(SUM(Calculator!$E$11:$E$28)+Calculator!$C$6)-BV42+BW42)</f>
      </c>
      <c r="BY42" s="0">
        <f>SUM(BD42:BU42)</f>
      </c>
      <c r="BZ42" s="0">
        <f>BV42-BY41</f>
      </c>
      <c r="CA42" s="0">
        <f>IF(A42&lt;=IF($CD$1=0,999,$CD$1),BY42,NA())</f>
      </c>
      <c r="CB42" s="0">
        <f>IF(A42&lt;=IF($CD$1=0,999,$CD$1),A42,NA())</f>
      </c>
    </row>
    <row r="43">
      <c r="A43" s="0">
        <v>40</v>
      </c>
      <c r="B43" s="0">
        <f>BD42*(1+Calculator!$D$11/100/12)</f>
      </c>
      <c r="C43" s="0">
        <f>BE42*(1+Calculator!$D$12/100/12)</f>
      </c>
      <c r="D43" s="0">
        <f>BF42*(1+Calculator!$D$13/100/12)</f>
      </c>
      <c r="E43" s="0">
        <f>BG42*(1+Calculator!$D$14/100/12)</f>
      </c>
      <c r="F43" s="0">
        <f>BH42*(1+Calculator!$D$15/100/12)</f>
      </c>
      <c r="G43" s="0">
        <f>BI42*(1+Calculator!$D$16/100/12)</f>
      </c>
      <c r="H43" s="0">
        <f>BJ42*(1+Calculator!$D$17/100/12)</f>
      </c>
      <c r="I43" s="0">
        <f>BK42*(1+Calculator!$D$18/100/12)</f>
      </c>
      <c r="J43" s="0">
        <f>BL42*(1+Calculator!$D$19/100/12)</f>
      </c>
      <c r="K43" s="0">
        <f>BM42*(1+Calculator!$D$20/100/12)</f>
      </c>
      <c r="L43" s="0">
        <f>BN42*(1+Calculator!$D$21/100/12)</f>
      </c>
      <c r="M43" s="0">
        <f>BO42*(1+Calculator!$D$22/100/12)</f>
      </c>
      <c r="N43" s="0">
        <f>BP42*(1+Calculator!$D$23/100/12)</f>
      </c>
      <c r="O43" s="0">
        <f>BQ42*(1+Calculator!$D$24/100/12)</f>
      </c>
      <c r="P43" s="0">
        <f>BR42*(1+Calculator!$D$25/100/12)</f>
      </c>
      <c r="Q43" s="0">
        <f>BS42*(1+Calculator!$D$26/100/12)</f>
      </c>
      <c r="R43" s="0">
        <f>BT42*(1+Calculator!$D$27/100/12)</f>
      </c>
      <c r="S43" s="0">
        <f>BU42*(1+Calculator!$D$28/100/12)</f>
      </c>
      <c r="T43" s="0">
        <f>MAX(0,B43-Calculator!$E$11)</f>
      </c>
      <c r="U43" s="0">
        <f>MAX(0,C43-Calculator!$E$12)</f>
      </c>
      <c r="V43" s="0">
        <f>MAX(0,D43-Calculator!$E$13)</f>
      </c>
      <c r="W43" s="0">
        <f>MAX(0,E43-Calculator!$E$14)</f>
      </c>
      <c r="X43" s="0">
        <f>MAX(0,F43-Calculator!$E$15)</f>
      </c>
      <c r="Y43" s="0">
        <f>MAX(0,G43-Calculator!$E$16)</f>
      </c>
      <c r="Z43" s="0">
        <f>MAX(0,H43-Calculator!$E$17)</f>
      </c>
      <c r="AA43" s="0">
        <f>MAX(0,I43-Calculator!$E$18)</f>
      </c>
      <c r="AB43" s="0">
        <f>MAX(0,J43-Calculator!$E$19)</f>
      </c>
      <c r="AC43" s="0">
        <f>MAX(0,K43-Calculator!$E$20)</f>
      </c>
      <c r="AD43" s="0">
        <f>MAX(0,L43-Calculator!$E$21)</f>
      </c>
      <c r="AE43" s="0">
        <f>MAX(0,M43-Calculator!$E$22)</f>
      </c>
      <c r="AF43" s="0">
        <f>MAX(0,N43-Calculator!$E$23)</f>
      </c>
      <c r="AG43" s="0">
        <f>MAX(0,O43-Calculator!$E$24)</f>
      </c>
      <c r="AH43" s="0">
        <f>MAX(0,P43-Calculator!$E$25)</f>
      </c>
      <c r="AI43" s="0">
        <f>MAX(0,Q43-Calculator!$E$26)</f>
      </c>
      <c r="AJ43" s="0">
        <f>MAX(0,R43-Calculator!$E$27)</f>
      </c>
      <c r="AK43" s="0">
        <f>MAX(0,S43-Calculator!$E$28)</f>
      </c>
      <c r="AL43" s="0">
        <f>MAX(0,MIN(T43,BX43-SUMPRODUCT(($T$2:$AK$2&lt;T$2)*($T43:$AK43))))</f>
      </c>
      <c r="AM43" s="0">
        <f>MAX(0,MIN(U43,BX43-SUMPRODUCT(($T$2:$AK$2&lt;U$2)*($T43:$AK43))))</f>
      </c>
      <c r="AN43" s="0">
        <f>MAX(0,MIN(V43,BX43-SUMPRODUCT(($T$2:$AK$2&lt;V$2)*($T43:$AK43))))</f>
      </c>
      <c r="AO43" s="0">
        <f>MAX(0,MIN(W43,BX43-SUMPRODUCT(($T$2:$AK$2&lt;W$2)*($T43:$AK43))))</f>
      </c>
      <c r="AP43" s="0">
        <f>MAX(0,MIN(X43,BX43-SUMPRODUCT(($T$2:$AK$2&lt;X$2)*($T43:$AK43))))</f>
      </c>
      <c r="AQ43" s="0">
        <f>MAX(0,MIN(Y43,BX43-SUMPRODUCT(($T$2:$AK$2&lt;Y$2)*($T43:$AK43))))</f>
      </c>
      <c r="AR43" s="0">
        <f>MAX(0,MIN(Z43,BX43-SUMPRODUCT(($T$2:$AK$2&lt;Z$2)*($T43:$AK43))))</f>
      </c>
      <c r="AS43" s="0">
        <f>MAX(0,MIN(AA43,BX43-SUMPRODUCT(($T$2:$AK$2&lt;AA$2)*($T43:$AK43))))</f>
      </c>
      <c r="AT43" s="0">
        <f>MAX(0,MIN(AB43,BX43-SUMPRODUCT(($T$2:$AK$2&lt;AB$2)*($T43:$AK43))))</f>
      </c>
      <c r="AU43" s="0">
        <f>MAX(0,MIN(AC43,BX43-SUMPRODUCT(($T$2:$AK$2&lt;AC$2)*($T43:$AK43))))</f>
      </c>
      <c r="AV43" s="0">
        <f>MAX(0,MIN(AD43,BX43-SUMPRODUCT(($T$2:$AK$2&lt;AD$2)*($T43:$AK43))))</f>
      </c>
      <c r="AW43" s="0">
        <f>MAX(0,MIN(AE43,BX43-SUMPRODUCT(($T$2:$AK$2&lt;AE$2)*($T43:$AK43))))</f>
      </c>
      <c r="AX43" s="0">
        <f>MAX(0,MIN(AF43,BX43-SUMPRODUCT(($T$2:$AK$2&lt;AF$2)*($T43:$AK43))))</f>
      </c>
      <c r="AY43" s="0">
        <f>MAX(0,MIN(AG43,BX43-SUMPRODUCT(($T$2:$AK$2&lt;AG$2)*($T43:$AK43))))</f>
      </c>
      <c r="AZ43" s="0">
        <f>MAX(0,MIN(AH43,BX43-SUMPRODUCT(($T$2:$AK$2&lt;AH$2)*($T43:$AK43))))</f>
      </c>
      <c r="BA43" s="0">
        <f>MAX(0,MIN(AI43,BX43-SUMPRODUCT(($T$2:$AK$2&lt;AI$2)*($T43:$AK43))))</f>
      </c>
      <c r="BB43" s="0">
        <f>MAX(0,MIN(AJ43,BX43-SUMPRODUCT(($T$2:$AK$2&lt;AJ$2)*($T43:$AK43))))</f>
      </c>
      <c r="BC43" s="0">
        <f>MAX(0,MIN(AK43,BX43-SUMPRODUCT(($T$2:$AK$2&lt;AK$2)*($T43:$AK43))))</f>
      </c>
      <c r="BD43" s="0">
        <f>T43-AL43</f>
      </c>
      <c r="BE43" s="0">
        <f>U43-AM43</f>
      </c>
      <c r="BF43" s="0">
        <f>V43-AN43</f>
      </c>
      <c r="BG43" s="0">
        <f>W43-AO43</f>
      </c>
      <c r="BH43" s="0">
        <f>X43-AP43</f>
      </c>
      <c r="BI43" s="0">
        <f>Y43-AQ43</f>
      </c>
      <c r="BJ43" s="0">
        <f>Z43-AR43</f>
      </c>
      <c r="BK43" s="0">
        <f>AA43-AS43</f>
      </c>
      <c r="BL43" s="0">
        <f>AB43-AT43</f>
      </c>
      <c r="BM43" s="0">
        <f>AC43-AU43</f>
      </c>
      <c r="BN43" s="0">
        <f>AD43-AV43</f>
      </c>
      <c r="BO43" s="0">
        <f>AE43-AW43</f>
      </c>
      <c r="BP43" s="0">
        <f>AF43-AX43</f>
      </c>
      <c r="BQ43" s="0">
        <f>AG43-AY43</f>
      </c>
      <c r="BR43" s="0">
        <f>AH43-AZ43</f>
      </c>
      <c r="BS43" s="0">
        <f>AI43-BA43</f>
      </c>
      <c r="BT43" s="0">
        <f>AJ43-BB43</f>
      </c>
      <c r="BU43" s="0">
        <f>AK43-BC43</f>
      </c>
      <c r="BV43" s="0">
        <f>SUM(B43:S43)</f>
      </c>
      <c r="BW43" s="0">
        <f>SUM(T43:AK43)</f>
      </c>
      <c r="BX43" s="0">
        <f>MAX(0,(SUM(Calculator!$E$11:$E$28)+Calculator!$C$6)-BV43+BW43)</f>
      </c>
      <c r="BY43" s="0">
        <f>SUM(BD43:BU43)</f>
      </c>
      <c r="BZ43" s="0">
        <f>BV43-BY42</f>
      </c>
      <c r="CA43" s="0">
        <f>IF(A43&lt;=IF($CD$1=0,999,$CD$1),BY43,NA())</f>
      </c>
      <c r="CB43" s="0">
        <f>IF(A43&lt;=IF($CD$1=0,999,$CD$1),A43,NA())</f>
      </c>
    </row>
    <row r="44">
      <c r="A44" s="0">
        <v>41</v>
      </c>
      <c r="B44" s="0">
        <f>BD43*(1+Calculator!$D$11/100/12)</f>
      </c>
      <c r="C44" s="0">
        <f>BE43*(1+Calculator!$D$12/100/12)</f>
      </c>
      <c r="D44" s="0">
        <f>BF43*(1+Calculator!$D$13/100/12)</f>
      </c>
      <c r="E44" s="0">
        <f>BG43*(1+Calculator!$D$14/100/12)</f>
      </c>
      <c r="F44" s="0">
        <f>BH43*(1+Calculator!$D$15/100/12)</f>
      </c>
      <c r="G44" s="0">
        <f>BI43*(1+Calculator!$D$16/100/12)</f>
      </c>
      <c r="H44" s="0">
        <f>BJ43*(1+Calculator!$D$17/100/12)</f>
      </c>
      <c r="I44" s="0">
        <f>BK43*(1+Calculator!$D$18/100/12)</f>
      </c>
      <c r="J44" s="0">
        <f>BL43*(1+Calculator!$D$19/100/12)</f>
      </c>
      <c r="K44" s="0">
        <f>BM43*(1+Calculator!$D$20/100/12)</f>
      </c>
      <c r="L44" s="0">
        <f>BN43*(1+Calculator!$D$21/100/12)</f>
      </c>
      <c r="M44" s="0">
        <f>BO43*(1+Calculator!$D$22/100/12)</f>
      </c>
      <c r="N44" s="0">
        <f>BP43*(1+Calculator!$D$23/100/12)</f>
      </c>
      <c r="O44" s="0">
        <f>BQ43*(1+Calculator!$D$24/100/12)</f>
      </c>
      <c r="P44" s="0">
        <f>BR43*(1+Calculator!$D$25/100/12)</f>
      </c>
      <c r="Q44" s="0">
        <f>BS43*(1+Calculator!$D$26/100/12)</f>
      </c>
      <c r="R44" s="0">
        <f>BT43*(1+Calculator!$D$27/100/12)</f>
      </c>
      <c r="S44" s="0">
        <f>BU43*(1+Calculator!$D$28/100/12)</f>
      </c>
      <c r="T44" s="0">
        <f>MAX(0,B44-Calculator!$E$11)</f>
      </c>
      <c r="U44" s="0">
        <f>MAX(0,C44-Calculator!$E$12)</f>
      </c>
      <c r="V44" s="0">
        <f>MAX(0,D44-Calculator!$E$13)</f>
      </c>
      <c r="W44" s="0">
        <f>MAX(0,E44-Calculator!$E$14)</f>
      </c>
      <c r="X44" s="0">
        <f>MAX(0,F44-Calculator!$E$15)</f>
      </c>
      <c r="Y44" s="0">
        <f>MAX(0,G44-Calculator!$E$16)</f>
      </c>
      <c r="Z44" s="0">
        <f>MAX(0,H44-Calculator!$E$17)</f>
      </c>
      <c r="AA44" s="0">
        <f>MAX(0,I44-Calculator!$E$18)</f>
      </c>
      <c r="AB44" s="0">
        <f>MAX(0,J44-Calculator!$E$19)</f>
      </c>
      <c r="AC44" s="0">
        <f>MAX(0,K44-Calculator!$E$20)</f>
      </c>
      <c r="AD44" s="0">
        <f>MAX(0,L44-Calculator!$E$21)</f>
      </c>
      <c r="AE44" s="0">
        <f>MAX(0,M44-Calculator!$E$22)</f>
      </c>
      <c r="AF44" s="0">
        <f>MAX(0,N44-Calculator!$E$23)</f>
      </c>
      <c r="AG44" s="0">
        <f>MAX(0,O44-Calculator!$E$24)</f>
      </c>
      <c r="AH44" s="0">
        <f>MAX(0,P44-Calculator!$E$25)</f>
      </c>
      <c r="AI44" s="0">
        <f>MAX(0,Q44-Calculator!$E$26)</f>
      </c>
      <c r="AJ44" s="0">
        <f>MAX(0,R44-Calculator!$E$27)</f>
      </c>
      <c r="AK44" s="0">
        <f>MAX(0,S44-Calculator!$E$28)</f>
      </c>
      <c r="AL44" s="0">
        <f>MAX(0,MIN(T44,BX44-SUMPRODUCT(($T$2:$AK$2&lt;T$2)*($T44:$AK44))))</f>
      </c>
      <c r="AM44" s="0">
        <f>MAX(0,MIN(U44,BX44-SUMPRODUCT(($T$2:$AK$2&lt;U$2)*($T44:$AK44))))</f>
      </c>
      <c r="AN44" s="0">
        <f>MAX(0,MIN(V44,BX44-SUMPRODUCT(($T$2:$AK$2&lt;V$2)*($T44:$AK44))))</f>
      </c>
      <c r="AO44" s="0">
        <f>MAX(0,MIN(W44,BX44-SUMPRODUCT(($T$2:$AK$2&lt;W$2)*($T44:$AK44))))</f>
      </c>
      <c r="AP44" s="0">
        <f>MAX(0,MIN(X44,BX44-SUMPRODUCT(($T$2:$AK$2&lt;X$2)*($T44:$AK44))))</f>
      </c>
      <c r="AQ44" s="0">
        <f>MAX(0,MIN(Y44,BX44-SUMPRODUCT(($T$2:$AK$2&lt;Y$2)*($T44:$AK44))))</f>
      </c>
      <c r="AR44" s="0">
        <f>MAX(0,MIN(Z44,BX44-SUMPRODUCT(($T$2:$AK$2&lt;Z$2)*($T44:$AK44))))</f>
      </c>
      <c r="AS44" s="0">
        <f>MAX(0,MIN(AA44,BX44-SUMPRODUCT(($T$2:$AK$2&lt;AA$2)*($T44:$AK44))))</f>
      </c>
      <c r="AT44" s="0">
        <f>MAX(0,MIN(AB44,BX44-SUMPRODUCT(($T$2:$AK$2&lt;AB$2)*($T44:$AK44))))</f>
      </c>
      <c r="AU44" s="0">
        <f>MAX(0,MIN(AC44,BX44-SUMPRODUCT(($T$2:$AK$2&lt;AC$2)*($T44:$AK44))))</f>
      </c>
      <c r="AV44" s="0">
        <f>MAX(0,MIN(AD44,BX44-SUMPRODUCT(($T$2:$AK$2&lt;AD$2)*($T44:$AK44))))</f>
      </c>
      <c r="AW44" s="0">
        <f>MAX(0,MIN(AE44,BX44-SUMPRODUCT(($T$2:$AK$2&lt;AE$2)*($T44:$AK44))))</f>
      </c>
      <c r="AX44" s="0">
        <f>MAX(0,MIN(AF44,BX44-SUMPRODUCT(($T$2:$AK$2&lt;AF$2)*($T44:$AK44))))</f>
      </c>
      <c r="AY44" s="0">
        <f>MAX(0,MIN(AG44,BX44-SUMPRODUCT(($T$2:$AK$2&lt;AG$2)*($T44:$AK44))))</f>
      </c>
      <c r="AZ44" s="0">
        <f>MAX(0,MIN(AH44,BX44-SUMPRODUCT(($T$2:$AK$2&lt;AH$2)*($T44:$AK44))))</f>
      </c>
      <c r="BA44" s="0">
        <f>MAX(0,MIN(AI44,BX44-SUMPRODUCT(($T$2:$AK$2&lt;AI$2)*($T44:$AK44))))</f>
      </c>
      <c r="BB44" s="0">
        <f>MAX(0,MIN(AJ44,BX44-SUMPRODUCT(($T$2:$AK$2&lt;AJ$2)*($T44:$AK44))))</f>
      </c>
      <c r="BC44" s="0">
        <f>MAX(0,MIN(AK44,BX44-SUMPRODUCT(($T$2:$AK$2&lt;AK$2)*($T44:$AK44))))</f>
      </c>
      <c r="BD44" s="0">
        <f>T44-AL44</f>
      </c>
      <c r="BE44" s="0">
        <f>U44-AM44</f>
      </c>
      <c r="BF44" s="0">
        <f>V44-AN44</f>
      </c>
      <c r="BG44" s="0">
        <f>W44-AO44</f>
      </c>
      <c r="BH44" s="0">
        <f>X44-AP44</f>
      </c>
      <c r="BI44" s="0">
        <f>Y44-AQ44</f>
      </c>
      <c r="BJ44" s="0">
        <f>Z44-AR44</f>
      </c>
      <c r="BK44" s="0">
        <f>AA44-AS44</f>
      </c>
      <c r="BL44" s="0">
        <f>AB44-AT44</f>
      </c>
      <c r="BM44" s="0">
        <f>AC44-AU44</f>
      </c>
      <c r="BN44" s="0">
        <f>AD44-AV44</f>
      </c>
      <c r="BO44" s="0">
        <f>AE44-AW44</f>
      </c>
      <c r="BP44" s="0">
        <f>AF44-AX44</f>
      </c>
      <c r="BQ44" s="0">
        <f>AG44-AY44</f>
      </c>
      <c r="BR44" s="0">
        <f>AH44-AZ44</f>
      </c>
      <c r="BS44" s="0">
        <f>AI44-BA44</f>
      </c>
      <c r="BT44" s="0">
        <f>AJ44-BB44</f>
      </c>
      <c r="BU44" s="0">
        <f>AK44-BC44</f>
      </c>
      <c r="BV44" s="0">
        <f>SUM(B44:S44)</f>
      </c>
      <c r="BW44" s="0">
        <f>SUM(T44:AK44)</f>
      </c>
      <c r="BX44" s="0">
        <f>MAX(0,(SUM(Calculator!$E$11:$E$28)+Calculator!$C$6)-BV44+BW44)</f>
      </c>
      <c r="BY44" s="0">
        <f>SUM(BD44:BU44)</f>
      </c>
      <c r="BZ44" s="0">
        <f>BV44-BY43</f>
      </c>
      <c r="CA44" s="0">
        <f>IF(A44&lt;=IF($CD$1=0,999,$CD$1),BY44,NA())</f>
      </c>
      <c r="CB44" s="0">
        <f>IF(A44&lt;=IF($CD$1=0,999,$CD$1),A44,NA())</f>
      </c>
    </row>
    <row r="45">
      <c r="A45" s="0">
        <v>42</v>
      </c>
      <c r="B45" s="0">
        <f>BD44*(1+Calculator!$D$11/100/12)</f>
      </c>
      <c r="C45" s="0">
        <f>BE44*(1+Calculator!$D$12/100/12)</f>
      </c>
      <c r="D45" s="0">
        <f>BF44*(1+Calculator!$D$13/100/12)</f>
      </c>
      <c r="E45" s="0">
        <f>BG44*(1+Calculator!$D$14/100/12)</f>
      </c>
      <c r="F45" s="0">
        <f>BH44*(1+Calculator!$D$15/100/12)</f>
      </c>
      <c r="G45" s="0">
        <f>BI44*(1+Calculator!$D$16/100/12)</f>
      </c>
      <c r="H45" s="0">
        <f>BJ44*(1+Calculator!$D$17/100/12)</f>
      </c>
      <c r="I45" s="0">
        <f>BK44*(1+Calculator!$D$18/100/12)</f>
      </c>
      <c r="J45" s="0">
        <f>BL44*(1+Calculator!$D$19/100/12)</f>
      </c>
      <c r="K45" s="0">
        <f>BM44*(1+Calculator!$D$20/100/12)</f>
      </c>
      <c r="L45" s="0">
        <f>BN44*(1+Calculator!$D$21/100/12)</f>
      </c>
      <c r="M45" s="0">
        <f>BO44*(1+Calculator!$D$22/100/12)</f>
      </c>
      <c r="N45" s="0">
        <f>BP44*(1+Calculator!$D$23/100/12)</f>
      </c>
      <c r="O45" s="0">
        <f>BQ44*(1+Calculator!$D$24/100/12)</f>
      </c>
      <c r="P45" s="0">
        <f>BR44*(1+Calculator!$D$25/100/12)</f>
      </c>
      <c r="Q45" s="0">
        <f>BS44*(1+Calculator!$D$26/100/12)</f>
      </c>
      <c r="R45" s="0">
        <f>BT44*(1+Calculator!$D$27/100/12)</f>
      </c>
      <c r="S45" s="0">
        <f>BU44*(1+Calculator!$D$28/100/12)</f>
      </c>
      <c r="T45" s="0">
        <f>MAX(0,B45-Calculator!$E$11)</f>
      </c>
      <c r="U45" s="0">
        <f>MAX(0,C45-Calculator!$E$12)</f>
      </c>
      <c r="V45" s="0">
        <f>MAX(0,D45-Calculator!$E$13)</f>
      </c>
      <c r="W45" s="0">
        <f>MAX(0,E45-Calculator!$E$14)</f>
      </c>
      <c r="X45" s="0">
        <f>MAX(0,F45-Calculator!$E$15)</f>
      </c>
      <c r="Y45" s="0">
        <f>MAX(0,G45-Calculator!$E$16)</f>
      </c>
      <c r="Z45" s="0">
        <f>MAX(0,H45-Calculator!$E$17)</f>
      </c>
      <c r="AA45" s="0">
        <f>MAX(0,I45-Calculator!$E$18)</f>
      </c>
      <c r="AB45" s="0">
        <f>MAX(0,J45-Calculator!$E$19)</f>
      </c>
      <c r="AC45" s="0">
        <f>MAX(0,K45-Calculator!$E$20)</f>
      </c>
      <c r="AD45" s="0">
        <f>MAX(0,L45-Calculator!$E$21)</f>
      </c>
      <c r="AE45" s="0">
        <f>MAX(0,M45-Calculator!$E$22)</f>
      </c>
      <c r="AF45" s="0">
        <f>MAX(0,N45-Calculator!$E$23)</f>
      </c>
      <c r="AG45" s="0">
        <f>MAX(0,O45-Calculator!$E$24)</f>
      </c>
      <c r="AH45" s="0">
        <f>MAX(0,P45-Calculator!$E$25)</f>
      </c>
      <c r="AI45" s="0">
        <f>MAX(0,Q45-Calculator!$E$26)</f>
      </c>
      <c r="AJ45" s="0">
        <f>MAX(0,R45-Calculator!$E$27)</f>
      </c>
      <c r="AK45" s="0">
        <f>MAX(0,S45-Calculator!$E$28)</f>
      </c>
      <c r="AL45" s="0">
        <f>MAX(0,MIN(T45,BX45-SUMPRODUCT(($T$2:$AK$2&lt;T$2)*($T45:$AK45))))</f>
      </c>
      <c r="AM45" s="0">
        <f>MAX(0,MIN(U45,BX45-SUMPRODUCT(($T$2:$AK$2&lt;U$2)*($T45:$AK45))))</f>
      </c>
      <c r="AN45" s="0">
        <f>MAX(0,MIN(V45,BX45-SUMPRODUCT(($T$2:$AK$2&lt;V$2)*($T45:$AK45))))</f>
      </c>
      <c r="AO45" s="0">
        <f>MAX(0,MIN(W45,BX45-SUMPRODUCT(($T$2:$AK$2&lt;W$2)*($T45:$AK45))))</f>
      </c>
      <c r="AP45" s="0">
        <f>MAX(0,MIN(X45,BX45-SUMPRODUCT(($T$2:$AK$2&lt;X$2)*($T45:$AK45))))</f>
      </c>
      <c r="AQ45" s="0">
        <f>MAX(0,MIN(Y45,BX45-SUMPRODUCT(($T$2:$AK$2&lt;Y$2)*($T45:$AK45))))</f>
      </c>
      <c r="AR45" s="0">
        <f>MAX(0,MIN(Z45,BX45-SUMPRODUCT(($T$2:$AK$2&lt;Z$2)*($T45:$AK45))))</f>
      </c>
      <c r="AS45" s="0">
        <f>MAX(0,MIN(AA45,BX45-SUMPRODUCT(($T$2:$AK$2&lt;AA$2)*($T45:$AK45))))</f>
      </c>
      <c r="AT45" s="0">
        <f>MAX(0,MIN(AB45,BX45-SUMPRODUCT(($T$2:$AK$2&lt;AB$2)*($T45:$AK45))))</f>
      </c>
      <c r="AU45" s="0">
        <f>MAX(0,MIN(AC45,BX45-SUMPRODUCT(($T$2:$AK$2&lt;AC$2)*($T45:$AK45))))</f>
      </c>
      <c r="AV45" s="0">
        <f>MAX(0,MIN(AD45,BX45-SUMPRODUCT(($T$2:$AK$2&lt;AD$2)*($T45:$AK45))))</f>
      </c>
      <c r="AW45" s="0">
        <f>MAX(0,MIN(AE45,BX45-SUMPRODUCT(($T$2:$AK$2&lt;AE$2)*($T45:$AK45))))</f>
      </c>
      <c r="AX45" s="0">
        <f>MAX(0,MIN(AF45,BX45-SUMPRODUCT(($T$2:$AK$2&lt;AF$2)*($T45:$AK45))))</f>
      </c>
      <c r="AY45" s="0">
        <f>MAX(0,MIN(AG45,BX45-SUMPRODUCT(($T$2:$AK$2&lt;AG$2)*($T45:$AK45))))</f>
      </c>
      <c r="AZ45" s="0">
        <f>MAX(0,MIN(AH45,BX45-SUMPRODUCT(($T$2:$AK$2&lt;AH$2)*($T45:$AK45))))</f>
      </c>
      <c r="BA45" s="0">
        <f>MAX(0,MIN(AI45,BX45-SUMPRODUCT(($T$2:$AK$2&lt;AI$2)*($T45:$AK45))))</f>
      </c>
      <c r="BB45" s="0">
        <f>MAX(0,MIN(AJ45,BX45-SUMPRODUCT(($T$2:$AK$2&lt;AJ$2)*($T45:$AK45))))</f>
      </c>
      <c r="BC45" s="0">
        <f>MAX(0,MIN(AK45,BX45-SUMPRODUCT(($T$2:$AK$2&lt;AK$2)*($T45:$AK45))))</f>
      </c>
      <c r="BD45" s="0">
        <f>T45-AL45</f>
      </c>
      <c r="BE45" s="0">
        <f>U45-AM45</f>
      </c>
      <c r="BF45" s="0">
        <f>V45-AN45</f>
      </c>
      <c r="BG45" s="0">
        <f>W45-AO45</f>
      </c>
      <c r="BH45" s="0">
        <f>X45-AP45</f>
      </c>
      <c r="BI45" s="0">
        <f>Y45-AQ45</f>
      </c>
      <c r="BJ45" s="0">
        <f>Z45-AR45</f>
      </c>
      <c r="BK45" s="0">
        <f>AA45-AS45</f>
      </c>
      <c r="BL45" s="0">
        <f>AB45-AT45</f>
      </c>
      <c r="BM45" s="0">
        <f>AC45-AU45</f>
      </c>
      <c r="BN45" s="0">
        <f>AD45-AV45</f>
      </c>
      <c r="BO45" s="0">
        <f>AE45-AW45</f>
      </c>
      <c r="BP45" s="0">
        <f>AF45-AX45</f>
      </c>
      <c r="BQ45" s="0">
        <f>AG45-AY45</f>
      </c>
      <c r="BR45" s="0">
        <f>AH45-AZ45</f>
      </c>
      <c r="BS45" s="0">
        <f>AI45-BA45</f>
      </c>
      <c r="BT45" s="0">
        <f>AJ45-BB45</f>
      </c>
      <c r="BU45" s="0">
        <f>AK45-BC45</f>
      </c>
      <c r="BV45" s="0">
        <f>SUM(B45:S45)</f>
      </c>
      <c r="BW45" s="0">
        <f>SUM(T45:AK45)</f>
      </c>
      <c r="BX45" s="0">
        <f>MAX(0,(SUM(Calculator!$E$11:$E$28)+Calculator!$C$6)-BV45+BW45)</f>
      </c>
      <c r="BY45" s="0">
        <f>SUM(BD45:BU45)</f>
      </c>
      <c r="BZ45" s="0">
        <f>BV45-BY44</f>
      </c>
      <c r="CA45" s="0">
        <f>IF(A45&lt;=IF($CD$1=0,999,$CD$1),BY45,NA())</f>
      </c>
      <c r="CB45" s="0">
        <f>IF(A45&lt;=IF($CD$1=0,999,$CD$1),A45,NA())</f>
      </c>
    </row>
    <row r="46">
      <c r="A46" s="0">
        <v>43</v>
      </c>
      <c r="B46" s="0">
        <f>BD45*(1+Calculator!$D$11/100/12)</f>
      </c>
      <c r="C46" s="0">
        <f>BE45*(1+Calculator!$D$12/100/12)</f>
      </c>
      <c r="D46" s="0">
        <f>BF45*(1+Calculator!$D$13/100/12)</f>
      </c>
      <c r="E46" s="0">
        <f>BG45*(1+Calculator!$D$14/100/12)</f>
      </c>
      <c r="F46" s="0">
        <f>BH45*(1+Calculator!$D$15/100/12)</f>
      </c>
      <c r="G46" s="0">
        <f>BI45*(1+Calculator!$D$16/100/12)</f>
      </c>
      <c r="H46" s="0">
        <f>BJ45*(1+Calculator!$D$17/100/12)</f>
      </c>
      <c r="I46" s="0">
        <f>BK45*(1+Calculator!$D$18/100/12)</f>
      </c>
      <c r="J46" s="0">
        <f>BL45*(1+Calculator!$D$19/100/12)</f>
      </c>
      <c r="K46" s="0">
        <f>BM45*(1+Calculator!$D$20/100/12)</f>
      </c>
      <c r="L46" s="0">
        <f>BN45*(1+Calculator!$D$21/100/12)</f>
      </c>
      <c r="M46" s="0">
        <f>BO45*(1+Calculator!$D$22/100/12)</f>
      </c>
      <c r="N46" s="0">
        <f>BP45*(1+Calculator!$D$23/100/12)</f>
      </c>
      <c r="O46" s="0">
        <f>BQ45*(1+Calculator!$D$24/100/12)</f>
      </c>
      <c r="P46" s="0">
        <f>BR45*(1+Calculator!$D$25/100/12)</f>
      </c>
      <c r="Q46" s="0">
        <f>BS45*(1+Calculator!$D$26/100/12)</f>
      </c>
      <c r="R46" s="0">
        <f>BT45*(1+Calculator!$D$27/100/12)</f>
      </c>
      <c r="S46" s="0">
        <f>BU45*(1+Calculator!$D$28/100/12)</f>
      </c>
      <c r="T46" s="0">
        <f>MAX(0,B46-Calculator!$E$11)</f>
      </c>
      <c r="U46" s="0">
        <f>MAX(0,C46-Calculator!$E$12)</f>
      </c>
      <c r="V46" s="0">
        <f>MAX(0,D46-Calculator!$E$13)</f>
      </c>
      <c r="W46" s="0">
        <f>MAX(0,E46-Calculator!$E$14)</f>
      </c>
      <c r="X46" s="0">
        <f>MAX(0,F46-Calculator!$E$15)</f>
      </c>
      <c r="Y46" s="0">
        <f>MAX(0,G46-Calculator!$E$16)</f>
      </c>
      <c r="Z46" s="0">
        <f>MAX(0,H46-Calculator!$E$17)</f>
      </c>
      <c r="AA46" s="0">
        <f>MAX(0,I46-Calculator!$E$18)</f>
      </c>
      <c r="AB46" s="0">
        <f>MAX(0,J46-Calculator!$E$19)</f>
      </c>
      <c r="AC46" s="0">
        <f>MAX(0,K46-Calculator!$E$20)</f>
      </c>
      <c r="AD46" s="0">
        <f>MAX(0,L46-Calculator!$E$21)</f>
      </c>
      <c r="AE46" s="0">
        <f>MAX(0,M46-Calculator!$E$22)</f>
      </c>
      <c r="AF46" s="0">
        <f>MAX(0,N46-Calculator!$E$23)</f>
      </c>
      <c r="AG46" s="0">
        <f>MAX(0,O46-Calculator!$E$24)</f>
      </c>
      <c r="AH46" s="0">
        <f>MAX(0,P46-Calculator!$E$25)</f>
      </c>
      <c r="AI46" s="0">
        <f>MAX(0,Q46-Calculator!$E$26)</f>
      </c>
      <c r="AJ46" s="0">
        <f>MAX(0,R46-Calculator!$E$27)</f>
      </c>
      <c r="AK46" s="0">
        <f>MAX(0,S46-Calculator!$E$28)</f>
      </c>
      <c r="AL46" s="0">
        <f>MAX(0,MIN(T46,BX46-SUMPRODUCT(($T$2:$AK$2&lt;T$2)*($T46:$AK46))))</f>
      </c>
      <c r="AM46" s="0">
        <f>MAX(0,MIN(U46,BX46-SUMPRODUCT(($T$2:$AK$2&lt;U$2)*($T46:$AK46))))</f>
      </c>
      <c r="AN46" s="0">
        <f>MAX(0,MIN(V46,BX46-SUMPRODUCT(($T$2:$AK$2&lt;V$2)*($T46:$AK46))))</f>
      </c>
      <c r="AO46" s="0">
        <f>MAX(0,MIN(W46,BX46-SUMPRODUCT(($T$2:$AK$2&lt;W$2)*($T46:$AK46))))</f>
      </c>
      <c r="AP46" s="0">
        <f>MAX(0,MIN(X46,BX46-SUMPRODUCT(($T$2:$AK$2&lt;X$2)*($T46:$AK46))))</f>
      </c>
      <c r="AQ46" s="0">
        <f>MAX(0,MIN(Y46,BX46-SUMPRODUCT(($T$2:$AK$2&lt;Y$2)*($T46:$AK46))))</f>
      </c>
      <c r="AR46" s="0">
        <f>MAX(0,MIN(Z46,BX46-SUMPRODUCT(($T$2:$AK$2&lt;Z$2)*($T46:$AK46))))</f>
      </c>
      <c r="AS46" s="0">
        <f>MAX(0,MIN(AA46,BX46-SUMPRODUCT(($T$2:$AK$2&lt;AA$2)*($T46:$AK46))))</f>
      </c>
      <c r="AT46" s="0">
        <f>MAX(0,MIN(AB46,BX46-SUMPRODUCT(($T$2:$AK$2&lt;AB$2)*($T46:$AK46))))</f>
      </c>
      <c r="AU46" s="0">
        <f>MAX(0,MIN(AC46,BX46-SUMPRODUCT(($T$2:$AK$2&lt;AC$2)*($T46:$AK46))))</f>
      </c>
      <c r="AV46" s="0">
        <f>MAX(0,MIN(AD46,BX46-SUMPRODUCT(($T$2:$AK$2&lt;AD$2)*($T46:$AK46))))</f>
      </c>
      <c r="AW46" s="0">
        <f>MAX(0,MIN(AE46,BX46-SUMPRODUCT(($T$2:$AK$2&lt;AE$2)*($T46:$AK46))))</f>
      </c>
      <c r="AX46" s="0">
        <f>MAX(0,MIN(AF46,BX46-SUMPRODUCT(($T$2:$AK$2&lt;AF$2)*($T46:$AK46))))</f>
      </c>
      <c r="AY46" s="0">
        <f>MAX(0,MIN(AG46,BX46-SUMPRODUCT(($T$2:$AK$2&lt;AG$2)*($T46:$AK46))))</f>
      </c>
      <c r="AZ46" s="0">
        <f>MAX(0,MIN(AH46,BX46-SUMPRODUCT(($T$2:$AK$2&lt;AH$2)*($T46:$AK46))))</f>
      </c>
      <c r="BA46" s="0">
        <f>MAX(0,MIN(AI46,BX46-SUMPRODUCT(($T$2:$AK$2&lt;AI$2)*($T46:$AK46))))</f>
      </c>
      <c r="BB46" s="0">
        <f>MAX(0,MIN(AJ46,BX46-SUMPRODUCT(($T$2:$AK$2&lt;AJ$2)*($T46:$AK46))))</f>
      </c>
      <c r="BC46" s="0">
        <f>MAX(0,MIN(AK46,BX46-SUMPRODUCT(($T$2:$AK$2&lt;AK$2)*($T46:$AK46))))</f>
      </c>
      <c r="BD46" s="0">
        <f>T46-AL46</f>
      </c>
      <c r="BE46" s="0">
        <f>U46-AM46</f>
      </c>
      <c r="BF46" s="0">
        <f>V46-AN46</f>
      </c>
      <c r="BG46" s="0">
        <f>W46-AO46</f>
      </c>
      <c r="BH46" s="0">
        <f>X46-AP46</f>
      </c>
      <c r="BI46" s="0">
        <f>Y46-AQ46</f>
      </c>
      <c r="BJ46" s="0">
        <f>Z46-AR46</f>
      </c>
      <c r="BK46" s="0">
        <f>AA46-AS46</f>
      </c>
      <c r="BL46" s="0">
        <f>AB46-AT46</f>
      </c>
      <c r="BM46" s="0">
        <f>AC46-AU46</f>
      </c>
      <c r="BN46" s="0">
        <f>AD46-AV46</f>
      </c>
      <c r="BO46" s="0">
        <f>AE46-AW46</f>
      </c>
      <c r="BP46" s="0">
        <f>AF46-AX46</f>
      </c>
      <c r="BQ46" s="0">
        <f>AG46-AY46</f>
      </c>
      <c r="BR46" s="0">
        <f>AH46-AZ46</f>
      </c>
      <c r="BS46" s="0">
        <f>AI46-BA46</f>
      </c>
      <c r="BT46" s="0">
        <f>AJ46-BB46</f>
      </c>
      <c r="BU46" s="0">
        <f>AK46-BC46</f>
      </c>
      <c r="BV46" s="0">
        <f>SUM(B46:S46)</f>
      </c>
      <c r="BW46" s="0">
        <f>SUM(T46:AK46)</f>
      </c>
      <c r="BX46" s="0">
        <f>MAX(0,(SUM(Calculator!$E$11:$E$28)+Calculator!$C$6)-BV46+BW46)</f>
      </c>
      <c r="BY46" s="0">
        <f>SUM(BD46:BU46)</f>
      </c>
      <c r="BZ46" s="0">
        <f>BV46-BY45</f>
      </c>
      <c r="CA46" s="0">
        <f>IF(A46&lt;=IF($CD$1=0,999,$CD$1),BY46,NA())</f>
      </c>
      <c r="CB46" s="0">
        <f>IF(A46&lt;=IF($CD$1=0,999,$CD$1),A46,NA())</f>
      </c>
    </row>
    <row r="47">
      <c r="A47" s="0">
        <v>44</v>
      </c>
      <c r="B47" s="0">
        <f>BD46*(1+Calculator!$D$11/100/12)</f>
      </c>
      <c r="C47" s="0">
        <f>BE46*(1+Calculator!$D$12/100/12)</f>
      </c>
      <c r="D47" s="0">
        <f>BF46*(1+Calculator!$D$13/100/12)</f>
      </c>
      <c r="E47" s="0">
        <f>BG46*(1+Calculator!$D$14/100/12)</f>
      </c>
      <c r="F47" s="0">
        <f>BH46*(1+Calculator!$D$15/100/12)</f>
      </c>
      <c r="G47" s="0">
        <f>BI46*(1+Calculator!$D$16/100/12)</f>
      </c>
      <c r="H47" s="0">
        <f>BJ46*(1+Calculator!$D$17/100/12)</f>
      </c>
      <c r="I47" s="0">
        <f>BK46*(1+Calculator!$D$18/100/12)</f>
      </c>
      <c r="J47" s="0">
        <f>BL46*(1+Calculator!$D$19/100/12)</f>
      </c>
      <c r="K47" s="0">
        <f>BM46*(1+Calculator!$D$20/100/12)</f>
      </c>
      <c r="L47" s="0">
        <f>BN46*(1+Calculator!$D$21/100/12)</f>
      </c>
      <c r="M47" s="0">
        <f>BO46*(1+Calculator!$D$22/100/12)</f>
      </c>
      <c r="N47" s="0">
        <f>BP46*(1+Calculator!$D$23/100/12)</f>
      </c>
      <c r="O47" s="0">
        <f>BQ46*(1+Calculator!$D$24/100/12)</f>
      </c>
      <c r="P47" s="0">
        <f>BR46*(1+Calculator!$D$25/100/12)</f>
      </c>
      <c r="Q47" s="0">
        <f>BS46*(1+Calculator!$D$26/100/12)</f>
      </c>
      <c r="R47" s="0">
        <f>BT46*(1+Calculator!$D$27/100/12)</f>
      </c>
      <c r="S47" s="0">
        <f>BU46*(1+Calculator!$D$28/100/12)</f>
      </c>
      <c r="T47" s="0">
        <f>MAX(0,B47-Calculator!$E$11)</f>
      </c>
      <c r="U47" s="0">
        <f>MAX(0,C47-Calculator!$E$12)</f>
      </c>
      <c r="V47" s="0">
        <f>MAX(0,D47-Calculator!$E$13)</f>
      </c>
      <c r="W47" s="0">
        <f>MAX(0,E47-Calculator!$E$14)</f>
      </c>
      <c r="X47" s="0">
        <f>MAX(0,F47-Calculator!$E$15)</f>
      </c>
      <c r="Y47" s="0">
        <f>MAX(0,G47-Calculator!$E$16)</f>
      </c>
      <c r="Z47" s="0">
        <f>MAX(0,H47-Calculator!$E$17)</f>
      </c>
      <c r="AA47" s="0">
        <f>MAX(0,I47-Calculator!$E$18)</f>
      </c>
      <c r="AB47" s="0">
        <f>MAX(0,J47-Calculator!$E$19)</f>
      </c>
      <c r="AC47" s="0">
        <f>MAX(0,K47-Calculator!$E$20)</f>
      </c>
      <c r="AD47" s="0">
        <f>MAX(0,L47-Calculator!$E$21)</f>
      </c>
      <c r="AE47" s="0">
        <f>MAX(0,M47-Calculator!$E$22)</f>
      </c>
      <c r="AF47" s="0">
        <f>MAX(0,N47-Calculator!$E$23)</f>
      </c>
      <c r="AG47" s="0">
        <f>MAX(0,O47-Calculator!$E$24)</f>
      </c>
      <c r="AH47" s="0">
        <f>MAX(0,P47-Calculator!$E$25)</f>
      </c>
      <c r="AI47" s="0">
        <f>MAX(0,Q47-Calculator!$E$26)</f>
      </c>
      <c r="AJ47" s="0">
        <f>MAX(0,R47-Calculator!$E$27)</f>
      </c>
      <c r="AK47" s="0">
        <f>MAX(0,S47-Calculator!$E$28)</f>
      </c>
      <c r="AL47" s="0">
        <f>MAX(0,MIN(T47,BX47-SUMPRODUCT(($T$2:$AK$2&lt;T$2)*($T47:$AK47))))</f>
      </c>
      <c r="AM47" s="0">
        <f>MAX(0,MIN(U47,BX47-SUMPRODUCT(($T$2:$AK$2&lt;U$2)*($T47:$AK47))))</f>
      </c>
      <c r="AN47" s="0">
        <f>MAX(0,MIN(V47,BX47-SUMPRODUCT(($T$2:$AK$2&lt;V$2)*($T47:$AK47))))</f>
      </c>
      <c r="AO47" s="0">
        <f>MAX(0,MIN(W47,BX47-SUMPRODUCT(($T$2:$AK$2&lt;W$2)*($T47:$AK47))))</f>
      </c>
      <c r="AP47" s="0">
        <f>MAX(0,MIN(X47,BX47-SUMPRODUCT(($T$2:$AK$2&lt;X$2)*($T47:$AK47))))</f>
      </c>
      <c r="AQ47" s="0">
        <f>MAX(0,MIN(Y47,BX47-SUMPRODUCT(($T$2:$AK$2&lt;Y$2)*($T47:$AK47))))</f>
      </c>
      <c r="AR47" s="0">
        <f>MAX(0,MIN(Z47,BX47-SUMPRODUCT(($T$2:$AK$2&lt;Z$2)*($T47:$AK47))))</f>
      </c>
      <c r="AS47" s="0">
        <f>MAX(0,MIN(AA47,BX47-SUMPRODUCT(($T$2:$AK$2&lt;AA$2)*($T47:$AK47))))</f>
      </c>
      <c r="AT47" s="0">
        <f>MAX(0,MIN(AB47,BX47-SUMPRODUCT(($T$2:$AK$2&lt;AB$2)*($T47:$AK47))))</f>
      </c>
      <c r="AU47" s="0">
        <f>MAX(0,MIN(AC47,BX47-SUMPRODUCT(($T$2:$AK$2&lt;AC$2)*($T47:$AK47))))</f>
      </c>
      <c r="AV47" s="0">
        <f>MAX(0,MIN(AD47,BX47-SUMPRODUCT(($T$2:$AK$2&lt;AD$2)*($T47:$AK47))))</f>
      </c>
      <c r="AW47" s="0">
        <f>MAX(0,MIN(AE47,BX47-SUMPRODUCT(($T$2:$AK$2&lt;AE$2)*($T47:$AK47))))</f>
      </c>
      <c r="AX47" s="0">
        <f>MAX(0,MIN(AF47,BX47-SUMPRODUCT(($T$2:$AK$2&lt;AF$2)*($T47:$AK47))))</f>
      </c>
      <c r="AY47" s="0">
        <f>MAX(0,MIN(AG47,BX47-SUMPRODUCT(($T$2:$AK$2&lt;AG$2)*($T47:$AK47))))</f>
      </c>
      <c r="AZ47" s="0">
        <f>MAX(0,MIN(AH47,BX47-SUMPRODUCT(($T$2:$AK$2&lt;AH$2)*($T47:$AK47))))</f>
      </c>
      <c r="BA47" s="0">
        <f>MAX(0,MIN(AI47,BX47-SUMPRODUCT(($T$2:$AK$2&lt;AI$2)*($T47:$AK47))))</f>
      </c>
      <c r="BB47" s="0">
        <f>MAX(0,MIN(AJ47,BX47-SUMPRODUCT(($T$2:$AK$2&lt;AJ$2)*($T47:$AK47))))</f>
      </c>
      <c r="BC47" s="0">
        <f>MAX(0,MIN(AK47,BX47-SUMPRODUCT(($T$2:$AK$2&lt;AK$2)*($T47:$AK47))))</f>
      </c>
      <c r="BD47" s="0">
        <f>T47-AL47</f>
      </c>
      <c r="BE47" s="0">
        <f>U47-AM47</f>
      </c>
      <c r="BF47" s="0">
        <f>V47-AN47</f>
      </c>
      <c r="BG47" s="0">
        <f>W47-AO47</f>
      </c>
      <c r="BH47" s="0">
        <f>X47-AP47</f>
      </c>
      <c r="BI47" s="0">
        <f>Y47-AQ47</f>
      </c>
      <c r="BJ47" s="0">
        <f>Z47-AR47</f>
      </c>
      <c r="BK47" s="0">
        <f>AA47-AS47</f>
      </c>
      <c r="BL47" s="0">
        <f>AB47-AT47</f>
      </c>
      <c r="BM47" s="0">
        <f>AC47-AU47</f>
      </c>
      <c r="BN47" s="0">
        <f>AD47-AV47</f>
      </c>
      <c r="BO47" s="0">
        <f>AE47-AW47</f>
      </c>
      <c r="BP47" s="0">
        <f>AF47-AX47</f>
      </c>
      <c r="BQ47" s="0">
        <f>AG47-AY47</f>
      </c>
      <c r="BR47" s="0">
        <f>AH47-AZ47</f>
      </c>
      <c r="BS47" s="0">
        <f>AI47-BA47</f>
      </c>
      <c r="BT47" s="0">
        <f>AJ47-BB47</f>
      </c>
      <c r="BU47" s="0">
        <f>AK47-BC47</f>
      </c>
      <c r="BV47" s="0">
        <f>SUM(B47:S47)</f>
      </c>
      <c r="BW47" s="0">
        <f>SUM(T47:AK47)</f>
      </c>
      <c r="BX47" s="0">
        <f>MAX(0,(SUM(Calculator!$E$11:$E$28)+Calculator!$C$6)-BV47+BW47)</f>
      </c>
      <c r="BY47" s="0">
        <f>SUM(BD47:BU47)</f>
      </c>
      <c r="BZ47" s="0">
        <f>BV47-BY46</f>
      </c>
      <c r="CA47" s="0">
        <f>IF(A47&lt;=IF($CD$1=0,999,$CD$1),BY47,NA())</f>
      </c>
      <c r="CB47" s="0">
        <f>IF(A47&lt;=IF($CD$1=0,999,$CD$1),A47,NA())</f>
      </c>
    </row>
    <row r="48">
      <c r="A48" s="0">
        <v>45</v>
      </c>
      <c r="B48" s="0">
        <f>BD47*(1+Calculator!$D$11/100/12)</f>
      </c>
      <c r="C48" s="0">
        <f>BE47*(1+Calculator!$D$12/100/12)</f>
      </c>
      <c r="D48" s="0">
        <f>BF47*(1+Calculator!$D$13/100/12)</f>
      </c>
      <c r="E48" s="0">
        <f>BG47*(1+Calculator!$D$14/100/12)</f>
      </c>
      <c r="F48" s="0">
        <f>BH47*(1+Calculator!$D$15/100/12)</f>
      </c>
      <c r="G48" s="0">
        <f>BI47*(1+Calculator!$D$16/100/12)</f>
      </c>
      <c r="H48" s="0">
        <f>BJ47*(1+Calculator!$D$17/100/12)</f>
      </c>
      <c r="I48" s="0">
        <f>BK47*(1+Calculator!$D$18/100/12)</f>
      </c>
      <c r="J48" s="0">
        <f>BL47*(1+Calculator!$D$19/100/12)</f>
      </c>
      <c r="K48" s="0">
        <f>BM47*(1+Calculator!$D$20/100/12)</f>
      </c>
      <c r="L48" s="0">
        <f>BN47*(1+Calculator!$D$21/100/12)</f>
      </c>
      <c r="M48" s="0">
        <f>BO47*(1+Calculator!$D$22/100/12)</f>
      </c>
      <c r="N48" s="0">
        <f>BP47*(1+Calculator!$D$23/100/12)</f>
      </c>
      <c r="O48" s="0">
        <f>BQ47*(1+Calculator!$D$24/100/12)</f>
      </c>
      <c r="P48" s="0">
        <f>BR47*(1+Calculator!$D$25/100/12)</f>
      </c>
      <c r="Q48" s="0">
        <f>BS47*(1+Calculator!$D$26/100/12)</f>
      </c>
      <c r="R48" s="0">
        <f>BT47*(1+Calculator!$D$27/100/12)</f>
      </c>
      <c r="S48" s="0">
        <f>BU47*(1+Calculator!$D$28/100/12)</f>
      </c>
      <c r="T48" s="0">
        <f>MAX(0,B48-Calculator!$E$11)</f>
      </c>
      <c r="U48" s="0">
        <f>MAX(0,C48-Calculator!$E$12)</f>
      </c>
      <c r="V48" s="0">
        <f>MAX(0,D48-Calculator!$E$13)</f>
      </c>
      <c r="W48" s="0">
        <f>MAX(0,E48-Calculator!$E$14)</f>
      </c>
      <c r="X48" s="0">
        <f>MAX(0,F48-Calculator!$E$15)</f>
      </c>
      <c r="Y48" s="0">
        <f>MAX(0,G48-Calculator!$E$16)</f>
      </c>
      <c r="Z48" s="0">
        <f>MAX(0,H48-Calculator!$E$17)</f>
      </c>
      <c r="AA48" s="0">
        <f>MAX(0,I48-Calculator!$E$18)</f>
      </c>
      <c r="AB48" s="0">
        <f>MAX(0,J48-Calculator!$E$19)</f>
      </c>
      <c r="AC48" s="0">
        <f>MAX(0,K48-Calculator!$E$20)</f>
      </c>
      <c r="AD48" s="0">
        <f>MAX(0,L48-Calculator!$E$21)</f>
      </c>
      <c r="AE48" s="0">
        <f>MAX(0,M48-Calculator!$E$22)</f>
      </c>
      <c r="AF48" s="0">
        <f>MAX(0,N48-Calculator!$E$23)</f>
      </c>
      <c r="AG48" s="0">
        <f>MAX(0,O48-Calculator!$E$24)</f>
      </c>
      <c r="AH48" s="0">
        <f>MAX(0,P48-Calculator!$E$25)</f>
      </c>
      <c r="AI48" s="0">
        <f>MAX(0,Q48-Calculator!$E$26)</f>
      </c>
      <c r="AJ48" s="0">
        <f>MAX(0,R48-Calculator!$E$27)</f>
      </c>
      <c r="AK48" s="0">
        <f>MAX(0,S48-Calculator!$E$28)</f>
      </c>
      <c r="AL48" s="0">
        <f>MAX(0,MIN(T48,BX48-SUMPRODUCT(($T$2:$AK$2&lt;T$2)*($T48:$AK48))))</f>
      </c>
      <c r="AM48" s="0">
        <f>MAX(0,MIN(U48,BX48-SUMPRODUCT(($T$2:$AK$2&lt;U$2)*($T48:$AK48))))</f>
      </c>
      <c r="AN48" s="0">
        <f>MAX(0,MIN(V48,BX48-SUMPRODUCT(($T$2:$AK$2&lt;V$2)*($T48:$AK48))))</f>
      </c>
      <c r="AO48" s="0">
        <f>MAX(0,MIN(W48,BX48-SUMPRODUCT(($T$2:$AK$2&lt;W$2)*($T48:$AK48))))</f>
      </c>
      <c r="AP48" s="0">
        <f>MAX(0,MIN(X48,BX48-SUMPRODUCT(($T$2:$AK$2&lt;X$2)*($T48:$AK48))))</f>
      </c>
      <c r="AQ48" s="0">
        <f>MAX(0,MIN(Y48,BX48-SUMPRODUCT(($T$2:$AK$2&lt;Y$2)*($T48:$AK48))))</f>
      </c>
      <c r="AR48" s="0">
        <f>MAX(0,MIN(Z48,BX48-SUMPRODUCT(($T$2:$AK$2&lt;Z$2)*($T48:$AK48))))</f>
      </c>
      <c r="AS48" s="0">
        <f>MAX(0,MIN(AA48,BX48-SUMPRODUCT(($T$2:$AK$2&lt;AA$2)*($T48:$AK48))))</f>
      </c>
      <c r="AT48" s="0">
        <f>MAX(0,MIN(AB48,BX48-SUMPRODUCT(($T$2:$AK$2&lt;AB$2)*($T48:$AK48))))</f>
      </c>
      <c r="AU48" s="0">
        <f>MAX(0,MIN(AC48,BX48-SUMPRODUCT(($T$2:$AK$2&lt;AC$2)*($T48:$AK48))))</f>
      </c>
      <c r="AV48" s="0">
        <f>MAX(0,MIN(AD48,BX48-SUMPRODUCT(($T$2:$AK$2&lt;AD$2)*($T48:$AK48))))</f>
      </c>
      <c r="AW48" s="0">
        <f>MAX(0,MIN(AE48,BX48-SUMPRODUCT(($T$2:$AK$2&lt;AE$2)*($T48:$AK48))))</f>
      </c>
      <c r="AX48" s="0">
        <f>MAX(0,MIN(AF48,BX48-SUMPRODUCT(($T$2:$AK$2&lt;AF$2)*($T48:$AK48))))</f>
      </c>
      <c r="AY48" s="0">
        <f>MAX(0,MIN(AG48,BX48-SUMPRODUCT(($T$2:$AK$2&lt;AG$2)*($T48:$AK48))))</f>
      </c>
      <c r="AZ48" s="0">
        <f>MAX(0,MIN(AH48,BX48-SUMPRODUCT(($T$2:$AK$2&lt;AH$2)*($T48:$AK48))))</f>
      </c>
      <c r="BA48" s="0">
        <f>MAX(0,MIN(AI48,BX48-SUMPRODUCT(($T$2:$AK$2&lt;AI$2)*($T48:$AK48))))</f>
      </c>
      <c r="BB48" s="0">
        <f>MAX(0,MIN(AJ48,BX48-SUMPRODUCT(($T$2:$AK$2&lt;AJ$2)*($T48:$AK48))))</f>
      </c>
      <c r="BC48" s="0">
        <f>MAX(0,MIN(AK48,BX48-SUMPRODUCT(($T$2:$AK$2&lt;AK$2)*($T48:$AK48))))</f>
      </c>
      <c r="BD48" s="0">
        <f>T48-AL48</f>
      </c>
      <c r="BE48" s="0">
        <f>U48-AM48</f>
      </c>
      <c r="BF48" s="0">
        <f>V48-AN48</f>
      </c>
      <c r="BG48" s="0">
        <f>W48-AO48</f>
      </c>
      <c r="BH48" s="0">
        <f>X48-AP48</f>
      </c>
      <c r="BI48" s="0">
        <f>Y48-AQ48</f>
      </c>
      <c r="BJ48" s="0">
        <f>Z48-AR48</f>
      </c>
      <c r="BK48" s="0">
        <f>AA48-AS48</f>
      </c>
      <c r="BL48" s="0">
        <f>AB48-AT48</f>
      </c>
      <c r="BM48" s="0">
        <f>AC48-AU48</f>
      </c>
      <c r="BN48" s="0">
        <f>AD48-AV48</f>
      </c>
      <c r="BO48" s="0">
        <f>AE48-AW48</f>
      </c>
      <c r="BP48" s="0">
        <f>AF48-AX48</f>
      </c>
      <c r="BQ48" s="0">
        <f>AG48-AY48</f>
      </c>
      <c r="BR48" s="0">
        <f>AH48-AZ48</f>
      </c>
      <c r="BS48" s="0">
        <f>AI48-BA48</f>
      </c>
      <c r="BT48" s="0">
        <f>AJ48-BB48</f>
      </c>
      <c r="BU48" s="0">
        <f>AK48-BC48</f>
      </c>
      <c r="BV48" s="0">
        <f>SUM(B48:S48)</f>
      </c>
      <c r="BW48" s="0">
        <f>SUM(T48:AK48)</f>
      </c>
      <c r="BX48" s="0">
        <f>MAX(0,(SUM(Calculator!$E$11:$E$28)+Calculator!$C$6)-BV48+BW48)</f>
      </c>
      <c r="BY48" s="0">
        <f>SUM(BD48:BU48)</f>
      </c>
      <c r="BZ48" s="0">
        <f>BV48-BY47</f>
      </c>
      <c r="CA48" s="0">
        <f>IF(A48&lt;=IF($CD$1=0,999,$CD$1),BY48,NA())</f>
      </c>
      <c r="CB48" s="0">
        <f>IF(A48&lt;=IF($CD$1=0,999,$CD$1),A48,NA())</f>
      </c>
    </row>
    <row r="49">
      <c r="A49" s="0">
        <v>46</v>
      </c>
      <c r="B49" s="0">
        <f>BD48*(1+Calculator!$D$11/100/12)</f>
      </c>
      <c r="C49" s="0">
        <f>BE48*(1+Calculator!$D$12/100/12)</f>
      </c>
      <c r="D49" s="0">
        <f>BF48*(1+Calculator!$D$13/100/12)</f>
      </c>
      <c r="E49" s="0">
        <f>BG48*(1+Calculator!$D$14/100/12)</f>
      </c>
      <c r="F49" s="0">
        <f>BH48*(1+Calculator!$D$15/100/12)</f>
      </c>
      <c r="G49" s="0">
        <f>BI48*(1+Calculator!$D$16/100/12)</f>
      </c>
      <c r="H49" s="0">
        <f>BJ48*(1+Calculator!$D$17/100/12)</f>
      </c>
      <c r="I49" s="0">
        <f>BK48*(1+Calculator!$D$18/100/12)</f>
      </c>
      <c r="J49" s="0">
        <f>BL48*(1+Calculator!$D$19/100/12)</f>
      </c>
      <c r="K49" s="0">
        <f>BM48*(1+Calculator!$D$20/100/12)</f>
      </c>
      <c r="L49" s="0">
        <f>BN48*(1+Calculator!$D$21/100/12)</f>
      </c>
      <c r="M49" s="0">
        <f>BO48*(1+Calculator!$D$22/100/12)</f>
      </c>
      <c r="N49" s="0">
        <f>BP48*(1+Calculator!$D$23/100/12)</f>
      </c>
      <c r="O49" s="0">
        <f>BQ48*(1+Calculator!$D$24/100/12)</f>
      </c>
      <c r="P49" s="0">
        <f>BR48*(1+Calculator!$D$25/100/12)</f>
      </c>
      <c r="Q49" s="0">
        <f>BS48*(1+Calculator!$D$26/100/12)</f>
      </c>
      <c r="R49" s="0">
        <f>BT48*(1+Calculator!$D$27/100/12)</f>
      </c>
      <c r="S49" s="0">
        <f>BU48*(1+Calculator!$D$28/100/12)</f>
      </c>
      <c r="T49" s="0">
        <f>MAX(0,B49-Calculator!$E$11)</f>
      </c>
      <c r="U49" s="0">
        <f>MAX(0,C49-Calculator!$E$12)</f>
      </c>
      <c r="V49" s="0">
        <f>MAX(0,D49-Calculator!$E$13)</f>
      </c>
      <c r="W49" s="0">
        <f>MAX(0,E49-Calculator!$E$14)</f>
      </c>
      <c r="X49" s="0">
        <f>MAX(0,F49-Calculator!$E$15)</f>
      </c>
      <c r="Y49" s="0">
        <f>MAX(0,G49-Calculator!$E$16)</f>
      </c>
      <c r="Z49" s="0">
        <f>MAX(0,H49-Calculator!$E$17)</f>
      </c>
      <c r="AA49" s="0">
        <f>MAX(0,I49-Calculator!$E$18)</f>
      </c>
      <c r="AB49" s="0">
        <f>MAX(0,J49-Calculator!$E$19)</f>
      </c>
      <c r="AC49" s="0">
        <f>MAX(0,K49-Calculator!$E$20)</f>
      </c>
      <c r="AD49" s="0">
        <f>MAX(0,L49-Calculator!$E$21)</f>
      </c>
      <c r="AE49" s="0">
        <f>MAX(0,M49-Calculator!$E$22)</f>
      </c>
      <c r="AF49" s="0">
        <f>MAX(0,N49-Calculator!$E$23)</f>
      </c>
      <c r="AG49" s="0">
        <f>MAX(0,O49-Calculator!$E$24)</f>
      </c>
      <c r="AH49" s="0">
        <f>MAX(0,P49-Calculator!$E$25)</f>
      </c>
      <c r="AI49" s="0">
        <f>MAX(0,Q49-Calculator!$E$26)</f>
      </c>
      <c r="AJ49" s="0">
        <f>MAX(0,R49-Calculator!$E$27)</f>
      </c>
      <c r="AK49" s="0">
        <f>MAX(0,S49-Calculator!$E$28)</f>
      </c>
      <c r="AL49" s="0">
        <f>MAX(0,MIN(T49,BX49-SUMPRODUCT(($T$2:$AK$2&lt;T$2)*($T49:$AK49))))</f>
      </c>
      <c r="AM49" s="0">
        <f>MAX(0,MIN(U49,BX49-SUMPRODUCT(($T$2:$AK$2&lt;U$2)*($T49:$AK49))))</f>
      </c>
      <c r="AN49" s="0">
        <f>MAX(0,MIN(V49,BX49-SUMPRODUCT(($T$2:$AK$2&lt;V$2)*($T49:$AK49))))</f>
      </c>
      <c r="AO49" s="0">
        <f>MAX(0,MIN(W49,BX49-SUMPRODUCT(($T$2:$AK$2&lt;W$2)*($T49:$AK49))))</f>
      </c>
      <c r="AP49" s="0">
        <f>MAX(0,MIN(X49,BX49-SUMPRODUCT(($T$2:$AK$2&lt;X$2)*($T49:$AK49))))</f>
      </c>
      <c r="AQ49" s="0">
        <f>MAX(0,MIN(Y49,BX49-SUMPRODUCT(($T$2:$AK$2&lt;Y$2)*($T49:$AK49))))</f>
      </c>
      <c r="AR49" s="0">
        <f>MAX(0,MIN(Z49,BX49-SUMPRODUCT(($T$2:$AK$2&lt;Z$2)*($T49:$AK49))))</f>
      </c>
      <c r="AS49" s="0">
        <f>MAX(0,MIN(AA49,BX49-SUMPRODUCT(($T$2:$AK$2&lt;AA$2)*($T49:$AK49))))</f>
      </c>
      <c r="AT49" s="0">
        <f>MAX(0,MIN(AB49,BX49-SUMPRODUCT(($T$2:$AK$2&lt;AB$2)*($T49:$AK49))))</f>
      </c>
      <c r="AU49" s="0">
        <f>MAX(0,MIN(AC49,BX49-SUMPRODUCT(($T$2:$AK$2&lt;AC$2)*($T49:$AK49))))</f>
      </c>
      <c r="AV49" s="0">
        <f>MAX(0,MIN(AD49,BX49-SUMPRODUCT(($T$2:$AK$2&lt;AD$2)*($T49:$AK49))))</f>
      </c>
      <c r="AW49" s="0">
        <f>MAX(0,MIN(AE49,BX49-SUMPRODUCT(($T$2:$AK$2&lt;AE$2)*($T49:$AK49))))</f>
      </c>
      <c r="AX49" s="0">
        <f>MAX(0,MIN(AF49,BX49-SUMPRODUCT(($T$2:$AK$2&lt;AF$2)*($T49:$AK49))))</f>
      </c>
      <c r="AY49" s="0">
        <f>MAX(0,MIN(AG49,BX49-SUMPRODUCT(($T$2:$AK$2&lt;AG$2)*($T49:$AK49))))</f>
      </c>
      <c r="AZ49" s="0">
        <f>MAX(0,MIN(AH49,BX49-SUMPRODUCT(($T$2:$AK$2&lt;AH$2)*($T49:$AK49))))</f>
      </c>
      <c r="BA49" s="0">
        <f>MAX(0,MIN(AI49,BX49-SUMPRODUCT(($T$2:$AK$2&lt;AI$2)*($T49:$AK49))))</f>
      </c>
      <c r="BB49" s="0">
        <f>MAX(0,MIN(AJ49,BX49-SUMPRODUCT(($T$2:$AK$2&lt;AJ$2)*($T49:$AK49))))</f>
      </c>
      <c r="BC49" s="0">
        <f>MAX(0,MIN(AK49,BX49-SUMPRODUCT(($T$2:$AK$2&lt;AK$2)*($T49:$AK49))))</f>
      </c>
      <c r="BD49" s="0">
        <f>T49-AL49</f>
      </c>
      <c r="BE49" s="0">
        <f>U49-AM49</f>
      </c>
      <c r="BF49" s="0">
        <f>V49-AN49</f>
      </c>
      <c r="BG49" s="0">
        <f>W49-AO49</f>
      </c>
      <c r="BH49" s="0">
        <f>X49-AP49</f>
      </c>
      <c r="BI49" s="0">
        <f>Y49-AQ49</f>
      </c>
      <c r="BJ49" s="0">
        <f>Z49-AR49</f>
      </c>
      <c r="BK49" s="0">
        <f>AA49-AS49</f>
      </c>
      <c r="BL49" s="0">
        <f>AB49-AT49</f>
      </c>
      <c r="BM49" s="0">
        <f>AC49-AU49</f>
      </c>
      <c r="BN49" s="0">
        <f>AD49-AV49</f>
      </c>
      <c r="BO49" s="0">
        <f>AE49-AW49</f>
      </c>
      <c r="BP49" s="0">
        <f>AF49-AX49</f>
      </c>
      <c r="BQ49" s="0">
        <f>AG49-AY49</f>
      </c>
      <c r="BR49" s="0">
        <f>AH49-AZ49</f>
      </c>
      <c r="BS49" s="0">
        <f>AI49-BA49</f>
      </c>
      <c r="BT49" s="0">
        <f>AJ49-BB49</f>
      </c>
      <c r="BU49" s="0">
        <f>AK49-BC49</f>
      </c>
      <c r="BV49" s="0">
        <f>SUM(B49:S49)</f>
      </c>
      <c r="BW49" s="0">
        <f>SUM(T49:AK49)</f>
      </c>
      <c r="BX49" s="0">
        <f>MAX(0,(SUM(Calculator!$E$11:$E$28)+Calculator!$C$6)-BV49+BW49)</f>
      </c>
      <c r="BY49" s="0">
        <f>SUM(BD49:BU49)</f>
      </c>
      <c r="BZ49" s="0">
        <f>BV49-BY48</f>
      </c>
      <c r="CA49" s="0">
        <f>IF(A49&lt;=IF($CD$1=0,999,$CD$1),BY49,NA())</f>
      </c>
      <c r="CB49" s="0">
        <f>IF(A49&lt;=IF($CD$1=0,999,$CD$1),A49,NA())</f>
      </c>
    </row>
    <row r="50">
      <c r="A50" s="0">
        <v>47</v>
      </c>
      <c r="B50" s="0">
        <f>BD49*(1+Calculator!$D$11/100/12)</f>
      </c>
      <c r="C50" s="0">
        <f>BE49*(1+Calculator!$D$12/100/12)</f>
      </c>
      <c r="D50" s="0">
        <f>BF49*(1+Calculator!$D$13/100/12)</f>
      </c>
      <c r="E50" s="0">
        <f>BG49*(1+Calculator!$D$14/100/12)</f>
      </c>
      <c r="F50" s="0">
        <f>BH49*(1+Calculator!$D$15/100/12)</f>
      </c>
      <c r="G50" s="0">
        <f>BI49*(1+Calculator!$D$16/100/12)</f>
      </c>
      <c r="H50" s="0">
        <f>BJ49*(1+Calculator!$D$17/100/12)</f>
      </c>
      <c r="I50" s="0">
        <f>BK49*(1+Calculator!$D$18/100/12)</f>
      </c>
      <c r="J50" s="0">
        <f>BL49*(1+Calculator!$D$19/100/12)</f>
      </c>
      <c r="K50" s="0">
        <f>BM49*(1+Calculator!$D$20/100/12)</f>
      </c>
      <c r="L50" s="0">
        <f>BN49*(1+Calculator!$D$21/100/12)</f>
      </c>
      <c r="M50" s="0">
        <f>BO49*(1+Calculator!$D$22/100/12)</f>
      </c>
      <c r="N50" s="0">
        <f>BP49*(1+Calculator!$D$23/100/12)</f>
      </c>
      <c r="O50" s="0">
        <f>BQ49*(1+Calculator!$D$24/100/12)</f>
      </c>
      <c r="P50" s="0">
        <f>BR49*(1+Calculator!$D$25/100/12)</f>
      </c>
      <c r="Q50" s="0">
        <f>BS49*(1+Calculator!$D$26/100/12)</f>
      </c>
      <c r="R50" s="0">
        <f>BT49*(1+Calculator!$D$27/100/12)</f>
      </c>
      <c r="S50" s="0">
        <f>BU49*(1+Calculator!$D$28/100/12)</f>
      </c>
      <c r="T50" s="0">
        <f>MAX(0,B50-Calculator!$E$11)</f>
      </c>
      <c r="U50" s="0">
        <f>MAX(0,C50-Calculator!$E$12)</f>
      </c>
      <c r="V50" s="0">
        <f>MAX(0,D50-Calculator!$E$13)</f>
      </c>
      <c r="W50" s="0">
        <f>MAX(0,E50-Calculator!$E$14)</f>
      </c>
      <c r="X50" s="0">
        <f>MAX(0,F50-Calculator!$E$15)</f>
      </c>
      <c r="Y50" s="0">
        <f>MAX(0,G50-Calculator!$E$16)</f>
      </c>
      <c r="Z50" s="0">
        <f>MAX(0,H50-Calculator!$E$17)</f>
      </c>
      <c r="AA50" s="0">
        <f>MAX(0,I50-Calculator!$E$18)</f>
      </c>
      <c r="AB50" s="0">
        <f>MAX(0,J50-Calculator!$E$19)</f>
      </c>
      <c r="AC50" s="0">
        <f>MAX(0,K50-Calculator!$E$20)</f>
      </c>
      <c r="AD50" s="0">
        <f>MAX(0,L50-Calculator!$E$21)</f>
      </c>
      <c r="AE50" s="0">
        <f>MAX(0,M50-Calculator!$E$22)</f>
      </c>
      <c r="AF50" s="0">
        <f>MAX(0,N50-Calculator!$E$23)</f>
      </c>
      <c r="AG50" s="0">
        <f>MAX(0,O50-Calculator!$E$24)</f>
      </c>
      <c r="AH50" s="0">
        <f>MAX(0,P50-Calculator!$E$25)</f>
      </c>
      <c r="AI50" s="0">
        <f>MAX(0,Q50-Calculator!$E$26)</f>
      </c>
      <c r="AJ50" s="0">
        <f>MAX(0,R50-Calculator!$E$27)</f>
      </c>
      <c r="AK50" s="0">
        <f>MAX(0,S50-Calculator!$E$28)</f>
      </c>
      <c r="AL50" s="0">
        <f>MAX(0,MIN(T50,BX50-SUMPRODUCT(($T$2:$AK$2&lt;T$2)*($T50:$AK50))))</f>
      </c>
      <c r="AM50" s="0">
        <f>MAX(0,MIN(U50,BX50-SUMPRODUCT(($T$2:$AK$2&lt;U$2)*($T50:$AK50))))</f>
      </c>
      <c r="AN50" s="0">
        <f>MAX(0,MIN(V50,BX50-SUMPRODUCT(($T$2:$AK$2&lt;V$2)*($T50:$AK50))))</f>
      </c>
      <c r="AO50" s="0">
        <f>MAX(0,MIN(W50,BX50-SUMPRODUCT(($T$2:$AK$2&lt;W$2)*($T50:$AK50))))</f>
      </c>
      <c r="AP50" s="0">
        <f>MAX(0,MIN(X50,BX50-SUMPRODUCT(($T$2:$AK$2&lt;X$2)*($T50:$AK50))))</f>
      </c>
      <c r="AQ50" s="0">
        <f>MAX(0,MIN(Y50,BX50-SUMPRODUCT(($T$2:$AK$2&lt;Y$2)*($T50:$AK50))))</f>
      </c>
      <c r="AR50" s="0">
        <f>MAX(0,MIN(Z50,BX50-SUMPRODUCT(($T$2:$AK$2&lt;Z$2)*($T50:$AK50))))</f>
      </c>
      <c r="AS50" s="0">
        <f>MAX(0,MIN(AA50,BX50-SUMPRODUCT(($T$2:$AK$2&lt;AA$2)*($T50:$AK50))))</f>
      </c>
      <c r="AT50" s="0">
        <f>MAX(0,MIN(AB50,BX50-SUMPRODUCT(($T$2:$AK$2&lt;AB$2)*($T50:$AK50))))</f>
      </c>
      <c r="AU50" s="0">
        <f>MAX(0,MIN(AC50,BX50-SUMPRODUCT(($T$2:$AK$2&lt;AC$2)*($T50:$AK50))))</f>
      </c>
      <c r="AV50" s="0">
        <f>MAX(0,MIN(AD50,BX50-SUMPRODUCT(($T$2:$AK$2&lt;AD$2)*($T50:$AK50))))</f>
      </c>
      <c r="AW50" s="0">
        <f>MAX(0,MIN(AE50,BX50-SUMPRODUCT(($T$2:$AK$2&lt;AE$2)*($T50:$AK50))))</f>
      </c>
      <c r="AX50" s="0">
        <f>MAX(0,MIN(AF50,BX50-SUMPRODUCT(($T$2:$AK$2&lt;AF$2)*($T50:$AK50))))</f>
      </c>
      <c r="AY50" s="0">
        <f>MAX(0,MIN(AG50,BX50-SUMPRODUCT(($T$2:$AK$2&lt;AG$2)*($T50:$AK50))))</f>
      </c>
      <c r="AZ50" s="0">
        <f>MAX(0,MIN(AH50,BX50-SUMPRODUCT(($T$2:$AK$2&lt;AH$2)*($T50:$AK50))))</f>
      </c>
      <c r="BA50" s="0">
        <f>MAX(0,MIN(AI50,BX50-SUMPRODUCT(($T$2:$AK$2&lt;AI$2)*($T50:$AK50))))</f>
      </c>
      <c r="BB50" s="0">
        <f>MAX(0,MIN(AJ50,BX50-SUMPRODUCT(($T$2:$AK$2&lt;AJ$2)*($T50:$AK50))))</f>
      </c>
      <c r="BC50" s="0">
        <f>MAX(0,MIN(AK50,BX50-SUMPRODUCT(($T$2:$AK$2&lt;AK$2)*($T50:$AK50))))</f>
      </c>
      <c r="BD50" s="0">
        <f>T50-AL50</f>
      </c>
      <c r="BE50" s="0">
        <f>U50-AM50</f>
      </c>
      <c r="BF50" s="0">
        <f>V50-AN50</f>
      </c>
      <c r="BG50" s="0">
        <f>W50-AO50</f>
      </c>
      <c r="BH50" s="0">
        <f>X50-AP50</f>
      </c>
      <c r="BI50" s="0">
        <f>Y50-AQ50</f>
      </c>
      <c r="BJ50" s="0">
        <f>Z50-AR50</f>
      </c>
      <c r="BK50" s="0">
        <f>AA50-AS50</f>
      </c>
      <c r="BL50" s="0">
        <f>AB50-AT50</f>
      </c>
      <c r="BM50" s="0">
        <f>AC50-AU50</f>
      </c>
      <c r="BN50" s="0">
        <f>AD50-AV50</f>
      </c>
      <c r="BO50" s="0">
        <f>AE50-AW50</f>
      </c>
      <c r="BP50" s="0">
        <f>AF50-AX50</f>
      </c>
      <c r="BQ50" s="0">
        <f>AG50-AY50</f>
      </c>
      <c r="BR50" s="0">
        <f>AH50-AZ50</f>
      </c>
      <c r="BS50" s="0">
        <f>AI50-BA50</f>
      </c>
      <c r="BT50" s="0">
        <f>AJ50-BB50</f>
      </c>
      <c r="BU50" s="0">
        <f>AK50-BC50</f>
      </c>
      <c r="BV50" s="0">
        <f>SUM(B50:S50)</f>
      </c>
      <c r="BW50" s="0">
        <f>SUM(T50:AK50)</f>
      </c>
      <c r="BX50" s="0">
        <f>MAX(0,(SUM(Calculator!$E$11:$E$28)+Calculator!$C$6)-BV50+BW50)</f>
      </c>
      <c r="BY50" s="0">
        <f>SUM(BD50:BU50)</f>
      </c>
      <c r="BZ50" s="0">
        <f>BV50-BY49</f>
      </c>
      <c r="CA50" s="0">
        <f>IF(A50&lt;=IF($CD$1=0,999,$CD$1),BY50,NA())</f>
      </c>
      <c r="CB50" s="0">
        <f>IF(A50&lt;=IF($CD$1=0,999,$CD$1),A50,NA())</f>
      </c>
    </row>
    <row r="51">
      <c r="A51" s="0">
        <v>48</v>
      </c>
      <c r="B51" s="0">
        <f>BD50*(1+Calculator!$D$11/100/12)</f>
      </c>
      <c r="C51" s="0">
        <f>BE50*(1+Calculator!$D$12/100/12)</f>
      </c>
      <c r="D51" s="0">
        <f>BF50*(1+Calculator!$D$13/100/12)</f>
      </c>
      <c r="E51" s="0">
        <f>BG50*(1+Calculator!$D$14/100/12)</f>
      </c>
      <c r="F51" s="0">
        <f>BH50*(1+Calculator!$D$15/100/12)</f>
      </c>
      <c r="G51" s="0">
        <f>BI50*(1+Calculator!$D$16/100/12)</f>
      </c>
      <c r="H51" s="0">
        <f>BJ50*(1+Calculator!$D$17/100/12)</f>
      </c>
      <c r="I51" s="0">
        <f>BK50*(1+Calculator!$D$18/100/12)</f>
      </c>
      <c r="J51" s="0">
        <f>BL50*(1+Calculator!$D$19/100/12)</f>
      </c>
      <c r="K51" s="0">
        <f>BM50*(1+Calculator!$D$20/100/12)</f>
      </c>
      <c r="L51" s="0">
        <f>BN50*(1+Calculator!$D$21/100/12)</f>
      </c>
      <c r="M51" s="0">
        <f>BO50*(1+Calculator!$D$22/100/12)</f>
      </c>
      <c r="N51" s="0">
        <f>BP50*(1+Calculator!$D$23/100/12)</f>
      </c>
      <c r="O51" s="0">
        <f>BQ50*(1+Calculator!$D$24/100/12)</f>
      </c>
      <c r="P51" s="0">
        <f>BR50*(1+Calculator!$D$25/100/12)</f>
      </c>
      <c r="Q51" s="0">
        <f>BS50*(1+Calculator!$D$26/100/12)</f>
      </c>
      <c r="R51" s="0">
        <f>BT50*(1+Calculator!$D$27/100/12)</f>
      </c>
      <c r="S51" s="0">
        <f>BU50*(1+Calculator!$D$28/100/12)</f>
      </c>
      <c r="T51" s="0">
        <f>MAX(0,B51-Calculator!$E$11)</f>
      </c>
      <c r="U51" s="0">
        <f>MAX(0,C51-Calculator!$E$12)</f>
      </c>
      <c r="V51" s="0">
        <f>MAX(0,D51-Calculator!$E$13)</f>
      </c>
      <c r="W51" s="0">
        <f>MAX(0,E51-Calculator!$E$14)</f>
      </c>
      <c r="X51" s="0">
        <f>MAX(0,F51-Calculator!$E$15)</f>
      </c>
      <c r="Y51" s="0">
        <f>MAX(0,G51-Calculator!$E$16)</f>
      </c>
      <c r="Z51" s="0">
        <f>MAX(0,H51-Calculator!$E$17)</f>
      </c>
      <c r="AA51" s="0">
        <f>MAX(0,I51-Calculator!$E$18)</f>
      </c>
      <c r="AB51" s="0">
        <f>MAX(0,J51-Calculator!$E$19)</f>
      </c>
      <c r="AC51" s="0">
        <f>MAX(0,K51-Calculator!$E$20)</f>
      </c>
      <c r="AD51" s="0">
        <f>MAX(0,L51-Calculator!$E$21)</f>
      </c>
      <c r="AE51" s="0">
        <f>MAX(0,M51-Calculator!$E$22)</f>
      </c>
      <c r="AF51" s="0">
        <f>MAX(0,N51-Calculator!$E$23)</f>
      </c>
      <c r="AG51" s="0">
        <f>MAX(0,O51-Calculator!$E$24)</f>
      </c>
      <c r="AH51" s="0">
        <f>MAX(0,P51-Calculator!$E$25)</f>
      </c>
      <c r="AI51" s="0">
        <f>MAX(0,Q51-Calculator!$E$26)</f>
      </c>
      <c r="AJ51" s="0">
        <f>MAX(0,R51-Calculator!$E$27)</f>
      </c>
      <c r="AK51" s="0">
        <f>MAX(0,S51-Calculator!$E$28)</f>
      </c>
      <c r="AL51" s="0">
        <f>MAX(0,MIN(T51,BX51-SUMPRODUCT(($T$2:$AK$2&lt;T$2)*($T51:$AK51))))</f>
      </c>
      <c r="AM51" s="0">
        <f>MAX(0,MIN(U51,BX51-SUMPRODUCT(($T$2:$AK$2&lt;U$2)*($T51:$AK51))))</f>
      </c>
      <c r="AN51" s="0">
        <f>MAX(0,MIN(V51,BX51-SUMPRODUCT(($T$2:$AK$2&lt;V$2)*($T51:$AK51))))</f>
      </c>
      <c r="AO51" s="0">
        <f>MAX(0,MIN(W51,BX51-SUMPRODUCT(($T$2:$AK$2&lt;W$2)*($T51:$AK51))))</f>
      </c>
      <c r="AP51" s="0">
        <f>MAX(0,MIN(X51,BX51-SUMPRODUCT(($T$2:$AK$2&lt;X$2)*($T51:$AK51))))</f>
      </c>
      <c r="AQ51" s="0">
        <f>MAX(0,MIN(Y51,BX51-SUMPRODUCT(($T$2:$AK$2&lt;Y$2)*($T51:$AK51))))</f>
      </c>
      <c r="AR51" s="0">
        <f>MAX(0,MIN(Z51,BX51-SUMPRODUCT(($T$2:$AK$2&lt;Z$2)*($T51:$AK51))))</f>
      </c>
      <c r="AS51" s="0">
        <f>MAX(0,MIN(AA51,BX51-SUMPRODUCT(($T$2:$AK$2&lt;AA$2)*($T51:$AK51))))</f>
      </c>
      <c r="AT51" s="0">
        <f>MAX(0,MIN(AB51,BX51-SUMPRODUCT(($T$2:$AK$2&lt;AB$2)*($T51:$AK51))))</f>
      </c>
      <c r="AU51" s="0">
        <f>MAX(0,MIN(AC51,BX51-SUMPRODUCT(($T$2:$AK$2&lt;AC$2)*($T51:$AK51))))</f>
      </c>
      <c r="AV51" s="0">
        <f>MAX(0,MIN(AD51,BX51-SUMPRODUCT(($T$2:$AK$2&lt;AD$2)*($T51:$AK51))))</f>
      </c>
      <c r="AW51" s="0">
        <f>MAX(0,MIN(AE51,BX51-SUMPRODUCT(($T$2:$AK$2&lt;AE$2)*($T51:$AK51))))</f>
      </c>
      <c r="AX51" s="0">
        <f>MAX(0,MIN(AF51,BX51-SUMPRODUCT(($T$2:$AK$2&lt;AF$2)*($T51:$AK51))))</f>
      </c>
      <c r="AY51" s="0">
        <f>MAX(0,MIN(AG51,BX51-SUMPRODUCT(($T$2:$AK$2&lt;AG$2)*($T51:$AK51))))</f>
      </c>
      <c r="AZ51" s="0">
        <f>MAX(0,MIN(AH51,BX51-SUMPRODUCT(($T$2:$AK$2&lt;AH$2)*($T51:$AK51))))</f>
      </c>
      <c r="BA51" s="0">
        <f>MAX(0,MIN(AI51,BX51-SUMPRODUCT(($T$2:$AK$2&lt;AI$2)*($T51:$AK51))))</f>
      </c>
      <c r="BB51" s="0">
        <f>MAX(0,MIN(AJ51,BX51-SUMPRODUCT(($T$2:$AK$2&lt;AJ$2)*($T51:$AK51))))</f>
      </c>
      <c r="BC51" s="0">
        <f>MAX(0,MIN(AK51,BX51-SUMPRODUCT(($T$2:$AK$2&lt;AK$2)*($T51:$AK51))))</f>
      </c>
      <c r="BD51" s="0">
        <f>T51-AL51</f>
      </c>
      <c r="BE51" s="0">
        <f>U51-AM51</f>
      </c>
      <c r="BF51" s="0">
        <f>V51-AN51</f>
      </c>
      <c r="BG51" s="0">
        <f>W51-AO51</f>
      </c>
      <c r="BH51" s="0">
        <f>X51-AP51</f>
      </c>
      <c r="BI51" s="0">
        <f>Y51-AQ51</f>
      </c>
      <c r="BJ51" s="0">
        <f>Z51-AR51</f>
      </c>
      <c r="BK51" s="0">
        <f>AA51-AS51</f>
      </c>
      <c r="BL51" s="0">
        <f>AB51-AT51</f>
      </c>
      <c r="BM51" s="0">
        <f>AC51-AU51</f>
      </c>
      <c r="BN51" s="0">
        <f>AD51-AV51</f>
      </c>
      <c r="BO51" s="0">
        <f>AE51-AW51</f>
      </c>
      <c r="BP51" s="0">
        <f>AF51-AX51</f>
      </c>
      <c r="BQ51" s="0">
        <f>AG51-AY51</f>
      </c>
      <c r="BR51" s="0">
        <f>AH51-AZ51</f>
      </c>
      <c r="BS51" s="0">
        <f>AI51-BA51</f>
      </c>
      <c r="BT51" s="0">
        <f>AJ51-BB51</f>
      </c>
      <c r="BU51" s="0">
        <f>AK51-BC51</f>
      </c>
      <c r="BV51" s="0">
        <f>SUM(B51:S51)</f>
      </c>
      <c r="BW51" s="0">
        <f>SUM(T51:AK51)</f>
      </c>
      <c r="BX51" s="0">
        <f>MAX(0,(SUM(Calculator!$E$11:$E$28)+Calculator!$C$6)-BV51+BW51)</f>
      </c>
      <c r="BY51" s="0">
        <f>SUM(BD51:BU51)</f>
      </c>
      <c r="BZ51" s="0">
        <f>BV51-BY50</f>
      </c>
      <c r="CA51" s="0">
        <f>IF(A51&lt;=IF($CD$1=0,999,$CD$1),BY51,NA())</f>
      </c>
      <c r="CB51" s="0">
        <f>IF(A51&lt;=IF($CD$1=0,999,$CD$1),A51,NA())</f>
      </c>
    </row>
    <row r="52">
      <c r="A52" s="0">
        <v>49</v>
      </c>
      <c r="B52" s="0">
        <f>BD51*(1+Calculator!$D$11/100/12)</f>
      </c>
      <c r="C52" s="0">
        <f>BE51*(1+Calculator!$D$12/100/12)</f>
      </c>
      <c r="D52" s="0">
        <f>BF51*(1+Calculator!$D$13/100/12)</f>
      </c>
      <c r="E52" s="0">
        <f>BG51*(1+Calculator!$D$14/100/12)</f>
      </c>
      <c r="F52" s="0">
        <f>BH51*(1+Calculator!$D$15/100/12)</f>
      </c>
      <c r="G52" s="0">
        <f>BI51*(1+Calculator!$D$16/100/12)</f>
      </c>
      <c r="H52" s="0">
        <f>BJ51*(1+Calculator!$D$17/100/12)</f>
      </c>
      <c r="I52" s="0">
        <f>BK51*(1+Calculator!$D$18/100/12)</f>
      </c>
      <c r="J52" s="0">
        <f>BL51*(1+Calculator!$D$19/100/12)</f>
      </c>
      <c r="K52" s="0">
        <f>BM51*(1+Calculator!$D$20/100/12)</f>
      </c>
      <c r="L52" s="0">
        <f>BN51*(1+Calculator!$D$21/100/12)</f>
      </c>
      <c r="M52" s="0">
        <f>BO51*(1+Calculator!$D$22/100/12)</f>
      </c>
      <c r="N52" s="0">
        <f>BP51*(1+Calculator!$D$23/100/12)</f>
      </c>
      <c r="O52" s="0">
        <f>BQ51*(1+Calculator!$D$24/100/12)</f>
      </c>
      <c r="P52" s="0">
        <f>BR51*(1+Calculator!$D$25/100/12)</f>
      </c>
      <c r="Q52" s="0">
        <f>BS51*(1+Calculator!$D$26/100/12)</f>
      </c>
      <c r="R52" s="0">
        <f>BT51*(1+Calculator!$D$27/100/12)</f>
      </c>
      <c r="S52" s="0">
        <f>BU51*(1+Calculator!$D$28/100/12)</f>
      </c>
      <c r="T52" s="0">
        <f>MAX(0,B52-Calculator!$E$11)</f>
      </c>
      <c r="U52" s="0">
        <f>MAX(0,C52-Calculator!$E$12)</f>
      </c>
      <c r="V52" s="0">
        <f>MAX(0,D52-Calculator!$E$13)</f>
      </c>
      <c r="W52" s="0">
        <f>MAX(0,E52-Calculator!$E$14)</f>
      </c>
      <c r="X52" s="0">
        <f>MAX(0,F52-Calculator!$E$15)</f>
      </c>
      <c r="Y52" s="0">
        <f>MAX(0,G52-Calculator!$E$16)</f>
      </c>
      <c r="Z52" s="0">
        <f>MAX(0,H52-Calculator!$E$17)</f>
      </c>
      <c r="AA52" s="0">
        <f>MAX(0,I52-Calculator!$E$18)</f>
      </c>
      <c r="AB52" s="0">
        <f>MAX(0,J52-Calculator!$E$19)</f>
      </c>
      <c r="AC52" s="0">
        <f>MAX(0,K52-Calculator!$E$20)</f>
      </c>
      <c r="AD52" s="0">
        <f>MAX(0,L52-Calculator!$E$21)</f>
      </c>
      <c r="AE52" s="0">
        <f>MAX(0,M52-Calculator!$E$22)</f>
      </c>
      <c r="AF52" s="0">
        <f>MAX(0,N52-Calculator!$E$23)</f>
      </c>
      <c r="AG52" s="0">
        <f>MAX(0,O52-Calculator!$E$24)</f>
      </c>
      <c r="AH52" s="0">
        <f>MAX(0,P52-Calculator!$E$25)</f>
      </c>
      <c r="AI52" s="0">
        <f>MAX(0,Q52-Calculator!$E$26)</f>
      </c>
      <c r="AJ52" s="0">
        <f>MAX(0,R52-Calculator!$E$27)</f>
      </c>
      <c r="AK52" s="0">
        <f>MAX(0,S52-Calculator!$E$28)</f>
      </c>
      <c r="AL52" s="0">
        <f>MAX(0,MIN(T52,BX52-SUMPRODUCT(($T$2:$AK$2&lt;T$2)*($T52:$AK52))))</f>
      </c>
      <c r="AM52" s="0">
        <f>MAX(0,MIN(U52,BX52-SUMPRODUCT(($T$2:$AK$2&lt;U$2)*($T52:$AK52))))</f>
      </c>
      <c r="AN52" s="0">
        <f>MAX(0,MIN(V52,BX52-SUMPRODUCT(($T$2:$AK$2&lt;V$2)*($T52:$AK52))))</f>
      </c>
      <c r="AO52" s="0">
        <f>MAX(0,MIN(W52,BX52-SUMPRODUCT(($T$2:$AK$2&lt;W$2)*($T52:$AK52))))</f>
      </c>
      <c r="AP52" s="0">
        <f>MAX(0,MIN(X52,BX52-SUMPRODUCT(($T$2:$AK$2&lt;X$2)*($T52:$AK52))))</f>
      </c>
      <c r="AQ52" s="0">
        <f>MAX(0,MIN(Y52,BX52-SUMPRODUCT(($T$2:$AK$2&lt;Y$2)*($T52:$AK52))))</f>
      </c>
      <c r="AR52" s="0">
        <f>MAX(0,MIN(Z52,BX52-SUMPRODUCT(($T$2:$AK$2&lt;Z$2)*($T52:$AK52))))</f>
      </c>
      <c r="AS52" s="0">
        <f>MAX(0,MIN(AA52,BX52-SUMPRODUCT(($T$2:$AK$2&lt;AA$2)*($T52:$AK52))))</f>
      </c>
      <c r="AT52" s="0">
        <f>MAX(0,MIN(AB52,BX52-SUMPRODUCT(($T$2:$AK$2&lt;AB$2)*($T52:$AK52))))</f>
      </c>
      <c r="AU52" s="0">
        <f>MAX(0,MIN(AC52,BX52-SUMPRODUCT(($T$2:$AK$2&lt;AC$2)*($T52:$AK52))))</f>
      </c>
      <c r="AV52" s="0">
        <f>MAX(0,MIN(AD52,BX52-SUMPRODUCT(($T$2:$AK$2&lt;AD$2)*($T52:$AK52))))</f>
      </c>
      <c r="AW52" s="0">
        <f>MAX(0,MIN(AE52,BX52-SUMPRODUCT(($T$2:$AK$2&lt;AE$2)*($T52:$AK52))))</f>
      </c>
      <c r="AX52" s="0">
        <f>MAX(0,MIN(AF52,BX52-SUMPRODUCT(($T$2:$AK$2&lt;AF$2)*($T52:$AK52))))</f>
      </c>
      <c r="AY52" s="0">
        <f>MAX(0,MIN(AG52,BX52-SUMPRODUCT(($T$2:$AK$2&lt;AG$2)*($T52:$AK52))))</f>
      </c>
      <c r="AZ52" s="0">
        <f>MAX(0,MIN(AH52,BX52-SUMPRODUCT(($T$2:$AK$2&lt;AH$2)*($T52:$AK52))))</f>
      </c>
      <c r="BA52" s="0">
        <f>MAX(0,MIN(AI52,BX52-SUMPRODUCT(($T$2:$AK$2&lt;AI$2)*($T52:$AK52))))</f>
      </c>
      <c r="BB52" s="0">
        <f>MAX(0,MIN(AJ52,BX52-SUMPRODUCT(($T$2:$AK$2&lt;AJ$2)*($T52:$AK52))))</f>
      </c>
      <c r="BC52" s="0">
        <f>MAX(0,MIN(AK52,BX52-SUMPRODUCT(($T$2:$AK$2&lt;AK$2)*($T52:$AK52))))</f>
      </c>
      <c r="BD52" s="0">
        <f>T52-AL52</f>
      </c>
      <c r="BE52" s="0">
        <f>U52-AM52</f>
      </c>
      <c r="BF52" s="0">
        <f>V52-AN52</f>
      </c>
      <c r="BG52" s="0">
        <f>W52-AO52</f>
      </c>
      <c r="BH52" s="0">
        <f>X52-AP52</f>
      </c>
      <c r="BI52" s="0">
        <f>Y52-AQ52</f>
      </c>
      <c r="BJ52" s="0">
        <f>Z52-AR52</f>
      </c>
      <c r="BK52" s="0">
        <f>AA52-AS52</f>
      </c>
      <c r="BL52" s="0">
        <f>AB52-AT52</f>
      </c>
      <c r="BM52" s="0">
        <f>AC52-AU52</f>
      </c>
      <c r="BN52" s="0">
        <f>AD52-AV52</f>
      </c>
      <c r="BO52" s="0">
        <f>AE52-AW52</f>
      </c>
      <c r="BP52" s="0">
        <f>AF52-AX52</f>
      </c>
      <c r="BQ52" s="0">
        <f>AG52-AY52</f>
      </c>
      <c r="BR52" s="0">
        <f>AH52-AZ52</f>
      </c>
      <c r="BS52" s="0">
        <f>AI52-BA52</f>
      </c>
      <c r="BT52" s="0">
        <f>AJ52-BB52</f>
      </c>
      <c r="BU52" s="0">
        <f>AK52-BC52</f>
      </c>
      <c r="BV52" s="0">
        <f>SUM(B52:S52)</f>
      </c>
      <c r="BW52" s="0">
        <f>SUM(T52:AK52)</f>
      </c>
      <c r="BX52" s="0">
        <f>MAX(0,(SUM(Calculator!$E$11:$E$28)+Calculator!$C$6)-BV52+BW52)</f>
      </c>
      <c r="BY52" s="0">
        <f>SUM(BD52:BU52)</f>
      </c>
      <c r="BZ52" s="0">
        <f>BV52-BY51</f>
      </c>
      <c r="CA52" s="0">
        <f>IF(A52&lt;=IF($CD$1=0,999,$CD$1),BY52,NA())</f>
      </c>
      <c r="CB52" s="0">
        <f>IF(A52&lt;=IF($CD$1=0,999,$CD$1),A52,NA())</f>
      </c>
    </row>
    <row r="53">
      <c r="A53" s="0">
        <v>50</v>
      </c>
      <c r="B53" s="0">
        <f>BD52*(1+Calculator!$D$11/100/12)</f>
      </c>
      <c r="C53" s="0">
        <f>BE52*(1+Calculator!$D$12/100/12)</f>
      </c>
      <c r="D53" s="0">
        <f>BF52*(1+Calculator!$D$13/100/12)</f>
      </c>
      <c r="E53" s="0">
        <f>BG52*(1+Calculator!$D$14/100/12)</f>
      </c>
      <c r="F53" s="0">
        <f>BH52*(1+Calculator!$D$15/100/12)</f>
      </c>
      <c r="G53" s="0">
        <f>BI52*(1+Calculator!$D$16/100/12)</f>
      </c>
      <c r="H53" s="0">
        <f>BJ52*(1+Calculator!$D$17/100/12)</f>
      </c>
      <c r="I53" s="0">
        <f>BK52*(1+Calculator!$D$18/100/12)</f>
      </c>
      <c r="J53" s="0">
        <f>BL52*(1+Calculator!$D$19/100/12)</f>
      </c>
      <c r="K53" s="0">
        <f>BM52*(1+Calculator!$D$20/100/12)</f>
      </c>
      <c r="L53" s="0">
        <f>BN52*(1+Calculator!$D$21/100/12)</f>
      </c>
      <c r="M53" s="0">
        <f>BO52*(1+Calculator!$D$22/100/12)</f>
      </c>
      <c r="N53" s="0">
        <f>BP52*(1+Calculator!$D$23/100/12)</f>
      </c>
      <c r="O53" s="0">
        <f>BQ52*(1+Calculator!$D$24/100/12)</f>
      </c>
      <c r="P53" s="0">
        <f>BR52*(1+Calculator!$D$25/100/12)</f>
      </c>
      <c r="Q53" s="0">
        <f>BS52*(1+Calculator!$D$26/100/12)</f>
      </c>
      <c r="R53" s="0">
        <f>BT52*(1+Calculator!$D$27/100/12)</f>
      </c>
      <c r="S53" s="0">
        <f>BU52*(1+Calculator!$D$28/100/12)</f>
      </c>
      <c r="T53" s="0">
        <f>MAX(0,B53-Calculator!$E$11)</f>
      </c>
      <c r="U53" s="0">
        <f>MAX(0,C53-Calculator!$E$12)</f>
      </c>
      <c r="V53" s="0">
        <f>MAX(0,D53-Calculator!$E$13)</f>
      </c>
      <c r="W53" s="0">
        <f>MAX(0,E53-Calculator!$E$14)</f>
      </c>
      <c r="X53" s="0">
        <f>MAX(0,F53-Calculator!$E$15)</f>
      </c>
      <c r="Y53" s="0">
        <f>MAX(0,G53-Calculator!$E$16)</f>
      </c>
      <c r="Z53" s="0">
        <f>MAX(0,H53-Calculator!$E$17)</f>
      </c>
      <c r="AA53" s="0">
        <f>MAX(0,I53-Calculator!$E$18)</f>
      </c>
      <c r="AB53" s="0">
        <f>MAX(0,J53-Calculator!$E$19)</f>
      </c>
      <c r="AC53" s="0">
        <f>MAX(0,K53-Calculator!$E$20)</f>
      </c>
      <c r="AD53" s="0">
        <f>MAX(0,L53-Calculator!$E$21)</f>
      </c>
      <c r="AE53" s="0">
        <f>MAX(0,M53-Calculator!$E$22)</f>
      </c>
      <c r="AF53" s="0">
        <f>MAX(0,N53-Calculator!$E$23)</f>
      </c>
      <c r="AG53" s="0">
        <f>MAX(0,O53-Calculator!$E$24)</f>
      </c>
      <c r="AH53" s="0">
        <f>MAX(0,P53-Calculator!$E$25)</f>
      </c>
      <c r="AI53" s="0">
        <f>MAX(0,Q53-Calculator!$E$26)</f>
      </c>
      <c r="AJ53" s="0">
        <f>MAX(0,R53-Calculator!$E$27)</f>
      </c>
      <c r="AK53" s="0">
        <f>MAX(0,S53-Calculator!$E$28)</f>
      </c>
      <c r="AL53" s="0">
        <f>MAX(0,MIN(T53,BX53-SUMPRODUCT(($T$2:$AK$2&lt;T$2)*($T53:$AK53))))</f>
      </c>
      <c r="AM53" s="0">
        <f>MAX(0,MIN(U53,BX53-SUMPRODUCT(($T$2:$AK$2&lt;U$2)*($T53:$AK53))))</f>
      </c>
      <c r="AN53" s="0">
        <f>MAX(0,MIN(V53,BX53-SUMPRODUCT(($T$2:$AK$2&lt;V$2)*($T53:$AK53))))</f>
      </c>
      <c r="AO53" s="0">
        <f>MAX(0,MIN(W53,BX53-SUMPRODUCT(($T$2:$AK$2&lt;W$2)*($T53:$AK53))))</f>
      </c>
      <c r="AP53" s="0">
        <f>MAX(0,MIN(X53,BX53-SUMPRODUCT(($T$2:$AK$2&lt;X$2)*($T53:$AK53))))</f>
      </c>
      <c r="AQ53" s="0">
        <f>MAX(0,MIN(Y53,BX53-SUMPRODUCT(($T$2:$AK$2&lt;Y$2)*($T53:$AK53))))</f>
      </c>
      <c r="AR53" s="0">
        <f>MAX(0,MIN(Z53,BX53-SUMPRODUCT(($T$2:$AK$2&lt;Z$2)*($T53:$AK53))))</f>
      </c>
      <c r="AS53" s="0">
        <f>MAX(0,MIN(AA53,BX53-SUMPRODUCT(($T$2:$AK$2&lt;AA$2)*($T53:$AK53))))</f>
      </c>
      <c r="AT53" s="0">
        <f>MAX(0,MIN(AB53,BX53-SUMPRODUCT(($T$2:$AK$2&lt;AB$2)*($T53:$AK53))))</f>
      </c>
      <c r="AU53" s="0">
        <f>MAX(0,MIN(AC53,BX53-SUMPRODUCT(($T$2:$AK$2&lt;AC$2)*($T53:$AK53))))</f>
      </c>
      <c r="AV53" s="0">
        <f>MAX(0,MIN(AD53,BX53-SUMPRODUCT(($T$2:$AK$2&lt;AD$2)*($T53:$AK53))))</f>
      </c>
      <c r="AW53" s="0">
        <f>MAX(0,MIN(AE53,BX53-SUMPRODUCT(($T$2:$AK$2&lt;AE$2)*($T53:$AK53))))</f>
      </c>
      <c r="AX53" s="0">
        <f>MAX(0,MIN(AF53,BX53-SUMPRODUCT(($T$2:$AK$2&lt;AF$2)*($T53:$AK53))))</f>
      </c>
      <c r="AY53" s="0">
        <f>MAX(0,MIN(AG53,BX53-SUMPRODUCT(($T$2:$AK$2&lt;AG$2)*($T53:$AK53))))</f>
      </c>
      <c r="AZ53" s="0">
        <f>MAX(0,MIN(AH53,BX53-SUMPRODUCT(($T$2:$AK$2&lt;AH$2)*($T53:$AK53))))</f>
      </c>
      <c r="BA53" s="0">
        <f>MAX(0,MIN(AI53,BX53-SUMPRODUCT(($T$2:$AK$2&lt;AI$2)*($T53:$AK53))))</f>
      </c>
      <c r="BB53" s="0">
        <f>MAX(0,MIN(AJ53,BX53-SUMPRODUCT(($T$2:$AK$2&lt;AJ$2)*($T53:$AK53))))</f>
      </c>
      <c r="BC53" s="0">
        <f>MAX(0,MIN(AK53,BX53-SUMPRODUCT(($T$2:$AK$2&lt;AK$2)*($T53:$AK53))))</f>
      </c>
      <c r="BD53" s="0">
        <f>T53-AL53</f>
      </c>
      <c r="BE53" s="0">
        <f>U53-AM53</f>
      </c>
      <c r="BF53" s="0">
        <f>V53-AN53</f>
      </c>
      <c r="BG53" s="0">
        <f>W53-AO53</f>
      </c>
      <c r="BH53" s="0">
        <f>X53-AP53</f>
      </c>
      <c r="BI53" s="0">
        <f>Y53-AQ53</f>
      </c>
      <c r="BJ53" s="0">
        <f>Z53-AR53</f>
      </c>
      <c r="BK53" s="0">
        <f>AA53-AS53</f>
      </c>
      <c r="BL53" s="0">
        <f>AB53-AT53</f>
      </c>
      <c r="BM53" s="0">
        <f>AC53-AU53</f>
      </c>
      <c r="BN53" s="0">
        <f>AD53-AV53</f>
      </c>
      <c r="BO53" s="0">
        <f>AE53-AW53</f>
      </c>
      <c r="BP53" s="0">
        <f>AF53-AX53</f>
      </c>
      <c r="BQ53" s="0">
        <f>AG53-AY53</f>
      </c>
      <c r="BR53" s="0">
        <f>AH53-AZ53</f>
      </c>
      <c r="BS53" s="0">
        <f>AI53-BA53</f>
      </c>
      <c r="BT53" s="0">
        <f>AJ53-BB53</f>
      </c>
      <c r="BU53" s="0">
        <f>AK53-BC53</f>
      </c>
      <c r="BV53" s="0">
        <f>SUM(B53:S53)</f>
      </c>
      <c r="BW53" s="0">
        <f>SUM(T53:AK53)</f>
      </c>
      <c r="BX53" s="0">
        <f>MAX(0,(SUM(Calculator!$E$11:$E$28)+Calculator!$C$6)-BV53+BW53)</f>
      </c>
      <c r="BY53" s="0">
        <f>SUM(BD53:BU53)</f>
      </c>
      <c r="BZ53" s="0">
        <f>BV53-BY52</f>
      </c>
      <c r="CA53" s="0">
        <f>IF(A53&lt;=IF($CD$1=0,999,$CD$1),BY53,NA())</f>
      </c>
      <c r="CB53" s="0">
        <f>IF(A53&lt;=IF($CD$1=0,999,$CD$1),A53,NA())</f>
      </c>
    </row>
    <row r="54">
      <c r="A54" s="0">
        <v>51</v>
      </c>
      <c r="B54" s="0">
        <f>BD53*(1+Calculator!$D$11/100/12)</f>
      </c>
      <c r="C54" s="0">
        <f>BE53*(1+Calculator!$D$12/100/12)</f>
      </c>
      <c r="D54" s="0">
        <f>BF53*(1+Calculator!$D$13/100/12)</f>
      </c>
      <c r="E54" s="0">
        <f>BG53*(1+Calculator!$D$14/100/12)</f>
      </c>
      <c r="F54" s="0">
        <f>BH53*(1+Calculator!$D$15/100/12)</f>
      </c>
      <c r="G54" s="0">
        <f>BI53*(1+Calculator!$D$16/100/12)</f>
      </c>
      <c r="H54" s="0">
        <f>BJ53*(1+Calculator!$D$17/100/12)</f>
      </c>
      <c r="I54" s="0">
        <f>BK53*(1+Calculator!$D$18/100/12)</f>
      </c>
      <c r="J54" s="0">
        <f>BL53*(1+Calculator!$D$19/100/12)</f>
      </c>
      <c r="K54" s="0">
        <f>BM53*(1+Calculator!$D$20/100/12)</f>
      </c>
      <c r="L54" s="0">
        <f>BN53*(1+Calculator!$D$21/100/12)</f>
      </c>
      <c r="M54" s="0">
        <f>BO53*(1+Calculator!$D$22/100/12)</f>
      </c>
      <c r="N54" s="0">
        <f>BP53*(1+Calculator!$D$23/100/12)</f>
      </c>
      <c r="O54" s="0">
        <f>BQ53*(1+Calculator!$D$24/100/12)</f>
      </c>
      <c r="P54" s="0">
        <f>BR53*(1+Calculator!$D$25/100/12)</f>
      </c>
      <c r="Q54" s="0">
        <f>BS53*(1+Calculator!$D$26/100/12)</f>
      </c>
      <c r="R54" s="0">
        <f>BT53*(1+Calculator!$D$27/100/12)</f>
      </c>
      <c r="S54" s="0">
        <f>BU53*(1+Calculator!$D$28/100/12)</f>
      </c>
      <c r="T54" s="0">
        <f>MAX(0,B54-Calculator!$E$11)</f>
      </c>
      <c r="U54" s="0">
        <f>MAX(0,C54-Calculator!$E$12)</f>
      </c>
      <c r="V54" s="0">
        <f>MAX(0,D54-Calculator!$E$13)</f>
      </c>
      <c r="W54" s="0">
        <f>MAX(0,E54-Calculator!$E$14)</f>
      </c>
      <c r="X54" s="0">
        <f>MAX(0,F54-Calculator!$E$15)</f>
      </c>
      <c r="Y54" s="0">
        <f>MAX(0,G54-Calculator!$E$16)</f>
      </c>
      <c r="Z54" s="0">
        <f>MAX(0,H54-Calculator!$E$17)</f>
      </c>
      <c r="AA54" s="0">
        <f>MAX(0,I54-Calculator!$E$18)</f>
      </c>
      <c r="AB54" s="0">
        <f>MAX(0,J54-Calculator!$E$19)</f>
      </c>
      <c r="AC54" s="0">
        <f>MAX(0,K54-Calculator!$E$20)</f>
      </c>
      <c r="AD54" s="0">
        <f>MAX(0,L54-Calculator!$E$21)</f>
      </c>
      <c r="AE54" s="0">
        <f>MAX(0,M54-Calculator!$E$22)</f>
      </c>
      <c r="AF54" s="0">
        <f>MAX(0,N54-Calculator!$E$23)</f>
      </c>
      <c r="AG54" s="0">
        <f>MAX(0,O54-Calculator!$E$24)</f>
      </c>
      <c r="AH54" s="0">
        <f>MAX(0,P54-Calculator!$E$25)</f>
      </c>
      <c r="AI54" s="0">
        <f>MAX(0,Q54-Calculator!$E$26)</f>
      </c>
      <c r="AJ54" s="0">
        <f>MAX(0,R54-Calculator!$E$27)</f>
      </c>
      <c r="AK54" s="0">
        <f>MAX(0,S54-Calculator!$E$28)</f>
      </c>
      <c r="AL54" s="0">
        <f>MAX(0,MIN(T54,BX54-SUMPRODUCT(($T$2:$AK$2&lt;T$2)*($T54:$AK54))))</f>
      </c>
      <c r="AM54" s="0">
        <f>MAX(0,MIN(U54,BX54-SUMPRODUCT(($T$2:$AK$2&lt;U$2)*($T54:$AK54))))</f>
      </c>
      <c r="AN54" s="0">
        <f>MAX(0,MIN(V54,BX54-SUMPRODUCT(($T$2:$AK$2&lt;V$2)*($T54:$AK54))))</f>
      </c>
      <c r="AO54" s="0">
        <f>MAX(0,MIN(W54,BX54-SUMPRODUCT(($T$2:$AK$2&lt;W$2)*($T54:$AK54))))</f>
      </c>
      <c r="AP54" s="0">
        <f>MAX(0,MIN(X54,BX54-SUMPRODUCT(($T$2:$AK$2&lt;X$2)*($T54:$AK54))))</f>
      </c>
      <c r="AQ54" s="0">
        <f>MAX(0,MIN(Y54,BX54-SUMPRODUCT(($T$2:$AK$2&lt;Y$2)*($T54:$AK54))))</f>
      </c>
      <c r="AR54" s="0">
        <f>MAX(0,MIN(Z54,BX54-SUMPRODUCT(($T$2:$AK$2&lt;Z$2)*($T54:$AK54))))</f>
      </c>
      <c r="AS54" s="0">
        <f>MAX(0,MIN(AA54,BX54-SUMPRODUCT(($T$2:$AK$2&lt;AA$2)*($T54:$AK54))))</f>
      </c>
      <c r="AT54" s="0">
        <f>MAX(0,MIN(AB54,BX54-SUMPRODUCT(($T$2:$AK$2&lt;AB$2)*($T54:$AK54))))</f>
      </c>
      <c r="AU54" s="0">
        <f>MAX(0,MIN(AC54,BX54-SUMPRODUCT(($T$2:$AK$2&lt;AC$2)*($T54:$AK54))))</f>
      </c>
      <c r="AV54" s="0">
        <f>MAX(0,MIN(AD54,BX54-SUMPRODUCT(($T$2:$AK$2&lt;AD$2)*($T54:$AK54))))</f>
      </c>
      <c r="AW54" s="0">
        <f>MAX(0,MIN(AE54,BX54-SUMPRODUCT(($T$2:$AK$2&lt;AE$2)*($T54:$AK54))))</f>
      </c>
      <c r="AX54" s="0">
        <f>MAX(0,MIN(AF54,BX54-SUMPRODUCT(($T$2:$AK$2&lt;AF$2)*($T54:$AK54))))</f>
      </c>
      <c r="AY54" s="0">
        <f>MAX(0,MIN(AG54,BX54-SUMPRODUCT(($T$2:$AK$2&lt;AG$2)*($T54:$AK54))))</f>
      </c>
      <c r="AZ54" s="0">
        <f>MAX(0,MIN(AH54,BX54-SUMPRODUCT(($T$2:$AK$2&lt;AH$2)*($T54:$AK54))))</f>
      </c>
      <c r="BA54" s="0">
        <f>MAX(0,MIN(AI54,BX54-SUMPRODUCT(($T$2:$AK$2&lt;AI$2)*($T54:$AK54))))</f>
      </c>
      <c r="BB54" s="0">
        <f>MAX(0,MIN(AJ54,BX54-SUMPRODUCT(($T$2:$AK$2&lt;AJ$2)*($T54:$AK54))))</f>
      </c>
      <c r="BC54" s="0">
        <f>MAX(0,MIN(AK54,BX54-SUMPRODUCT(($T$2:$AK$2&lt;AK$2)*($T54:$AK54))))</f>
      </c>
      <c r="BD54" s="0">
        <f>T54-AL54</f>
      </c>
      <c r="BE54" s="0">
        <f>U54-AM54</f>
      </c>
      <c r="BF54" s="0">
        <f>V54-AN54</f>
      </c>
      <c r="BG54" s="0">
        <f>W54-AO54</f>
      </c>
      <c r="BH54" s="0">
        <f>X54-AP54</f>
      </c>
      <c r="BI54" s="0">
        <f>Y54-AQ54</f>
      </c>
      <c r="BJ54" s="0">
        <f>Z54-AR54</f>
      </c>
      <c r="BK54" s="0">
        <f>AA54-AS54</f>
      </c>
      <c r="BL54" s="0">
        <f>AB54-AT54</f>
      </c>
      <c r="BM54" s="0">
        <f>AC54-AU54</f>
      </c>
      <c r="BN54" s="0">
        <f>AD54-AV54</f>
      </c>
      <c r="BO54" s="0">
        <f>AE54-AW54</f>
      </c>
      <c r="BP54" s="0">
        <f>AF54-AX54</f>
      </c>
      <c r="BQ54" s="0">
        <f>AG54-AY54</f>
      </c>
      <c r="BR54" s="0">
        <f>AH54-AZ54</f>
      </c>
      <c r="BS54" s="0">
        <f>AI54-BA54</f>
      </c>
      <c r="BT54" s="0">
        <f>AJ54-BB54</f>
      </c>
      <c r="BU54" s="0">
        <f>AK54-BC54</f>
      </c>
      <c r="BV54" s="0">
        <f>SUM(B54:S54)</f>
      </c>
      <c r="BW54" s="0">
        <f>SUM(T54:AK54)</f>
      </c>
      <c r="BX54" s="0">
        <f>MAX(0,(SUM(Calculator!$E$11:$E$28)+Calculator!$C$6)-BV54+BW54)</f>
      </c>
      <c r="BY54" s="0">
        <f>SUM(BD54:BU54)</f>
      </c>
      <c r="BZ54" s="0">
        <f>BV54-BY53</f>
      </c>
      <c r="CA54" s="0">
        <f>IF(A54&lt;=IF($CD$1=0,999,$CD$1),BY54,NA())</f>
      </c>
      <c r="CB54" s="0">
        <f>IF(A54&lt;=IF($CD$1=0,999,$CD$1),A54,NA())</f>
      </c>
    </row>
    <row r="55">
      <c r="A55" s="0">
        <v>52</v>
      </c>
      <c r="B55" s="0">
        <f>BD54*(1+Calculator!$D$11/100/12)</f>
      </c>
      <c r="C55" s="0">
        <f>BE54*(1+Calculator!$D$12/100/12)</f>
      </c>
      <c r="D55" s="0">
        <f>BF54*(1+Calculator!$D$13/100/12)</f>
      </c>
      <c r="E55" s="0">
        <f>BG54*(1+Calculator!$D$14/100/12)</f>
      </c>
      <c r="F55" s="0">
        <f>BH54*(1+Calculator!$D$15/100/12)</f>
      </c>
      <c r="G55" s="0">
        <f>BI54*(1+Calculator!$D$16/100/12)</f>
      </c>
      <c r="H55" s="0">
        <f>BJ54*(1+Calculator!$D$17/100/12)</f>
      </c>
      <c r="I55" s="0">
        <f>BK54*(1+Calculator!$D$18/100/12)</f>
      </c>
      <c r="J55" s="0">
        <f>BL54*(1+Calculator!$D$19/100/12)</f>
      </c>
      <c r="K55" s="0">
        <f>BM54*(1+Calculator!$D$20/100/12)</f>
      </c>
      <c r="L55" s="0">
        <f>BN54*(1+Calculator!$D$21/100/12)</f>
      </c>
      <c r="M55" s="0">
        <f>BO54*(1+Calculator!$D$22/100/12)</f>
      </c>
      <c r="N55" s="0">
        <f>BP54*(1+Calculator!$D$23/100/12)</f>
      </c>
      <c r="O55" s="0">
        <f>BQ54*(1+Calculator!$D$24/100/12)</f>
      </c>
      <c r="P55" s="0">
        <f>BR54*(1+Calculator!$D$25/100/12)</f>
      </c>
      <c r="Q55" s="0">
        <f>BS54*(1+Calculator!$D$26/100/12)</f>
      </c>
      <c r="R55" s="0">
        <f>BT54*(1+Calculator!$D$27/100/12)</f>
      </c>
      <c r="S55" s="0">
        <f>BU54*(1+Calculator!$D$28/100/12)</f>
      </c>
      <c r="T55" s="0">
        <f>MAX(0,B55-Calculator!$E$11)</f>
      </c>
      <c r="U55" s="0">
        <f>MAX(0,C55-Calculator!$E$12)</f>
      </c>
      <c r="V55" s="0">
        <f>MAX(0,D55-Calculator!$E$13)</f>
      </c>
      <c r="W55" s="0">
        <f>MAX(0,E55-Calculator!$E$14)</f>
      </c>
      <c r="X55" s="0">
        <f>MAX(0,F55-Calculator!$E$15)</f>
      </c>
      <c r="Y55" s="0">
        <f>MAX(0,G55-Calculator!$E$16)</f>
      </c>
      <c r="Z55" s="0">
        <f>MAX(0,H55-Calculator!$E$17)</f>
      </c>
      <c r="AA55" s="0">
        <f>MAX(0,I55-Calculator!$E$18)</f>
      </c>
      <c r="AB55" s="0">
        <f>MAX(0,J55-Calculator!$E$19)</f>
      </c>
      <c r="AC55" s="0">
        <f>MAX(0,K55-Calculator!$E$20)</f>
      </c>
      <c r="AD55" s="0">
        <f>MAX(0,L55-Calculator!$E$21)</f>
      </c>
      <c r="AE55" s="0">
        <f>MAX(0,M55-Calculator!$E$22)</f>
      </c>
      <c r="AF55" s="0">
        <f>MAX(0,N55-Calculator!$E$23)</f>
      </c>
      <c r="AG55" s="0">
        <f>MAX(0,O55-Calculator!$E$24)</f>
      </c>
      <c r="AH55" s="0">
        <f>MAX(0,P55-Calculator!$E$25)</f>
      </c>
      <c r="AI55" s="0">
        <f>MAX(0,Q55-Calculator!$E$26)</f>
      </c>
      <c r="AJ55" s="0">
        <f>MAX(0,R55-Calculator!$E$27)</f>
      </c>
      <c r="AK55" s="0">
        <f>MAX(0,S55-Calculator!$E$28)</f>
      </c>
      <c r="AL55" s="0">
        <f>MAX(0,MIN(T55,BX55-SUMPRODUCT(($T$2:$AK$2&lt;T$2)*($T55:$AK55))))</f>
      </c>
      <c r="AM55" s="0">
        <f>MAX(0,MIN(U55,BX55-SUMPRODUCT(($T$2:$AK$2&lt;U$2)*($T55:$AK55))))</f>
      </c>
      <c r="AN55" s="0">
        <f>MAX(0,MIN(V55,BX55-SUMPRODUCT(($T$2:$AK$2&lt;V$2)*($T55:$AK55))))</f>
      </c>
      <c r="AO55" s="0">
        <f>MAX(0,MIN(W55,BX55-SUMPRODUCT(($T$2:$AK$2&lt;W$2)*($T55:$AK55))))</f>
      </c>
      <c r="AP55" s="0">
        <f>MAX(0,MIN(X55,BX55-SUMPRODUCT(($T$2:$AK$2&lt;X$2)*($T55:$AK55))))</f>
      </c>
      <c r="AQ55" s="0">
        <f>MAX(0,MIN(Y55,BX55-SUMPRODUCT(($T$2:$AK$2&lt;Y$2)*($T55:$AK55))))</f>
      </c>
      <c r="AR55" s="0">
        <f>MAX(0,MIN(Z55,BX55-SUMPRODUCT(($T$2:$AK$2&lt;Z$2)*($T55:$AK55))))</f>
      </c>
      <c r="AS55" s="0">
        <f>MAX(0,MIN(AA55,BX55-SUMPRODUCT(($T$2:$AK$2&lt;AA$2)*($T55:$AK55))))</f>
      </c>
      <c r="AT55" s="0">
        <f>MAX(0,MIN(AB55,BX55-SUMPRODUCT(($T$2:$AK$2&lt;AB$2)*($T55:$AK55))))</f>
      </c>
      <c r="AU55" s="0">
        <f>MAX(0,MIN(AC55,BX55-SUMPRODUCT(($T$2:$AK$2&lt;AC$2)*($T55:$AK55))))</f>
      </c>
      <c r="AV55" s="0">
        <f>MAX(0,MIN(AD55,BX55-SUMPRODUCT(($T$2:$AK$2&lt;AD$2)*($T55:$AK55))))</f>
      </c>
      <c r="AW55" s="0">
        <f>MAX(0,MIN(AE55,BX55-SUMPRODUCT(($T$2:$AK$2&lt;AE$2)*($T55:$AK55))))</f>
      </c>
      <c r="AX55" s="0">
        <f>MAX(0,MIN(AF55,BX55-SUMPRODUCT(($T$2:$AK$2&lt;AF$2)*($T55:$AK55))))</f>
      </c>
      <c r="AY55" s="0">
        <f>MAX(0,MIN(AG55,BX55-SUMPRODUCT(($T$2:$AK$2&lt;AG$2)*($T55:$AK55))))</f>
      </c>
      <c r="AZ55" s="0">
        <f>MAX(0,MIN(AH55,BX55-SUMPRODUCT(($T$2:$AK$2&lt;AH$2)*($T55:$AK55))))</f>
      </c>
      <c r="BA55" s="0">
        <f>MAX(0,MIN(AI55,BX55-SUMPRODUCT(($T$2:$AK$2&lt;AI$2)*($T55:$AK55))))</f>
      </c>
      <c r="BB55" s="0">
        <f>MAX(0,MIN(AJ55,BX55-SUMPRODUCT(($T$2:$AK$2&lt;AJ$2)*($T55:$AK55))))</f>
      </c>
      <c r="BC55" s="0">
        <f>MAX(0,MIN(AK55,BX55-SUMPRODUCT(($T$2:$AK$2&lt;AK$2)*($T55:$AK55))))</f>
      </c>
      <c r="BD55" s="0">
        <f>T55-AL55</f>
      </c>
      <c r="BE55" s="0">
        <f>U55-AM55</f>
      </c>
      <c r="BF55" s="0">
        <f>V55-AN55</f>
      </c>
      <c r="BG55" s="0">
        <f>W55-AO55</f>
      </c>
      <c r="BH55" s="0">
        <f>X55-AP55</f>
      </c>
      <c r="BI55" s="0">
        <f>Y55-AQ55</f>
      </c>
      <c r="BJ55" s="0">
        <f>Z55-AR55</f>
      </c>
      <c r="BK55" s="0">
        <f>AA55-AS55</f>
      </c>
      <c r="BL55" s="0">
        <f>AB55-AT55</f>
      </c>
      <c r="BM55" s="0">
        <f>AC55-AU55</f>
      </c>
      <c r="BN55" s="0">
        <f>AD55-AV55</f>
      </c>
      <c r="BO55" s="0">
        <f>AE55-AW55</f>
      </c>
      <c r="BP55" s="0">
        <f>AF55-AX55</f>
      </c>
      <c r="BQ55" s="0">
        <f>AG55-AY55</f>
      </c>
      <c r="BR55" s="0">
        <f>AH55-AZ55</f>
      </c>
      <c r="BS55" s="0">
        <f>AI55-BA55</f>
      </c>
      <c r="BT55" s="0">
        <f>AJ55-BB55</f>
      </c>
      <c r="BU55" s="0">
        <f>AK55-BC55</f>
      </c>
      <c r="BV55" s="0">
        <f>SUM(B55:S55)</f>
      </c>
      <c r="BW55" s="0">
        <f>SUM(T55:AK55)</f>
      </c>
      <c r="BX55" s="0">
        <f>MAX(0,(SUM(Calculator!$E$11:$E$28)+Calculator!$C$6)-BV55+BW55)</f>
      </c>
      <c r="BY55" s="0">
        <f>SUM(BD55:BU55)</f>
      </c>
      <c r="BZ55" s="0">
        <f>BV55-BY54</f>
      </c>
      <c r="CA55" s="0">
        <f>IF(A55&lt;=IF($CD$1=0,999,$CD$1),BY55,NA())</f>
      </c>
      <c r="CB55" s="0">
        <f>IF(A55&lt;=IF($CD$1=0,999,$CD$1),A55,NA())</f>
      </c>
    </row>
    <row r="56">
      <c r="A56" s="0">
        <v>53</v>
      </c>
      <c r="B56" s="0">
        <f>BD55*(1+Calculator!$D$11/100/12)</f>
      </c>
      <c r="C56" s="0">
        <f>BE55*(1+Calculator!$D$12/100/12)</f>
      </c>
      <c r="D56" s="0">
        <f>BF55*(1+Calculator!$D$13/100/12)</f>
      </c>
      <c r="E56" s="0">
        <f>BG55*(1+Calculator!$D$14/100/12)</f>
      </c>
      <c r="F56" s="0">
        <f>BH55*(1+Calculator!$D$15/100/12)</f>
      </c>
      <c r="G56" s="0">
        <f>BI55*(1+Calculator!$D$16/100/12)</f>
      </c>
      <c r="H56" s="0">
        <f>BJ55*(1+Calculator!$D$17/100/12)</f>
      </c>
      <c r="I56" s="0">
        <f>BK55*(1+Calculator!$D$18/100/12)</f>
      </c>
      <c r="J56" s="0">
        <f>BL55*(1+Calculator!$D$19/100/12)</f>
      </c>
      <c r="K56" s="0">
        <f>BM55*(1+Calculator!$D$20/100/12)</f>
      </c>
      <c r="L56" s="0">
        <f>BN55*(1+Calculator!$D$21/100/12)</f>
      </c>
      <c r="M56" s="0">
        <f>BO55*(1+Calculator!$D$22/100/12)</f>
      </c>
      <c r="N56" s="0">
        <f>BP55*(1+Calculator!$D$23/100/12)</f>
      </c>
      <c r="O56" s="0">
        <f>BQ55*(1+Calculator!$D$24/100/12)</f>
      </c>
      <c r="P56" s="0">
        <f>BR55*(1+Calculator!$D$25/100/12)</f>
      </c>
      <c r="Q56" s="0">
        <f>BS55*(1+Calculator!$D$26/100/12)</f>
      </c>
      <c r="R56" s="0">
        <f>BT55*(1+Calculator!$D$27/100/12)</f>
      </c>
      <c r="S56" s="0">
        <f>BU55*(1+Calculator!$D$28/100/12)</f>
      </c>
      <c r="T56" s="0">
        <f>MAX(0,B56-Calculator!$E$11)</f>
      </c>
      <c r="U56" s="0">
        <f>MAX(0,C56-Calculator!$E$12)</f>
      </c>
      <c r="V56" s="0">
        <f>MAX(0,D56-Calculator!$E$13)</f>
      </c>
      <c r="W56" s="0">
        <f>MAX(0,E56-Calculator!$E$14)</f>
      </c>
      <c r="X56" s="0">
        <f>MAX(0,F56-Calculator!$E$15)</f>
      </c>
      <c r="Y56" s="0">
        <f>MAX(0,G56-Calculator!$E$16)</f>
      </c>
      <c r="Z56" s="0">
        <f>MAX(0,H56-Calculator!$E$17)</f>
      </c>
      <c r="AA56" s="0">
        <f>MAX(0,I56-Calculator!$E$18)</f>
      </c>
      <c r="AB56" s="0">
        <f>MAX(0,J56-Calculator!$E$19)</f>
      </c>
      <c r="AC56" s="0">
        <f>MAX(0,K56-Calculator!$E$20)</f>
      </c>
      <c r="AD56" s="0">
        <f>MAX(0,L56-Calculator!$E$21)</f>
      </c>
      <c r="AE56" s="0">
        <f>MAX(0,M56-Calculator!$E$22)</f>
      </c>
      <c r="AF56" s="0">
        <f>MAX(0,N56-Calculator!$E$23)</f>
      </c>
      <c r="AG56" s="0">
        <f>MAX(0,O56-Calculator!$E$24)</f>
      </c>
      <c r="AH56" s="0">
        <f>MAX(0,P56-Calculator!$E$25)</f>
      </c>
      <c r="AI56" s="0">
        <f>MAX(0,Q56-Calculator!$E$26)</f>
      </c>
      <c r="AJ56" s="0">
        <f>MAX(0,R56-Calculator!$E$27)</f>
      </c>
      <c r="AK56" s="0">
        <f>MAX(0,S56-Calculator!$E$28)</f>
      </c>
      <c r="AL56" s="0">
        <f>MAX(0,MIN(T56,BX56-SUMPRODUCT(($T$2:$AK$2&lt;T$2)*($T56:$AK56))))</f>
      </c>
      <c r="AM56" s="0">
        <f>MAX(0,MIN(U56,BX56-SUMPRODUCT(($T$2:$AK$2&lt;U$2)*($T56:$AK56))))</f>
      </c>
      <c r="AN56" s="0">
        <f>MAX(0,MIN(V56,BX56-SUMPRODUCT(($T$2:$AK$2&lt;V$2)*($T56:$AK56))))</f>
      </c>
      <c r="AO56" s="0">
        <f>MAX(0,MIN(W56,BX56-SUMPRODUCT(($T$2:$AK$2&lt;W$2)*($T56:$AK56))))</f>
      </c>
      <c r="AP56" s="0">
        <f>MAX(0,MIN(X56,BX56-SUMPRODUCT(($T$2:$AK$2&lt;X$2)*($T56:$AK56))))</f>
      </c>
      <c r="AQ56" s="0">
        <f>MAX(0,MIN(Y56,BX56-SUMPRODUCT(($T$2:$AK$2&lt;Y$2)*($T56:$AK56))))</f>
      </c>
      <c r="AR56" s="0">
        <f>MAX(0,MIN(Z56,BX56-SUMPRODUCT(($T$2:$AK$2&lt;Z$2)*($T56:$AK56))))</f>
      </c>
      <c r="AS56" s="0">
        <f>MAX(0,MIN(AA56,BX56-SUMPRODUCT(($T$2:$AK$2&lt;AA$2)*($T56:$AK56))))</f>
      </c>
      <c r="AT56" s="0">
        <f>MAX(0,MIN(AB56,BX56-SUMPRODUCT(($T$2:$AK$2&lt;AB$2)*($T56:$AK56))))</f>
      </c>
      <c r="AU56" s="0">
        <f>MAX(0,MIN(AC56,BX56-SUMPRODUCT(($T$2:$AK$2&lt;AC$2)*($T56:$AK56))))</f>
      </c>
      <c r="AV56" s="0">
        <f>MAX(0,MIN(AD56,BX56-SUMPRODUCT(($T$2:$AK$2&lt;AD$2)*($T56:$AK56))))</f>
      </c>
      <c r="AW56" s="0">
        <f>MAX(0,MIN(AE56,BX56-SUMPRODUCT(($T$2:$AK$2&lt;AE$2)*($T56:$AK56))))</f>
      </c>
      <c r="AX56" s="0">
        <f>MAX(0,MIN(AF56,BX56-SUMPRODUCT(($T$2:$AK$2&lt;AF$2)*($T56:$AK56))))</f>
      </c>
      <c r="AY56" s="0">
        <f>MAX(0,MIN(AG56,BX56-SUMPRODUCT(($T$2:$AK$2&lt;AG$2)*($T56:$AK56))))</f>
      </c>
      <c r="AZ56" s="0">
        <f>MAX(0,MIN(AH56,BX56-SUMPRODUCT(($T$2:$AK$2&lt;AH$2)*($T56:$AK56))))</f>
      </c>
      <c r="BA56" s="0">
        <f>MAX(0,MIN(AI56,BX56-SUMPRODUCT(($T$2:$AK$2&lt;AI$2)*($T56:$AK56))))</f>
      </c>
      <c r="BB56" s="0">
        <f>MAX(0,MIN(AJ56,BX56-SUMPRODUCT(($T$2:$AK$2&lt;AJ$2)*($T56:$AK56))))</f>
      </c>
      <c r="BC56" s="0">
        <f>MAX(0,MIN(AK56,BX56-SUMPRODUCT(($T$2:$AK$2&lt;AK$2)*($T56:$AK56))))</f>
      </c>
      <c r="BD56" s="0">
        <f>T56-AL56</f>
      </c>
      <c r="BE56" s="0">
        <f>U56-AM56</f>
      </c>
      <c r="BF56" s="0">
        <f>V56-AN56</f>
      </c>
      <c r="BG56" s="0">
        <f>W56-AO56</f>
      </c>
      <c r="BH56" s="0">
        <f>X56-AP56</f>
      </c>
      <c r="BI56" s="0">
        <f>Y56-AQ56</f>
      </c>
      <c r="BJ56" s="0">
        <f>Z56-AR56</f>
      </c>
      <c r="BK56" s="0">
        <f>AA56-AS56</f>
      </c>
      <c r="BL56" s="0">
        <f>AB56-AT56</f>
      </c>
      <c r="BM56" s="0">
        <f>AC56-AU56</f>
      </c>
      <c r="BN56" s="0">
        <f>AD56-AV56</f>
      </c>
      <c r="BO56" s="0">
        <f>AE56-AW56</f>
      </c>
      <c r="BP56" s="0">
        <f>AF56-AX56</f>
      </c>
      <c r="BQ56" s="0">
        <f>AG56-AY56</f>
      </c>
      <c r="BR56" s="0">
        <f>AH56-AZ56</f>
      </c>
      <c r="BS56" s="0">
        <f>AI56-BA56</f>
      </c>
      <c r="BT56" s="0">
        <f>AJ56-BB56</f>
      </c>
      <c r="BU56" s="0">
        <f>AK56-BC56</f>
      </c>
      <c r="BV56" s="0">
        <f>SUM(B56:S56)</f>
      </c>
      <c r="BW56" s="0">
        <f>SUM(T56:AK56)</f>
      </c>
      <c r="BX56" s="0">
        <f>MAX(0,(SUM(Calculator!$E$11:$E$28)+Calculator!$C$6)-BV56+BW56)</f>
      </c>
      <c r="BY56" s="0">
        <f>SUM(BD56:BU56)</f>
      </c>
      <c r="BZ56" s="0">
        <f>BV56-BY55</f>
      </c>
      <c r="CA56" s="0">
        <f>IF(A56&lt;=IF($CD$1=0,999,$CD$1),BY56,NA())</f>
      </c>
      <c r="CB56" s="0">
        <f>IF(A56&lt;=IF($CD$1=0,999,$CD$1),A56,NA())</f>
      </c>
    </row>
    <row r="57">
      <c r="A57" s="0">
        <v>54</v>
      </c>
      <c r="B57" s="0">
        <f>BD56*(1+Calculator!$D$11/100/12)</f>
      </c>
      <c r="C57" s="0">
        <f>BE56*(1+Calculator!$D$12/100/12)</f>
      </c>
      <c r="D57" s="0">
        <f>BF56*(1+Calculator!$D$13/100/12)</f>
      </c>
      <c r="E57" s="0">
        <f>BG56*(1+Calculator!$D$14/100/12)</f>
      </c>
      <c r="F57" s="0">
        <f>BH56*(1+Calculator!$D$15/100/12)</f>
      </c>
      <c r="G57" s="0">
        <f>BI56*(1+Calculator!$D$16/100/12)</f>
      </c>
      <c r="H57" s="0">
        <f>BJ56*(1+Calculator!$D$17/100/12)</f>
      </c>
      <c r="I57" s="0">
        <f>BK56*(1+Calculator!$D$18/100/12)</f>
      </c>
      <c r="J57" s="0">
        <f>BL56*(1+Calculator!$D$19/100/12)</f>
      </c>
      <c r="K57" s="0">
        <f>BM56*(1+Calculator!$D$20/100/12)</f>
      </c>
      <c r="L57" s="0">
        <f>BN56*(1+Calculator!$D$21/100/12)</f>
      </c>
      <c r="M57" s="0">
        <f>BO56*(1+Calculator!$D$22/100/12)</f>
      </c>
      <c r="N57" s="0">
        <f>BP56*(1+Calculator!$D$23/100/12)</f>
      </c>
      <c r="O57" s="0">
        <f>BQ56*(1+Calculator!$D$24/100/12)</f>
      </c>
      <c r="P57" s="0">
        <f>BR56*(1+Calculator!$D$25/100/12)</f>
      </c>
      <c r="Q57" s="0">
        <f>BS56*(1+Calculator!$D$26/100/12)</f>
      </c>
      <c r="R57" s="0">
        <f>BT56*(1+Calculator!$D$27/100/12)</f>
      </c>
      <c r="S57" s="0">
        <f>BU56*(1+Calculator!$D$28/100/12)</f>
      </c>
      <c r="T57" s="0">
        <f>MAX(0,B57-Calculator!$E$11)</f>
      </c>
      <c r="U57" s="0">
        <f>MAX(0,C57-Calculator!$E$12)</f>
      </c>
      <c r="V57" s="0">
        <f>MAX(0,D57-Calculator!$E$13)</f>
      </c>
      <c r="W57" s="0">
        <f>MAX(0,E57-Calculator!$E$14)</f>
      </c>
      <c r="X57" s="0">
        <f>MAX(0,F57-Calculator!$E$15)</f>
      </c>
      <c r="Y57" s="0">
        <f>MAX(0,G57-Calculator!$E$16)</f>
      </c>
      <c r="Z57" s="0">
        <f>MAX(0,H57-Calculator!$E$17)</f>
      </c>
      <c r="AA57" s="0">
        <f>MAX(0,I57-Calculator!$E$18)</f>
      </c>
      <c r="AB57" s="0">
        <f>MAX(0,J57-Calculator!$E$19)</f>
      </c>
      <c r="AC57" s="0">
        <f>MAX(0,K57-Calculator!$E$20)</f>
      </c>
      <c r="AD57" s="0">
        <f>MAX(0,L57-Calculator!$E$21)</f>
      </c>
      <c r="AE57" s="0">
        <f>MAX(0,M57-Calculator!$E$22)</f>
      </c>
      <c r="AF57" s="0">
        <f>MAX(0,N57-Calculator!$E$23)</f>
      </c>
      <c r="AG57" s="0">
        <f>MAX(0,O57-Calculator!$E$24)</f>
      </c>
      <c r="AH57" s="0">
        <f>MAX(0,P57-Calculator!$E$25)</f>
      </c>
      <c r="AI57" s="0">
        <f>MAX(0,Q57-Calculator!$E$26)</f>
      </c>
      <c r="AJ57" s="0">
        <f>MAX(0,R57-Calculator!$E$27)</f>
      </c>
      <c r="AK57" s="0">
        <f>MAX(0,S57-Calculator!$E$28)</f>
      </c>
      <c r="AL57" s="0">
        <f>MAX(0,MIN(T57,BX57-SUMPRODUCT(($T$2:$AK$2&lt;T$2)*($T57:$AK57))))</f>
      </c>
      <c r="AM57" s="0">
        <f>MAX(0,MIN(U57,BX57-SUMPRODUCT(($T$2:$AK$2&lt;U$2)*($T57:$AK57))))</f>
      </c>
      <c r="AN57" s="0">
        <f>MAX(0,MIN(V57,BX57-SUMPRODUCT(($T$2:$AK$2&lt;V$2)*($T57:$AK57))))</f>
      </c>
      <c r="AO57" s="0">
        <f>MAX(0,MIN(W57,BX57-SUMPRODUCT(($T$2:$AK$2&lt;W$2)*($T57:$AK57))))</f>
      </c>
      <c r="AP57" s="0">
        <f>MAX(0,MIN(X57,BX57-SUMPRODUCT(($T$2:$AK$2&lt;X$2)*($T57:$AK57))))</f>
      </c>
      <c r="AQ57" s="0">
        <f>MAX(0,MIN(Y57,BX57-SUMPRODUCT(($T$2:$AK$2&lt;Y$2)*($T57:$AK57))))</f>
      </c>
      <c r="AR57" s="0">
        <f>MAX(0,MIN(Z57,BX57-SUMPRODUCT(($T$2:$AK$2&lt;Z$2)*($T57:$AK57))))</f>
      </c>
      <c r="AS57" s="0">
        <f>MAX(0,MIN(AA57,BX57-SUMPRODUCT(($T$2:$AK$2&lt;AA$2)*($T57:$AK57))))</f>
      </c>
      <c r="AT57" s="0">
        <f>MAX(0,MIN(AB57,BX57-SUMPRODUCT(($T$2:$AK$2&lt;AB$2)*($T57:$AK57))))</f>
      </c>
      <c r="AU57" s="0">
        <f>MAX(0,MIN(AC57,BX57-SUMPRODUCT(($T$2:$AK$2&lt;AC$2)*($T57:$AK57))))</f>
      </c>
      <c r="AV57" s="0">
        <f>MAX(0,MIN(AD57,BX57-SUMPRODUCT(($T$2:$AK$2&lt;AD$2)*($T57:$AK57))))</f>
      </c>
      <c r="AW57" s="0">
        <f>MAX(0,MIN(AE57,BX57-SUMPRODUCT(($T$2:$AK$2&lt;AE$2)*($T57:$AK57))))</f>
      </c>
      <c r="AX57" s="0">
        <f>MAX(0,MIN(AF57,BX57-SUMPRODUCT(($T$2:$AK$2&lt;AF$2)*($T57:$AK57))))</f>
      </c>
      <c r="AY57" s="0">
        <f>MAX(0,MIN(AG57,BX57-SUMPRODUCT(($T$2:$AK$2&lt;AG$2)*($T57:$AK57))))</f>
      </c>
      <c r="AZ57" s="0">
        <f>MAX(0,MIN(AH57,BX57-SUMPRODUCT(($T$2:$AK$2&lt;AH$2)*($T57:$AK57))))</f>
      </c>
      <c r="BA57" s="0">
        <f>MAX(0,MIN(AI57,BX57-SUMPRODUCT(($T$2:$AK$2&lt;AI$2)*($T57:$AK57))))</f>
      </c>
      <c r="BB57" s="0">
        <f>MAX(0,MIN(AJ57,BX57-SUMPRODUCT(($T$2:$AK$2&lt;AJ$2)*($T57:$AK57))))</f>
      </c>
      <c r="BC57" s="0">
        <f>MAX(0,MIN(AK57,BX57-SUMPRODUCT(($T$2:$AK$2&lt;AK$2)*($T57:$AK57))))</f>
      </c>
      <c r="BD57" s="0">
        <f>T57-AL57</f>
      </c>
      <c r="BE57" s="0">
        <f>U57-AM57</f>
      </c>
      <c r="BF57" s="0">
        <f>V57-AN57</f>
      </c>
      <c r="BG57" s="0">
        <f>W57-AO57</f>
      </c>
      <c r="BH57" s="0">
        <f>X57-AP57</f>
      </c>
      <c r="BI57" s="0">
        <f>Y57-AQ57</f>
      </c>
      <c r="BJ57" s="0">
        <f>Z57-AR57</f>
      </c>
      <c r="BK57" s="0">
        <f>AA57-AS57</f>
      </c>
      <c r="BL57" s="0">
        <f>AB57-AT57</f>
      </c>
      <c r="BM57" s="0">
        <f>AC57-AU57</f>
      </c>
      <c r="BN57" s="0">
        <f>AD57-AV57</f>
      </c>
      <c r="BO57" s="0">
        <f>AE57-AW57</f>
      </c>
      <c r="BP57" s="0">
        <f>AF57-AX57</f>
      </c>
      <c r="BQ57" s="0">
        <f>AG57-AY57</f>
      </c>
      <c r="BR57" s="0">
        <f>AH57-AZ57</f>
      </c>
      <c r="BS57" s="0">
        <f>AI57-BA57</f>
      </c>
      <c r="BT57" s="0">
        <f>AJ57-BB57</f>
      </c>
      <c r="BU57" s="0">
        <f>AK57-BC57</f>
      </c>
      <c r="BV57" s="0">
        <f>SUM(B57:S57)</f>
      </c>
      <c r="BW57" s="0">
        <f>SUM(T57:AK57)</f>
      </c>
      <c r="BX57" s="0">
        <f>MAX(0,(SUM(Calculator!$E$11:$E$28)+Calculator!$C$6)-BV57+BW57)</f>
      </c>
      <c r="BY57" s="0">
        <f>SUM(BD57:BU57)</f>
      </c>
      <c r="BZ57" s="0">
        <f>BV57-BY56</f>
      </c>
      <c r="CA57" s="0">
        <f>IF(A57&lt;=IF($CD$1=0,999,$CD$1),BY57,NA())</f>
      </c>
      <c r="CB57" s="0">
        <f>IF(A57&lt;=IF($CD$1=0,999,$CD$1),A57,NA())</f>
      </c>
    </row>
    <row r="58">
      <c r="A58" s="0">
        <v>55</v>
      </c>
      <c r="B58" s="0">
        <f>BD57*(1+Calculator!$D$11/100/12)</f>
      </c>
      <c r="C58" s="0">
        <f>BE57*(1+Calculator!$D$12/100/12)</f>
      </c>
      <c r="D58" s="0">
        <f>BF57*(1+Calculator!$D$13/100/12)</f>
      </c>
      <c r="E58" s="0">
        <f>BG57*(1+Calculator!$D$14/100/12)</f>
      </c>
      <c r="F58" s="0">
        <f>BH57*(1+Calculator!$D$15/100/12)</f>
      </c>
      <c r="G58" s="0">
        <f>BI57*(1+Calculator!$D$16/100/12)</f>
      </c>
      <c r="H58" s="0">
        <f>BJ57*(1+Calculator!$D$17/100/12)</f>
      </c>
      <c r="I58" s="0">
        <f>BK57*(1+Calculator!$D$18/100/12)</f>
      </c>
      <c r="J58" s="0">
        <f>BL57*(1+Calculator!$D$19/100/12)</f>
      </c>
      <c r="K58" s="0">
        <f>BM57*(1+Calculator!$D$20/100/12)</f>
      </c>
      <c r="L58" s="0">
        <f>BN57*(1+Calculator!$D$21/100/12)</f>
      </c>
      <c r="M58" s="0">
        <f>BO57*(1+Calculator!$D$22/100/12)</f>
      </c>
      <c r="N58" s="0">
        <f>BP57*(1+Calculator!$D$23/100/12)</f>
      </c>
      <c r="O58" s="0">
        <f>BQ57*(1+Calculator!$D$24/100/12)</f>
      </c>
      <c r="P58" s="0">
        <f>BR57*(1+Calculator!$D$25/100/12)</f>
      </c>
      <c r="Q58" s="0">
        <f>BS57*(1+Calculator!$D$26/100/12)</f>
      </c>
      <c r="R58" s="0">
        <f>BT57*(1+Calculator!$D$27/100/12)</f>
      </c>
      <c r="S58" s="0">
        <f>BU57*(1+Calculator!$D$28/100/12)</f>
      </c>
      <c r="T58" s="0">
        <f>MAX(0,B58-Calculator!$E$11)</f>
      </c>
      <c r="U58" s="0">
        <f>MAX(0,C58-Calculator!$E$12)</f>
      </c>
      <c r="V58" s="0">
        <f>MAX(0,D58-Calculator!$E$13)</f>
      </c>
      <c r="W58" s="0">
        <f>MAX(0,E58-Calculator!$E$14)</f>
      </c>
      <c r="X58" s="0">
        <f>MAX(0,F58-Calculator!$E$15)</f>
      </c>
      <c r="Y58" s="0">
        <f>MAX(0,G58-Calculator!$E$16)</f>
      </c>
      <c r="Z58" s="0">
        <f>MAX(0,H58-Calculator!$E$17)</f>
      </c>
      <c r="AA58" s="0">
        <f>MAX(0,I58-Calculator!$E$18)</f>
      </c>
      <c r="AB58" s="0">
        <f>MAX(0,J58-Calculator!$E$19)</f>
      </c>
      <c r="AC58" s="0">
        <f>MAX(0,K58-Calculator!$E$20)</f>
      </c>
      <c r="AD58" s="0">
        <f>MAX(0,L58-Calculator!$E$21)</f>
      </c>
      <c r="AE58" s="0">
        <f>MAX(0,M58-Calculator!$E$22)</f>
      </c>
      <c r="AF58" s="0">
        <f>MAX(0,N58-Calculator!$E$23)</f>
      </c>
      <c r="AG58" s="0">
        <f>MAX(0,O58-Calculator!$E$24)</f>
      </c>
      <c r="AH58" s="0">
        <f>MAX(0,P58-Calculator!$E$25)</f>
      </c>
      <c r="AI58" s="0">
        <f>MAX(0,Q58-Calculator!$E$26)</f>
      </c>
      <c r="AJ58" s="0">
        <f>MAX(0,R58-Calculator!$E$27)</f>
      </c>
      <c r="AK58" s="0">
        <f>MAX(0,S58-Calculator!$E$28)</f>
      </c>
      <c r="AL58" s="0">
        <f>MAX(0,MIN(T58,BX58-SUMPRODUCT(($T$2:$AK$2&lt;T$2)*($T58:$AK58))))</f>
      </c>
      <c r="AM58" s="0">
        <f>MAX(0,MIN(U58,BX58-SUMPRODUCT(($T$2:$AK$2&lt;U$2)*($T58:$AK58))))</f>
      </c>
      <c r="AN58" s="0">
        <f>MAX(0,MIN(V58,BX58-SUMPRODUCT(($T$2:$AK$2&lt;V$2)*($T58:$AK58))))</f>
      </c>
      <c r="AO58" s="0">
        <f>MAX(0,MIN(W58,BX58-SUMPRODUCT(($T$2:$AK$2&lt;W$2)*($T58:$AK58))))</f>
      </c>
      <c r="AP58" s="0">
        <f>MAX(0,MIN(X58,BX58-SUMPRODUCT(($T$2:$AK$2&lt;X$2)*($T58:$AK58))))</f>
      </c>
      <c r="AQ58" s="0">
        <f>MAX(0,MIN(Y58,BX58-SUMPRODUCT(($T$2:$AK$2&lt;Y$2)*($T58:$AK58))))</f>
      </c>
      <c r="AR58" s="0">
        <f>MAX(0,MIN(Z58,BX58-SUMPRODUCT(($T$2:$AK$2&lt;Z$2)*($T58:$AK58))))</f>
      </c>
      <c r="AS58" s="0">
        <f>MAX(0,MIN(AA58,BX58-SUMPRODUCT(($T$2:$AK$2&lt;AA$2)*($T58:$AK58))))</f>
      </c>
      <c r="AT58" s="0">
        <f>MAX(0,MIN(AB58,BX58-SUMPRODUCT(($T$2:$AK$2&lt;AB$2)*($T58:$AK58))))</f>
      </c>
      <c r="AU58" s="0">
        <f>MAX(0,MIN(AC58,BX58-SUMPRODUCT(($T$2:$AK$2&lt;AC$2)*($T58:$AK58))))</f>
      </c>
      <c r="AV58" s="0">
        <f>MAX(0,MIN(AD58,BX58-SUMPRODUCT(($T$2:$AK$2&lt;AD$2)*($T58:$AK58))))</f>
      </c>
      <c r="AW58" s="0">
        <f>MAX(0,MIN(AE58,BX58-SUMPRODUCT(($T$2:$AK$2&lt;AE$2)*($T58:$AK58))))</f>
      </c>
      <c r="AX58" s="0">
        <f>MAX(0,MIN(AF58,BX58-SUMPRODUCT(($T$2:$AK$2&lt;AF$2)*($T58:$AK58))))</f>
      </c>
      <c r="AY58" s="0">
        <f>MAX(0,MIN(AG58,BX58-SUMPRODUCT(($T$2:$AK$2&lt;AG$2)*($T58:$AK58))))</f>
      </c>
      <c r="AZ58" s="0">
        <f>MAX(0,MIN(AH58,BX58-SUMPRODUCT(($T$2:$AK$2&lt;AH$2)*($T58:$AK58))))</f>
      </c>
      <c r="BA58" s="0">
        <f>MAX(0,MIN(AI58,BX58-SUMPRODUCT(($T$2:$AK$2&lt;AI$2)*($T58:$AK58))))</f>
      </c>
      <c r="BB58" s="0">
        <f>MAX(0,MIN(AJ58,BX58-SUMPRODUCT(($T$2:$AK$2&lt;AJ$2)*($T58:$AK58))))</f>
      </c>
      <c r="BC58" s="0">
        <f>MAX(0,MIN(AK58,BX58-SUMPRODUCT(($T$2:$AK$2&lt;AK$2)*($T58:$AK58))))</f>
      </c>
      <c r="BD58" s="0">
        <f>T58-AL58</f>
      </c>
      <c r="BE58" s="0">
        <f>U58-AM58</f>
      </c>
      <c r="BF58" s="0">
        <f>V58-AN58</f>
      </c>
      <c r="BG58" s="0">
        <f>W58-AO58</f>
      </c>
      <c r="BH58" s="0">
        <f>X58-AP58</f>
      </c>
      <c r="BI58" s="0">
        <f>Y58-AQ58</f>
      </c>
      <c r="BJ58" s="0">
        <f>Z58-AR58</f>
      </c>
      <c r="BK58" s="0">
        <f>AA58-AS58</f>
      </c>
      <c r="BL58" s="0">
        <f>AB58-AT58</f>
      </c>
      <c r="BM58" s="0">
        <f>AC58-AU58</f>
      </c>
      <c r="BN58" s="0">
        <f>AD58-AV58</f>
      </c>
      <c r="BO58" s="0">
        <f>AE58-AW58</f>
      </c>
      <c r="BP58" s="0">
        <f>AF58-AX58</f>
      </c>
      <c r="BQ58" s="0">
        <f>AG58-AY58</f>
      </c>
      <c r="BR58" s="0">
        <f>AH58-AZ58</f>
      </c>
      <c r="BS58" s="0">
        <f>AI58-BA58</f>
      </c>
      <c r="BT58" s="0">
        <f>AJ58-BB58</f>
      </c>
      <c r="BU58" s="0">
        <f>AK58-BC58</f>
      </c>
      <c r="BV58" s="0">
        <f>SUM(B58:S58)</f>
      </c>
      <c r="BW58" s="0">
        <f>SUM(T58:AK58)</f>
      </c>
      <c r="BX58" s="0">
        <f>MAX(0,(SUM(Calculator!$E$11:$E$28)+Calculator!$C$6)-BV58+BW58)</f>
      </c>
      <c r="BY58" s="0">
        <f>SUM(BD58:BU58)</f>
      </c>
      <c r="BZ58" s="0">
        <f>BV58-BY57</f>
      </c>
      <c r="CA58" s="0">
        <f>IF(A58&lt;=IF($CD$1=0,999,$CD$1),BY58,NA())</f>
      </c>
      <c r="CB58" s="0">
        <f>IF(A58&lt;=IF($CD$1=0,999,$CD$1),A58,NA())</f>
      </c>
    </row>
    <row r="59">
      <c r="A59" s="0">
        <v>56</v>
      </c>
      <c r="B59" s="0">
        <f>BD58*(1+Calculator!$D$11/100/12)</f>
      </c>
      <c r="C59" s="0">
        <f>BE58*(1+Calculator!$D$12/100/12)</f>
      </c>
      <c r="D59" s="0">
        <f>BF58*(1+Calculator!$D$13/100/12)</f>
      </c>
      <c r="E59" s="0">
        <f>BG58*(1+Calculator!$D$14/100/12)</f>
      </c>
      <c r="F59" s="0">
        <f>BH58*(1+Calculator!$D$15/100/12)</f>
      </c>
      <c r="G59" s="0">
        <f>BI58*(1+Calculator!$D$16/100/12)</f>
      </c>
      <c r="H59" s="0">
        <f>BJ58*(1+Calculator!$D$17/100/12)</f>
      </c>
      <c r="I59" s="0">
        <f>BK58*(1+Calculator!$D$18/100/12)</f>
      </c>
      <c r="J59" s="0">
        <f>BL58*(1+Calculator!$D$19/100/12)</f>
      </c>
      <c r="K59" s="0">
        <f>BM58*(1+Calculator!$D$20/100/12)</f>
      </c>
      <c r="L59" s="0">
        <f>BN58*(1+Calculator!$D$21/100/12)</f>
      </c>
      <c r="M59" s="0">
        <f>BO58*(1+Calculator!$D$22/100/12)</f>
      </c>
      <c r="N59" s="0">
        <f>BP58*(1+Calculator!$D$23/100/12)</f>
      </c>
      <c r="O59" s="0">
        <f>BQ58*(1+Calculator!$D$24/100/12)</f>
      </c>
      <c r="P59" s="0">
        <f>BR58*(1+Calculator!$D$25/100/12)</f>
      </c>
      <c r="Q59" s="0">
        <f>BS58*(1+Calculator!$D$26/100/12)</f>
      </c>
      <c r="R59" s="0">
        <f>BT58*(1+Calculator!$D$27/100/12)</f>
      </c>
      <c r="S59" s="0">
        <f>BU58*(1+Calculator!$D$28/100/12)</f>
      </c>
      <c r="T59" s="0">
        <f>MAX(0,B59-Calculator!$E$11)</f>
      </c>
      <c r="U59" s="0">
        <f>MAX(0,C59-Calculator!$E$12)</f>
      </c>
      <c r="V59" s="0">
        <f>MAX(0,D59-Calculator!$E$13)</f>
      </c>
      <c r="W59" s="0">
        <f>MAX(0,E59-Calculator!$E$14)</f>
      </c>
      <c r="X59" s="0">
        <f>MAX(0,F59-Calculator!$E$15)</f>
      </c>
      <c r="Y59" s="0">
        <f>MAX(0,G59-Calculator!$E$16)</f>
      </c>
      <c r="Z59" s="0">
        <f>MAX(0,H59-Calculator!$E$17)</f>
      </c>
      <c r="AA59" s="0">
        <f>MAX(0,I59-Calculator!$E$18)</f>
      </c>
      <c r="AB59" s="0">
        <f>MAX(0,J59-Calculator!$E$19)</f>
      </c>
      <c r="AC59" s="0">
        <f>MAX(0,K59-Calculator!$E$20)</f>
      </c>
      <c r="AD59" s="0">
        <f>MAX(0,L59-Calculator!$E$21)</f>
      </c>
      <c r="AE59" s="0">
        <f>MAX(0,M59-Calculator!$E$22)</f>
      </c>
      <c r="AF59" s="0">
        <f>MAX(0,N59-Calculator!$E$23)</f>
      </c>
      <c r="AG59" s="0">
        <f>MAX(0,O59-Calculator!$E$24)</f>
      </c>
      <c r="AH59" s="0">
        <f>MAX(0,P59-Calculator!$E$25)</f>
      </c>
      <c r="AI59" s="0">
        <f>MAX(0,Q59-Calculator!$E$26)</f>
      </c>
      <c r="AJ59" s="0">
        <f>MAX(0,R59-Calculator!$E$27)</f>
      </c>
      <c r="AK59" s="0">
        <f>MAX(0,S59-Calculator!$E$28)</f>
      </c>
      <c r="AL59" s="0">
        <f>MAX(0,MIN(T59,BX59-SUMPRODUCT(($T$2:$AK$2&lt;T$2)*($T59:$AK59))))</f>
      </c>
      <c r="AM59" s="0">
        <f>MAX(0,MIN(U59,BX59-SUMPRODUCT(($T$2:$AK$2&lt;U$2)*($T59:$AK59))))</f>
      </c>
      <c r="AN59" s="0">
        <f>MAX(0,MIN(V59,BX59-SUMPRODUCT(($T$2:$AK$2&lt;V$2)*($T59:$AK59))))</f>
      </c>
      <c r="AO59" s="0">
        <f>MAX(0,MIN(W59,BX59-SUMPRODUCT(($T$2:$AK$2&lt;W$2)*($T59:$AK59))))</f>
      </c>
      <c r="AP59" s="0">
        <f>MAX(0,MIN(X59,BX59-SUMPRODUCT(($T$2:$AK$2&lt;X$2)*($T59:$AK59))))</f>
      </c>
      <c r="AQ59" s="0">
        <f>MAX(0,MIN(Y59,BX59-SUMPRODUCT(($T$2:$AK$2&lt;Y$2)*($T59:$AK59))))</f>
      </c>
      <c r="AR59" s="0">
        <f>MAX(0,MIN(Z59,BX59-SUMPRODUCT(($T$2:$AK$2&lt;Z$2)*($T59:$AK59))))</f>
      </c>
      <c r="AS59" s="0">
        <f>MAX(0,MIN(AA59,BX59-SUMPRODUCT(($T$2:$AK$2&lt;AA$2)*($T59:$AK59))))</f>
      </c>
      <c r="AT59" s="0">
        <f>MAX(0,MIN(AB59,BX59-SUMPRODUCT(($T$2:$AK$2&lt;AB$2)*($T59:$AK59))))</f>
      </c>
      <c r="AU59" s="0">
        <f>MAX(0,MIN(AC59,BX59-SUMPRODUCT(($T$2:$AK$2&lt;AC$2)*($T59:$AK59))))</f>
      </c>
      <c r="AV59" s="0">
        <f>MAX(0,MIN(AD59,BX59-SUMPRODUCT(($T$2:$AK$2&lt;AD$2)*($T59:$AK59))))</f>
      </c>
      <c r="AW59" s="0">
        <f>MAX(0,MIN(AE59,BX59-SUMPRODUCT(($T$2:$AK$2&lt;AE$2)*($T59:$AK59))))</f>
      </c>
      <c r="AX59" s="0">
        <f>MAX(0,MIN(AF59,BX59-SUMPRODUCT(($T$2:$AK$2&lt;AF$2)*($T59:$AK59))))</f>
      </c>
      <c r="AY59" s="0">
        <f>MAX(0,MIN(AG59,BX59-SUMPRODUCT(($T$2:$AK$2&lt;AG$2)*($T59:$AK59))))</f>
      </c>
      <c r="AZ59" s="0">
        <f>MAX(0,MIN(AH59,BX59-SUMPRODUCT(($T$2:$AK$2&lt;AH$2)*($T59:$AK59))))</f>
      </c>
      <c r="BA59" s="0">
        <f>MAX(0,MIN(AI59,BX59-SUMPRODUCT(($T$2:$AK$2&lt;AI$2)*($T59:$AK59))))</f>
      </c>
      <c r="BB59" s="0">
        <f>MAX(0,MIN(AJ59,BX59-SUMPRODUCT(($T$2:$AK$2&lt;AJ$2)*($T59:$AK59))))</f>
      </c>
      <c r="BC59" s="0">
        <f>MAX(0,MIN(AK59,BX59-SUMPRODUCT(($T$2:$AK$2&lt;AK$2)*($T59:$AK59))))</f>
      </c>
      <c r="BD59" s="0">
        <f>T59-AL59</f>
      </c>
      <c r="BE59" s="0">
        <f>U59-AM59</f>
      </c>
      <c r="BF59" s="0">
        <f>V59-AN59</f>
      </c>
      <c r="BG59" s="0">
        <f>W59-AO59</f>
      </c>
      <c r="BH59" s="0">
        <f>X59-AP59</f>
      </c>
      <c r="BI59" s="0">
        <f>Y59-AQ59</f>
      </c>
      <c r="BJ59" s="0">
        <f>Z59-AR59</f>
      </c>
      <c r="BK59" s="0">
        <f>AA59-AS59</f>
      </c>
      <c r="BL59" s="0">
        <f>AB59-AT59</f>
      </c>
      <c r="BM59" s="0">
        <f>AC59-AU59</f>
      </c>
      <c r="BN59" s="0">
        <f>AD59-AV59</f>
      </c>
      <c r="BO59" s="0">
        <f>AE59-AW59</f>
      </c>
      <c r="BP59" s="0">
        <f>AF59-AX59</f>
      </c>
      <c r="BQ59" s="0">
        <f>AG59-AY59</f>
      </c>
      <c r="BR59" s="0">
        <f>AH59-AZ59</f>
      </c>
      <c r="BS59" s="0">
        <f>AI59-BA59</f>
      </c>
      <c r="BT59" s="0">
        <f>AJ59-BB59</f>
      </c>
      <c r="BU59" s="0">
        <f>AK59-BC59</f>
      </c>
      <c r="BV59" s="0">
        <f>SUM(B59:S59)</f>
      </c>
      <c r="BW59" s="0">
        <f>SUM(T59:AK59)</f>
      </c>
      <c r="BX59" s="0">
        <f>MAX(0,(SUM(Calculator!$E$11:$E$28)+Calculator!$C$6)-BV59+BW59)</f>
      </c>
      <c r="BY59" s="0">
        <f>SUM(BD59:BU59)</f>
      </c>
      <c r="BZ59" s="0">
        <f>BV59-BY58</f>
      </c>
      <c r="CA59" s="0">
        <f>IF(A59&lt;=IF($CD$1=0,999,$CD$1),BY59,NA())</f>
      </c>
      <c r="CB59" s="0">
        <f>IF(A59&lt;=IF($CD$1=0,999,$CD$1),A59,NA())</f>
      </c>
    </row>
    <row r="60">
      <c r="A60" s="0">
        <v>57</v>
      </c>
      <c r="B60" s="0">
        <f>BD59*(1+Calculator!$D$11/100/12)</f>
      </c>
      <c r="C60" s="0">
        <f>BE59*(1+Calculator!$D$12/100/12)</f>
      </c>
      <c r="D60" s="0">
        <f>BF59*(1+Calculator!$D$13/100/12)</f>
      </c>
      <c r="E60" s="0">
        <f>BG59*(1+Calculator!$D$14/100/12)</f>
      </c>
      <c r="F60" s="0">
        <f>BH59*(1+Calculator!$D$15/100/12)</f>
      </c>
      <c r="G60" s="0">
        <f>BI59*(1+Calculator!$D$16/100/12)</f>
      </c>
      <c r="H60" s="0">
        <f>BJ59*(1+Calculator!$D$17/100/12)</f>
      </c>
      <c r="I60" s="0">
        <f>BK59*(1+Calculator!$D$18/100/12)</f>
      </c>
      <c r="J60" s="0">
        <f>BL59*(1+Calculator!$D$19/100/12)</f>
      </c>
      <c r="K60" s="0">
        <f>BM59*(1+Calculator!$D$20/100/12)</f>
      </c>
      <c r="L60" s="0">
        <f>BN59*(1+Calculator!$D$21/100/12)</f>
      </c>
      <c r="M60" s="0">
        <f>BO59*(1+Calculator!$D$22/100/12)</f>
      </c>
      <c r="N60" s="0">
        <f>BP59*(1+Calculator!$D$23/100/12)</f>
      </c>
      <c r="O60" s="0">
        <f>BQ59*(1+Calculator!$D$24/100/12)</f>
      </c>
      <c r="P60" s="0">
        <f>BR59*(1+Calculator!$D$25/100/12)</f>
      </c>
      <c r="Q60" s="0">
        <f>BS59*(1+Calculator!$D$26/100/12)</f>
      </c>
      <c r="R60" s="0">
        <f>BT59*(1+Calculator!$D$27/100/12)</f>
      </c>
      <c r="S60" s="0">
        <f>BU59*(1+Calculator!$D$28/100/12)</f>
      </c>
      <c r="T60" s="0">
        <f>MAX(0,B60-Calculator!$E$11)</f>
      </c>
      <c r="U60" s="0">
        <f>MAX(0,C60-Calculator!$E$12)</f>
      </c>
      <c r="V60" s="0">
        <f>MAX(0,D60-Calculator!$E$13)</f>
      </c>
      <c r="W60" s="0">
        <f>MAX(0,E60-Calculator!$E$14)</f>
      </c>
      <c r="X60" s="0">
        <f>MAX(0,F60-Calculator!$E$15)</f>
      </c>
      <c r="Y60" s="0">
        <f>MAX(0,G60-Calculator!$E$16)</f>
      </c>
      <c r="Z60" s="0">
        <f>MAX(0,H60-Calculator!$E$17)</f>
      </c>
      <c r="AA60" s="0">
        <f>MAX(0,I60-Calculator!$E$18)</f>
      </c>
      <c r="AB60" s="0">
        <f>MAX(0,J60-Calculator!$E$19)</f>
      </c>
      <c r="AC60" s="0">
        <f>MAX(0,K60-Calculator!$E$20)</f>
      </c>
      <c r="AD60" s="0">
        <f>MAX(0,L60-Calculator!$E$21)</f>
      </c>
      <c r="AE60" s="0">
        <f>MAX(0,M60-Calculator!$E$22)</f>
      </c>
      <c r="AF60" s="0">
        <f>MAX(0,N60-Calculator!$E$23)</f>
      </c>
      <c r="AG60" s="0">
        <f>MAX(0,O60-Calculator!$E$24)</f>
      </c>
      <c r="AH60" s="0">
        <f>MAX(0,P60-Calculator!$E$25)</f>
      </c>
      <c r="AI60" s="0">
        <f>MAX(0,Q60-Calculator!$E$26)</f>
      </c>
      <c r="AJ60" s="0">
        <f>MAX(0,R60-Calculator!$E$27)</f>
      </c>
      <c r="AK60" s="0">
        <f>MAX(0,S60-Calculator!$E$28)</f>
      </c>
      <c r="AL60" s="0">
        <f>MAX(0,MIN(T60,BX60-SUMPRODUCT(($T$2:$AK$2&lt;T$2)*($T60:$AK60))))</f>
      </c>
      <c r="AM60" s="0">
        <f>MAX(0,MIN(U60,BX60-SUMPRODUCT(($T$2:$AK$2&lt;U$2)*($T60:$AK60))))</f>
      </c>
      <c r="AN60" s="0">
        <f>MAX(0,MIN(V60,BX60-SUMPRODUCT(($T$2:$AK$2&lt;V$2)*($T60:$AK60))))</f>
      </c>
      <c r="AO60" s="0">
        <f>MAX(0,MIN(W60,BX60-SUMPRODUCT(($T$2:$AK$2&lt;W$2)*($T60:$AK60))))</f>
      </c>
      <c r="AP60" s="0">
        <f>MAX(0,MIN(X60,BX60-SUMPRODUCT(($T$2:$AK$2&lt;X$2)*($T60:$AK60))))</f>
      </c>
      <c r="AQ60" s="0">
        <f>MAX(0,MIN(Y60,BX60-SUMPRODUCT(($T$2:$AK$2&lt;Y$2)*($T60:$AK60))))</f>
      </c>
      <c r="AR60" s="0">
        <f>MAX(0,MIN(Z60,BX60-SUMPRODUCT(($T$2:$AK$2&lt;Z$2)*($T60:$AK60))))</f>
      </c>
      <c r="AS60" s="0">
        <f>MAX(0,MIN(AA60,BX60-SUMPRODUCT(($T$2:$AK$2&lt;AA$2)*($T60:$AK60))))</f>
      </c>
      <c r="AT60" s="0">
        <f>MAX(0,MIN(AB60,BX60-SUMPRODUCT(($T$2:$AK$2&lt;AB$2)*($T60:$AK60))))</f>
      </c>
      <c r="AU60" s="0">
        <f>MAX(0,MIN(AC60,BX60-SUMPRODUCT(($T$2:$AK$2&lt;AC$2)*($T60:$AK60))))</f>
      </c>
      <c r="AV60" s="0">
        <f>MAX(0,MIN(AD60,BX60-SUMPRODUCT(($T$2:$AK$2&lt;AD$2)*($T60:$AK60))))</f>
      </c>
      <c r="AW60" s="0">
        <f>MAX(0,MIN(AE60,BX60-SUMPRODUCT(($T$2:$AK$2&lt;AE$2)*($T60:$AK60))))</f>
      </c>
      <c r="AX60" s="0">
        <f>MAX(0,MIN(AF60,BX60-SUMPRODUCT(($T$2:$AK$2&lt;AF$2)*($T60:$AK60))))</f>
      </c>
      <c r="AY60" s="0">
        <f>MAX(0,MIN(AG60,BX60-SUMPRODUCT(($T$2:$AK$2&lt;AG$2)*($T60:$AK60))))</f>
      </c>
      <c r="AZ60" s="0">
        <f>MAX(0,MIN(AH60,BX60-SUMPRODUCT(($T$2:$AK$2&lt;AH$2)*($T60:$AK60))))</f>
      </c>
      <c r="BA60" s="0">
        <f>MAX(0,MIN(AI60,BX60-SUMPRODUCT(($T$2:$AK$2&lt;AI$2)*($T60:$AK60))))</f>
      </c>
      <c r="BB60" s="0">
        <f>MAX(0,MIN(AJ60,BX60-SUMPRODUCT(($T$2:$AK$2&lt;AJ$2)*($T60:$AK60))))</f>
      </c>
      <c r="BC60" s="0">
        <f>MAX(0,MIN(AK60,BX60-SUMPRODUCT(($T$2:$AK$2&lt;AK$2)*($T60:$AK60))))</f>
      </c>
      <c r="BD60" s="0">
        <f>T60-AL60</f>
      </c>
      <c r="BE60" s="0">
        <f>U60-AM60</f>
      </c>
      <c r="BF60" s="0">
        <f>V60-AN60</f>
      </c>
      <c r="BG60" s="0">
        <f>W60-AO60</f>
      </c>
      <c r="BH60" s="0">
        <f>X60-AP60</f>
      </c>
      <c r="BI60" s="0">
        <f>Y60-AQ60</f>
      </c>
      <c r="BJ60" s="0">
        <f>Z60-AR60</f>
      </c>
      <c r="BK60" s="0">
        <f>AA60-AS60</f>
      </c>
      <c r="BL60" s="0">
        <f>AB60-AT60</f>
      </c>
      <c r="BM60" s="0">
        <f>AC60-AU60</f>
      </c>
      <c r="BN60" s="0">
        <f>AD60-AV60</f>
      </c>
      <c r="BO60" s="0">
        <f>AE60-AW60</f>
      </c>
      <c r="BP60" s="0">
        <f>AF60-AX60</f>
      </c>
      <c r="BQ60" s="0">
        <f>AG60-AY60</f>
      </c>
      <c r="BR60" s="0">
        <f>AH60-AZ60</f>
      </c>
      <c r="BS60" s="0">
        <f>AI60-BA60</f>
      </c>
      <c r="BT60" s="0">
        <f>AJ60-BB60</f>
      </c>
      <c r="BU60" s="0">
        <f>AK60-BC60</f>
      </c>
      <c r="BV60" s="0">
        <f>SUM(B60:S60)</f>
      </c>
      <c r="BW60" s="0">
        <f>SUM(T60:AK60)</f>
      </c>
      <c r="BX60" s="0">
        <f>MAX(0,(SUM(Calculator!$E$11:$E$28)+Calculator!$C$6)-BV60+BW60)</f>
      </c>
      <c r="BY60" s="0">
        <f>SUM(BD60:BU60)</f>
      </c>
      <c r="BZ60" s="0">
        <f>BV60-BY59</f>
      </c>
      <c r="CA60" s="0">
        <f>IF(A60&lt;=IF($CD$1=0,999,$CD$1),BY60,NA())</f>
      </c>
      <c r="CB60" s="0">
        <f>IF(A60&lt;=IF($CD$1=0,999,$CD$1),A60,NA())</f>
      </c>
    </row>
    <row r="61">
      <c r="A61" s="0">
        <v>58</v>
      </c>
      <c r="B61" s="0">
        <f>BD60*(1+Calculator!$D$11/100/12)</f>
      </c>
      <c r="C61" s="0">
        <f>BE60*(1+Calculator!$D$12/100/12)</f>
      </c>
      <c r="D61" s="0">
        <f>BF60*(1+Calculator!$D$13/100/12)</f>
      </c>
      <c r="E61" s="0">
        <f>BG60*(1+Calculator!$D$14/100/12)</f>
      </c>
      <c r="F61" s="0">
        <f>BH60*(1+Calculator!$D$15/100/12)</f>
      </c>
      <c r="G61" s="0">
        <f>BI60*(1+Calculator!$D$16/100/12)</f>
      </c>
      <c r="H61" s="0">
        <f>BJ60*(1+Calculator!$D$17/100/12)</f>
      </c>
      <c r="I61" s="0">
        <f>BK60*(1+Calculator!$D$18/100/12)</f>
      </c>
      <c r="J61" s="0">
        <f>BL60*(1+Calculator!$D$19/100/12)</f>
      </c>
      <c r="K61" s="0">
        <f>BM60*(1+Calculator!$D$20/100/12)</f>
      </c>
      <c r="L61" s="0">
        <f>BN60*(1+Calculator!$D$21/100/12)</f>
      </c>
      <c r="M61" s="0">
        <f>BO60*(1+Calculator!$D$22/100/12)</f>
      </c>
      <c r="N61" s="0">
        <f>BP60*(1+Calculator!$D$23/100/12)</f>
      </c>
      <c r="O61" s="0">
        <f>BQ60*(1+Calculator!$D$24/100/12)</f>
      </c>
      <c r="P61" s="0">
        <f>BR60*(1+Calculator!$D$25/100/12)</f>
      </c>
      <c r="Q61" s="0">
        <f>BS60*(1+Calculator!$D$26/100/12)</f>
      </c>
      <c r="R61" s="0">
        <f>BT60*(1+Calculator!$D$27/100/12)</f>
      </c>
      <c r="S61" s="0">
        <f>BU60*(1+Calculator!$D$28/100/12)</f>
      </c>
      <c r="T61" s="0">
        <f>MAX(0,B61-Calculator!$E$11)</f>
      </c>
      <c r="U61" s="0">
        <f>MAX(0,C61-Calculator!$E$12)</f>
      </c>
      <c r="V61" s="0">
        <f>MAX(0,D61-Calculator!$E$13)</f>
      </c>
      <c r="W61" s="0">
        <f>MAX(0,E61-Calculator!$E$14)</f>
      </c>
      <c r="X61" s="0">
        <f>MAX(0,F61-Calculator!$E$15)</f>
      </c>
      <c r="Y61" s="0">
        <f>MAX(0,G61-Calculator!$E$16)</f>
      </c>
      <c r="Z61" s="0">
        <f>MAX(0,H61-Calculator!$E$17)</f>
      </c>
      <c r="AA61" s="0">
        <f>MAX(0,I61-Calculator!$E$18)</f>
      </c>
      <c r="AB61" s="0">
        <f>MAX(0,J61-Calculator!$E$19)</f>
      </c>
      <c r="AC61" s="0">
        <f>MAX(0,K61-Calculator!$E$20)</f>
      </c>
      <c r="AD61" s="0">
        <f>MAX(0,L61-Calculator!$E$21)</f>
      </c>
      <c r="AE61" s="0">
        <f>MAX(0,M61-Calculator!$E$22)</f>
      </c>
      <c r="AF61" s="0">
        <f>MAX(0,N61-Calculator!$E$23)</f>
      </c>
      <c r="AG61" s="0">
        <f>MAX(0,O61-Calculator!$E$24)</f>
      </c>
      <c r="AH61" s="0">
        <f>MAX(0,P61-Calculator!$E$25)</f>
      </c>
      <c r="AI61" s="0">
        <f>MAX(0,Q61-Calculator!$E$26)</f>
      </c>
      <c r="AJ61" s="0">
        <f>MAX(0,R61-Calculator!$E$27)</f>
      </c>
      <c r="AK61" s="0">
        <f>MAX(0,S61-Calculator!$E$28)</f>
      </c>
      <c r="AL61" s="0">
        <f>MAX(0,MIN(T61,BX61-SUMPRODUCT(($T$2:$AK$2&lt;T$2)*($T61:$AK61))))</f>
      </c>
      <c r="AM61" s="0">
        <f>MAX(0,MIN(U61,BX61-SUMPRODUCT(($T$2:$AK$2&lt;U$2)*($T61:$AK61))))</f>
      </c>
      <c r="AN61" s="0">
        <f>MAX(0,MIN(V61,BX61-SUMPRODUCT(($T$2:$AK$2&lt;V$2)*($T61:$AK61))))</f>
      </c>
      <c r="AO61" s="0">
        <f>MAX(0,MIN(W61,BX61-SUMPRODUCT(($T$2:$AK$2&lt;W$2)*($T61:$AK61))))</f>
      </c>
      <c r="AP61" s="0">
        <f>MAX(0,MIN(X61,BX61-SUMPRODUCT(($T$2:$AK$2&lt;X$2)*($T61:$AK61))))</f>
      </c>
      <c r="AQ61" s="0">
        <f>MAX(0,MIN(Y61,BX61-SUMPRODUCT(($T$2:$AK$2&lt;Y$2)*($T61:$AK61))))</f>
      </c>
      <c r="AR61" s="0">
        <f>MAX(0,MIN(Z61,BX61-SUMPRODUCT(($T$2:$AK$2&lt;Z$2)*($T61:$AK61))))</f>
      </c>
      <c r="AS61" s="0">
        <f>MAX(0,MIN(AA61,BX61-SUMPRODUCT(($T$2:$AK$2&lt;AA$2)*($T61:$AK61))))</f>
      </c>
      <c r="AT61" s="0">
        <f>MAX(0,MIN(AB61,BX61-SUMPRODUCT(($T$2:$AK$2&lt;AB$2)*($T61:$AK61))))</f>
      </c>
      <c r="AU61" s="0">
        <f>MAX(0,MIN(AC61,BX61-SUMPRODUCT(($T$2:$AK$2&lt;AC$2)*($T61:$AK61))))</f>
      </c>
      <c r="AV61" s="0">
        <f>MAX(0,MIN(AD61,BX61-SUMPRODUCT(($T$2:$AK$2&lt;AD$2)*($T61:$AK61))))</f>
      </c>
      <c r="AW61" s="0">
        <f>MAX(0,MIN(AE61,BX61-SUMPRODUCT(($T$2:$AK$2&lt;AE$2)*($T61:$AK61))))</f>
      </c>
      <c r="AX61" s="0">
        <f>MAX(0,MIN(AF61,BX61-SUMPRODUCT(($T$2:$AK$2&lt;AF$2)*($T61:$AK61))))</f>
      </c>
      <c r="AY61" s="0">
        <f>MAX(0,MIN(AG61,BX61-SUMPRODUCT(($T$2:$AK$2&lt;AG$2)*($T61:$AK61))))</f>
      </c>
      <c r="AZ61" s="0">
        <f>MAX(0,MIN(AH61,BX61-SUMPRODUCT(($T$2:$AK$2&lt;AH$2)*($T61:$AK61))))</f>
      </c>
      <c r="BA61" s="0">
        <f>MAX(0,MIN(AI61,BX61-SUMPRODUCT(($T$2:$AK$2&lt;AI$2)*($T61:$AK61))))</f>
      </c>
      <c r="BB61" s="0">
        <f>MAX(0,MIN(AJ61,BX61-SUMPRODUCT(($T$2:$AK$2&lt;AJ$2)*($T61:$AK61))))</f>
      </c>
      <c r="BC61" s="0">
        <f>MAX(0,MIN(AK61,BX61-SUMPRODUCT(($T$2:$AK$2&lt;AK$2)*($T61:$AK61))))</f>
      </c>
      <c r="BD61" s="0">
        <f>T61-AL61</f>
      </c>
      <c r="BE61" s="0">
        <f>U61-AM61</f>
      </c>
      <c r="BF61" s="0">
        <f>V61-AN61</f>
      </c>
      <c r="BG61" s="0">
        <f>W61-AO61</f>
      </c>
      <c r="BH61" s="0">
        <f>X61-AP61</f>
      </c>
      <c r="BI61" s="0">
        <f>Y61-AQ61</f>
      </c>
      <c r="BJ61" s="0">
        <f>Z61-AR61</f>
      </c>
      <c r="BK61" s="0">
        <f>AA61-AS61</f>
      </c>
      <c r="BL61" s="0">
        <f>AB61-AT61</f>
      </c>
      <c r="BM61" s="0">
        <f>AC61-AU61</f>
      </c>
      <c r="BN61" s="0">
        <f>AD61-AV61</f>
      </c>
      <c r="BO61" s="0">
        <f>AE61-AW61</f>
      </c>
      <c r="BP61" s="0">
        <f>AF61-AX61</f>
      </c>
      <c r="BQ61" s="0">
        <f>AG61-AY61</f>
      </c>
      <c r="BR61" s="0">
        <f>AH61-AZ61</f>
      </c>
      <c r="BS61" s="0">
        <f>AI61-BA61</f>
      </c>
      <c r="BT61" s="0">
        <f>AJ61-BB61</f>
      </c>
      <c r="BU61" s="0">
        <f>AK61-BC61</f>
      </c>
      <c r="BV61" s="0">
        <f>SUM(B61:S61)</f>
      </c>
      <c r="BW61" s="0">
        <f>SUM(T61:AK61)</f>
      </c>
      <c r="BX61" s="0">
        <f>MAX(0,(SUM(Calculator!$E$11:$E$28)+Calculator!$C$6)-BV61+BW61)</f>
      </c>
      <c r="BY61" s="0">
        <f>SUM(BD61:BU61)</f>
      </c>
      <c r="BZ61" s="0">
        <f>BV61-BY60</f>
      </c>
      <c r="CA61" s="0">
        <f>IF(A61&lt;=IF($CD$1=0,999,$CD$1),BY61,NA())</f>
      </c>
      <c r="CB61" s="0">
        <f>IF(A61&lt;=IF($CD$1=0,999,$CD$1),A61,NA())</f>
      </c>
    </row>
    <row r="62">
      <c r="A62" s="0">
        <v>59</v>
      </c>
      <c r="B62" s="0">
        <f>BD61*(1+Calculator!$D$11/100/12)</f>
      </c>
      <c r="C62" s="0">
        <f>BE61*(1+Calculator!$D$12/100/12)</f>
      </c>
      <c r="D62" s="0">
        <f>BF61*(1+Calculator!$D$13/100/12)</f>
      </c>
      <c r="E62" s="0">
        <f>BG61*(1+Calculator!$D$14/100/12)</f>
      </c>
      <c r="F62" s="0">
        <f>BH61*(1+Calculator!$D$15/100/12)</f>
      </c>
      <c r="G62" s="0">
        <f>BI61*(1+Calculator!$D$16/100/12)</f>
      </c>
      <c r="H62" s="0">
        <f>BJ61*(1+Calculator!$D$17/100/12)</f>
      </c>
      <c r="I62" s="0">
        <f>BK61*(1+Calculator!$D$18/100/12)</f>
      </c>
      <c r="J62" s="0">
        <f>BL61*(1+Calculator!$D$19/100/12)</f>
      </c>
      <c r="K62" s="0">
        <f>BM61*(1+Calculator!$D$20/100/12)</f>
      </c>
      <c r="L62" s="0">
        <f>BN61*(1+Calculator!$D$21/100/12)</f>
      </c>
      <c r="M62" s="0">
        <f>BO61*(1+Calculator!$D$22/100/12)</f>
      </c>
      <c r="N62" s="0">
        <f>BP61*(1+Calculator!$D$23/100/12)</f>
      </c>
      <c r="O62" s="0">
        <f>BQ61*(1+Calculator!$D$24/100/12)</f>
      </c>
      <c r="P62" s="0">
        <f>BR61*(1+Calculator!$D$25/100/12)</f>
      </c>
      <c r="Q62" s="0">
        <f>BS61*(1+Calculator!$D$26/100/12)</f>
      </c>
      <c r="R62" s="0">
        <f>BT61*(1+Calculator!$D$27/100/12)</f>
      </c>
      <c r="S62" s="0">
        <f>BU61*(1+Calculator!$D$28/100/12)</f>
      </c>
      <c r="T62" s="0">
        <f>MAX(0,B62-Calculator!$E$11)</f>
      </c>
      <c r="U62" s="0">
        <f>MAX(0,C62-Calculator!$E$12)</f>
      </c>
      <c r="V62" s="0">
        <f>MAX(0,D62-Calculator!$E$13)</f>
      </c>
      <c r="W62" s="0">
        <f>MAX(0,E62-Calculator!$E$14)</f>
      </c>
      <c r="X62" s="0">
        <f>MAX(0,F62-Calculator!$E$15)</f>
      </c>
      <c r="Y62" s="0">
        <f>MAX(0,G62-Calculator!$E$16)</f>
      </c>
      <c r="Z62" s="0">
        <f>MAX(0,H62-Calculator!$E$17)</f>
      </c>
      <c r="AA62" s="0">
        <f>MAX(0,I62-Calculator!$E$18)</f>
      </c>
      <c r="AB62" s="0">
        <f>MAX(0,J62-Calculator!$E$19)</f>
      </c>
      <c r="AC62" s="0">
        <f>MAX(0,K62-Calculator!$E$20)</f>
      </c>
      <c r="AD62" s="0">
        <f>MAX(0,L62-Calculator!$E$21)</f>
      </c>
      <c r="AE62" s="0">
        <f>MAX(0,M62-Calculator!$E$22)</f>
      </c>
      <c r="AF62" s="0">
        <f>MAX(0,N62-Calculator!$E$23)</f>
      </c>
      <c r="AG62" s="0">
        <f>MAX(0,O62-Calculator!$E$24)</f>
      </c>
      <c r="AH62" s="0">
        <f>MAX(0,P62-Calculator!$E$25)</f>
      </c>
      <c r="AI62" s="0">
        <f>MAX(0,Q62-Calculator!$E$26)</f>
      </c>
      <c r="AJ62" s="0">
        <f>MAX(0,R62-Calculator!$E$27)</f>
      </c>
      <c r="AK62" s="0">
        <f>MAX(0,S62-Calculator!$E$28)</f>
      </c>
      <c r="AL62" s="0">
        <f>MAX(0,MIN(T62,BX62-SUMPRODUCT(($T$2:$AK$2&lt;T$2)*($T62:$AK62))))</f>
      </c>
      <c r="AM62" s="0">
        <f>MAX(0,MIN(U62,BX62-SUMPRODUCT(($T$2:$AK$2&lt;U$2)*($T62:$AK62))))</f>
      </c>
      <c r="AN62" s="0">
        <f>MAX(0,MIN(V62,BX62-SUMPRODUCT(($T$2:$AK$2&lt;V$2)*($T62:$AK62))))</f>
      </c>
      <c r="AO62" s="0">
        <f>MAX(0,MIN(W62,BX62-SUMPRODUCT(($T$2:$AK$2&lt;W$2)*($T62:$AK62))))</f>
      </c>
      <c r="AP62" s="0">
        <f>MAX(0,MIN(X62,BX62-SUMPRODUCT(($T$2:$AK$2&lt;X$2)*($T62:$AK62))))</f>
      </c>
      <c r="AQ62" s="0">
        <f>MAX(0,MIN(Y62,BX62-SUMPRODUCT(($T$2:$AK$2&lt;Y$2)*($T62:$AK62))))</f>
      </c>
      <c r="AR62" s="0">
        <f>MAX(0,MIN(Z62,BX62-SUMPRODUCT(($T$2:$AK$2&lt;Z$2)*($T62:$AK62))))</f>
      </c>
      <c r="AS62" s="0">
        <f>MAX(0,MIN(AA62,BX62-SUMPRODUCT(($T$2:$AK$2&lt;AA$2)*($T62:$AK62))))</f>
      </c>
      <c r="AT62" s="0">
        <f>MAX(0,MIN(AB62,BX62-SUMPRODUCT(($T$2:$AK$2&lt;AB$2)*($T62:$AK62))))</f>
      </c>
      <c r="AU62" s="0">
        <f>MAX(0,MIN(AC62,BX62-SUMPRODUCT(($T$2:$AK$2&lt;AC$2)*($T62:$AK62))))</f>
      </c>
      <c r="AV62" s="0">
        <f>MAX(0,MIN(AD62,BX62-SUMPRODUCT(($T$2:$AK$2&lt;AD$2)*($T62:$AK62))))</f>
      </c>
      <c r="AW62" s="0">
        <f>MAX(0,MIN(AE62,BX62-SUMPRODUCT(($T$2:$AK$2&lt;AE$2)*($T62:$AK62))))</f>
      </c>
      <c r="AX62" s="0">
        <f>MAX(0,MIN(AF62,BX62-SUMPRODUCT(($T$2:$AK$2&lt;AF$2)*($T62:$AK62))))</f>
      </c>
      <c r="AY62" s="0">
        <f>MAX(0,MIN(AG62,BX62-SUMPRODUCT(($T$2:$AK$2&lt;AG$2)*($T62:$AK62))))</f>
      </c>
      <c r="AZ62" s="0">
        <f>MAX(0,MIN(AH62,BX62-SUMPRODUCT(($T$2:$AK$2&lt;AH$2)*($T62:$AK62))))</f>
      </c>
      <c r="BA62" s="0">
        <f>MAX(0,MIN(AI62,BX62-SUMPRODUCT(($T$2:$AK$2&lt;AI$2)*($T62:$AK62))))</f>
      </c>
      <c r="BB62" s="0">
        <f>MAX(0,MIN(AJ62,BX62-SUMPRODUCT(($T$2:$AK$2&lt;AJ$2)*($T62:$AK62))))</f>
      </c>
      <c r="BC62" s="0">
        <f>MAX(0,MIN(AK62,BX62-SUMPRODUCT(($T$2:$AK$2&lt;AK$2)*($T62:$AK62))))</f>
      </c>
      <c r="BD62" s="0">
        <f>T62-AL62</f>
      </c>
      <c r="BE62" s="0">
        <f>U62-AM62</f>
      </c>
      <c r="BF62" s="0">
        <f>V62-AN62</f>
      </c>
      <c r="BG62" s="0">
        <f>W62-AO62</f>
      </c>
      <c r="BH62" s="0">
        <f>X62-AP62</f>
      </c>
      <c r="BI62" s="0">
        <f>Y62-AQ62</f>
      </c>
      <c r="BJ62" s="0">
        <f>Z62-AR62</f>
      </c>
      <c r="BK62" s="0">
        <f>AA62-AS62</f>
      </c>
      <c r="BL62" s="0">
        <f>AB62-AT62</f>
      </c>
      <c r="BM62" s="0">
        <f>AC62-AU62</f>
      </c>
      <c r="BN62" s="0">
        <f>AD62-AV62</f>
      </c>
      <c r="BO62" s="0">
        <f>AE62-AW62</f>
      </c>
      <c r="BP62" s="0">
        <f>AF62-AX62</f>
      </c>
      <c r="BQ62" s="0">
        <f>AG62-AY62</f>
      </c>
      <c r="BR62" s="0">
        <f>AH62-AZ62</f>
      </c>
      <c r="BS62" s="0">
        <f>AI62-BA62</f>
      </c>
      <c r="BT62" s="0">
        <f>AJ62-BB62</f>
      </c>
      <c r="BU62" s="0">
        <f>AK62-BC62</f>
      </c>
      <c r="BV62" s="0">
        <f>SUM(B62:S62)</f>
      </c>
      <c r="BW62" s="0">
        <f>SUM(T62:AK62)</f>
      </c>
      <c r="BX62" s="0">
        <f>MAX(0,(SUM(Calculator!$E$11:$E$28)+Calculator!$C$6)-BV62+BW62)</f>
      </c>
      <c r="BY62" s="0">
        <f>SUM(BD62:BU62)</f>
      </c>
      <c r="BZ62" s="0">
        <f>BV62-BY61</f>
      </c>
      <c r="CA62" s="0">
        <f>IF(A62&lt;=IF($CD$1=0,999,$CD$1),BY62,NA())</f>
      </c>
      <c r="CB62" s="0">
        <f>IF(A62&lt;=IF($CD$1=0,999,$CD$1),A62,NA())</f>
      </c>
    </row>
    <row r="63">
      <c r="A63" s="0">
        <v>60</v>
      </c>
      <c r="B63" s="0">
        <f>BD62*(1+Calculator!$D$11/100/12)</f>
      </c>
      <c r="C63" s="0">
        <f>BE62*(1+Calculator!$D$12/100/12)</f>
      </c>
      <c r="D63" s="0">
        <f>BF62*(1+Calculator!$D$13/100/12)</f>
      </c>
      <c r="E63" s="0">
        <f>BG62*(1+Calculator!$D$14/100/12)</f>
      </c>
      <c r="F63" s="0">
        <f>BH62*(1+Calculator!$D$15/100/12)</f>
      </c>
      <c r="G63" s="0">
        <f>BI62*(1+Calculator!$D$16/100/12)</f>
      </c>
      <c r="H63" s="0">
        <f>BJ62*(1+Calculator!$D$17/100/12)</f>
      </c>
      <c r="I63" s="0">
        <f>BK62*(1+Calculator!$D$18/100/12)</f>
      </c>
      <c r="J63" s="0">
        <f>BL62*(1+Calculator!$D$19/100/12)</f>
      </c>
      <c r="K63" s="0">
        <f>BM62*(1+Calculator!$D$20/100/12)</f>
      </c>
      <c r="L63" s="0">
        <f>BN62*(1+Calculator!$D$21/100/12)</f>
      </c>
      <c r="M63" s="0">
        <f>BO62*(1+Calculator!$D$22/100/12)</f>
      </c>
      <c r="N63" s="0">
        <f>BP62*(1+Calculator!$D$23/100/12)</f>
      </c>
      <c r="O63" s="0">
        <f>BQ62*(1+Calculator!$D$24/100/12)</f>
      </c>
      <c r="P63" s="0">
        <f>BR62*(1+Calculator!$D$25/100/12)</f>
      </c>
      <c r="Q63" s="0">
        <f>BS62*(1+Calculator!$D$26/100/12)</f>
      </c>
      <c r="R63" s="0">
        <f>BT62*(1+Calculator!$D$27/100/12)</f>
      </c>
      <c r="S63" s="0">
        <f>BU62*(1+Calculator!$D$28/100/12)</f>
      </c>
      <c r="T63" s="0">
        <f>MAX(0,B63-Calculator!$E$11)</f>
      </c>
      <c r="U63" s="0">
        <f>MAX(0,C63-Calculator!$E$12)</f>
      </c>
      <c r="V63" s="0">
        <f>MAX(0,D63-Calculator!$E$13)</f>
      </c>
      <c r="W63" s="0">
        <f>MAX(0,E63-Calculator!$E$14)</f>
      </c>
      <c r="X63" s="0">
        <f>MAX(0,F63-Calculator!$E$15)</f>
      </c>
      <c r="Y63" s="0">
        <f>MAX(0,G63-Calculator!$E$16)</f>
      </c>
      <c r="Z63" s="0">
        <f>MAX(0,H63-Calculator!$E$17)</f>
      </c>
      <c r="AA63" s="0">
        <f>MAX(0,I63-Calculator!$E$18)</f>
      </c>
      <c r="AB63" s="0">
        <f>MAX(0,J63-Calculator!$E$19)</f>
      </c>
      <c r="AC63" s="0">
        <f>MAX(0,K63-Calculator!$E$20)</f>
      </c>
      <c r="AD63" s="0">
        <f>MAX(0,L63-Calculator!$E$21)</f>
      </c>
      <c r="AE63" s="0">
        <f>MAX(0,M63-Calculator!$E$22)</f>
      </c>
      <c r="AF63" s="0">
        <f>MAX(0,N63-Calculator!$E$23)</f>
      </c>
      <c r="AG63" s="0">
        <f>MAX(0,O63-Calculator!$E$24)</f>
      </c>
      <c r="AH63" s="0">
        <f>MAX(0,P63-Calculator!$E$25)</f>
      </c>
      <c r="AI63" s="0">
        <f>MAX(0,Q63-Calculator!$E$26)</f>
      </c>
      <c r="AJ63" s="0">
        <f>MAX(0,R63-Calculator!$E$27)</f>
      </c>
      <c r="AK63" s="0">
        <f>MAX(0,S63-Calculator!$E$28)</f>
      </c>
      <c r="AL63" s="0">
        <f>MAX(0,MIN(T63,BX63-SUMPRODUCT(($T$2:$AK$2&lt;T$2)*($T63:$AK63))))</f>
      </c>
      <c r="AM63" s="0">
        <f>MAX(0,MIN(U63,BX63-SUMPRODUCT(($T$2:$AK$2&lt;U$2)*($T63:$AK63))))</f>
      </c>
      <c r="AN63" s="0">
        <f>MAX(0,MIN(V63,BX63-SUMPRODUCT(($T$2:$AK$2&lt;V$2)*($T63:$AK63))))</f>
      </c>
      <c r="AO63" s="0">
        <f>MAX(0,MIN(W63,BX63-SUMPRODUCT(($T$2:$AK$2&lt;W$2)*($T63:$AK63))))</f>
      </c>
      <c r="AP63" s="0">
        <f>MAX(0,MIN(X63,BX63-SUMPRODUCT(($T$2:$AK$2&lt;X$2)*($T63:$AK63))))</f>
      </c>
      <c r="AQ63" s="0">
        <f>MAX(0,MIN(Y63,BX63-SUMPRODUCT(($T$2:$AK$2&lt;Y$2)*($T63:$AK63))))</f>
      </c>
      <c r="AR63" s="0">
        <f>MAX(0,MIN(Z63,BX63-SUMPRODUCT(($T$2:$AK$2&lt;Z$2)*($T63:$AK63))))</f>
      </c>
      <c r="AS63" s="0">
        <f>MAX(0,MIN(AA63,BX63-SUMPRODUCT(($T$2:$AK$2&lt;AA$2)*($T63:$AK63))))</f>
      </c>
      <c r="AT63" s="0">
        <f>MAX(0,MIN(AB63,BX63-SUMPRODUCT(($T$2:$AK$2&lt;AB$2)*($T63:$AK63))))</f>
      </c>
      <c r="AU63" s="0">
        <f>MAX(0,MIN(AC63,BX63-SUMPRODUCT(($T$2:$AK$2&lt;AC$2)*($T63:$AK63))))</f>
      </c>
      <c r="AV63" s="0">
        <f>MAX(0,MIN(AD63,BX63-SUMPRODUCT(($T$2:$AK$2&lt;AD$2)*($T63:$AK63))))</f>
      </c>
      <c r="AW63" s="0">
        <f>MAX(0,MIN(AE63,BX63-SUMPRODUCT(($T$2:$AK$2&lt;AE$2)*($T63:$AK63))))</f>
      </c>
      <c r="AX63" s="0">
        <f>MAX(0,MIN(AF63,BX63-SUMPRODUCT(($T$2:$AK$2&lt;AF$2)*($T63:$AK63))))</f>
      </c>
      <c r="AY63" s="0">
        <f>MAX(0,MIN(AG63,BX63-SUMPRODUCT(($T$2:$AK$2&lt;AG$2)*($T63:$AK63))))</f>
      </c>
      <c r="AZ63" s="0">
        <f>MAX(0,MIN(AH63,BX63-SUMPRODUCT(($T$2:$AK$2&lt;AH$2)*($T63:$AK63))))</f>
      </c>
      <c r="BA63" s="0">
        <f>MAX(0,MIN(AI63,BX63-SUMPRODUCT(($T$2:$AK$2&lt;AI$2)*($T63:$AK63))))</f>
      </c>
      <c r="BB63" s="0">
        <f>MAX(0,MIN(AJ63,BX63-SUMPRODUCT(($T$2:$AK$2&lt;AJ$2)*($T63:$AK63))))</f>
      </c>
      <c r="BC63" s="0">
        <f>MAX(0,MIN(AK63,BX63-SUMPRODUCT(($T$2:$AK$2&lt;AK$2)*($T63:$AK63))))</f>
      </c>
      <c r="BD63" s="0">
        <f>T63-AL63</f>
      </c>
      <c r="BE63" s="0">
        <f>U63-AM63</f>
      </c>
      <c r="BF63" s="0">
        <f>V63-AN63</f>
      </c>
      <c r="BG63" s="0">
        <f>W63-AO63</f>
      </c>
      <c r="BH63" s="0">
        <f>X63-AP63</f>
      </c>
      <c r="BI63" s="0">
        <f>Y63-AQ63</f>
      </c>
      <c r="BJ63" s="0">
        <f>Z63-AR63</f>
      </c>
      <c r="BK63" s="0">
        <f>AA63-AS63</f>
      </c>
      <c r="BL63" s="0">
        <f>AB63-AT63</f>
      </c>
      <c r="BM63" s="0">
        <f>AC63-AU63</f>
      </c>
      <c r="BN63" s="0">
        <f>AD63-AV63</f>
      </c>
      <c r="BO63" s="0">
        <f>AE63-AW63</f>
      </c>
      <c r="BP63" s="0">
        <f>AF63-AX63</f>
      </c>
      <c r="BQ63" s="0">
        <f>AG63-AY63</f>
      </c>
      <c r="BR63" s="0">
        <f>AH63-AZ63</f>
      </c>
      <c r="BS63" s="0">
        <f>AI63-BA63</f>
      </c>
      <c r="BT63" s="0">
        <f>AJ63-BB63</f>
      </c>
      <c r="BU63" s="0">
        <f>AK63-BC63</f>
      </c>
      <c r="BV63" s="0">
        <f>SUM(B63:S63)</f>
      </c>
      <c r="BW63" s="0">
        <f>SUM(T63:AK63)</f>
      </c>
      <c r="BX63" s="0">
        <f>MAX(0,(SUM(Calculator!$E$11:$E$28)+Calculator!$C$6)-BV63+BW63)</f>
      </c>
      <c r="BY63" s="0">
        <f>SUM(BD63:BU63)</f>
      </c>
      <c r="BZ63" s="0">
        <f>BV63-BY62</f>
      </c>
      <c r="CA63" s="0">
        <f>IF(A63&lt;=IF($CD$1=0,999,$CD$1),BY63,NA())</f>
      </c>
      <c r="CB63" s="0">
        <f>IF(A63&lt;=IF($CD$1=0,999,$CD$1),A63,NA())</f>
      </c>
    </row>
    <row r="64">
      <c r="A64" s="0">
        <v>61</v>
      </c>
      <c r="B64" s="0">
        <f>BD63*(1+Calculator!$D$11/100/12)</f>
      </c>
      <c r="C64" s="0">
        <f>BE63*(1+Calculator!$D$12/100/12)</f>
      </c>
      <c r="D64" s="0">
        <f>BF63*(1+Calculator!$D$13/100/12)</f>
      </c>
      <c r="E64" s="0">
        <f>BG63*(1+Calculator!$D$14/100/12)</f>
      </c>
      <c r="F64" s="0">
        <f>BH63*(1+Calculator!$D$15/100/12)</f>
      </c>
      <c r="G64" s="0">
        <f>BI63*(1+Calculator!$D$16/100/12)</f>
      </c>
      <c r="H64" s="0">
        <f>BJ63*(1+Calculator!$D$17/100/12)</f>
      </c>
      <c r="I64" s="0">
        <f>BK63*(1+Calculator!$D$18/100/12)</f>
      </c>
      <c r="J64" s="0">
        <f>BL63*(1+Calculator!$D$19/100/12)</f>
      </c>
      <c r="K64" s="0">
        <f>BM63*(1+Calculator!$D$20/100/12)</f>
      </c>
      <c r="L64" s="0">
        <f>BN63*(1+Calculator!$D$21/100/12)</f>
      </c>
      <c r="M64" s="0">
        <f>BO63*(1+Calculator!$D$22/100/12)</f>
      </c>
      <c r="N64" s="0">
        <f>BP63*(1+Calculator!$D$23/100/12)</f>
      </c>
      <c r="O64" s="0">
        <f>BQ63*(1+Calculator!$D$24/100/12)</f>
      </c>
      <c r="P64" s="0">
        <f>BR63*(1+Calculator!$D$25/100/12)</f>
      </c>
      <c r="Q64" s="0">
        <f>BS63*(1+Calculator!$D$26/100/12)</f>
      </c>
      <c r="R64" s="0">
        <f>BT63*(1+Calculator!$D$27/100/12)</f>
      </c>
      <c r="S64" s="0">
        <f>BU63*(1+Calculator!$D$28/100/12)</f>
      </c>
      <c r="T64" s="0">
        <f>MAX(0,B64-Calculator!$E$11)</f>
      </c>
      <c r="U64" s="0">
        <f>MAX(0,C64-Calculator!$E$12)</f>
      </c>
      <c r="V64" s="0">
        <f>MAX(0,D64-Calculator!$E$13)</f>
      </c>
      <c r="W64" s="0">
        <f>MAX(0,E64-Calculator!$E$14)</f>
      </c>
      <c r="X64" s="0">
        <f>MAX(0,F64-Calculator!$E$15)</f>
      </c>
      <c r="Y64" s="0">
        <f>MAX(0,G64-Calculator!$E$16)</f>
      </c>
      <c r="Z64" s="0">
        <f>MAX(0,H64-Calculator!$E$17)</f>
      </c>
      <c r="AA64" s="0">
        <f>MAX(0,I64-Calculator!$E$18)</f>
      </c>
      <c r="AB64" s="0">
        <f>MAX(0,J64-Calculator!$E$19)</f>
      </c>
      <c r="AC64" s="0">
        <f>MAX(0,K64-Calculator!$E$20)</f>
      </c>
      <c r="AD64" s="0">
        <f>MAX(0,L64-Calculator!$E$21)</f>
      </c>
      <c r="AE64" s="0">
        <f>MAX(0,M64-Calculator!$E$22)</f>
      </c>
      <c r="AF64" s="0">
        <f>MAX(0,N64-Calculator!$E$23)</f>
      </c>
      <c r="AG64" s="0">
        <f>MAX(0,O64-Calculator!$E$24)</f>
      </c>
      <c r="AH64" s="0">
        <f>MAX(0,P64-Calculator!$E$25)</f>
      </c>
      <c r="AI64" s="0">
        <f>MAX(0,Q64-Calculator!$E$26)</f>
      </c>
      <c r="AJ64" s="0">
        <f>MAX(0,R64-Calculator!$E$27)</f>
      </c>
      <c r="AK64" s="0">
        <f>MAX(0,S64-Calculator!$E$28)</f>
      </c>
      <c r="AL64" s="0">
        <f>MAX(0,MIN(T64,BX64-SUMPRODUCT(($T$2:$AK$2&lt;T$2)*($T64:$AK64))))</f>
      </c>
      <c r="AM64" s="0">
        <f>MAX(0,MIN(U64,BX64-SUMPRODUCT(($T$2:$AK$2&lt;U$2)*($T64:$AK64))))</f>
      </c>
      <c r="AN64" s="0">
        <f>MAX(0,MIN(V64,BX64-SUMPRODUCT(($T$2:$AK$2&lt;V$2)*($T64:$AK64))))</f>
      </c>
      <c r="AO64" s="0">
        <f>MAX(0,MIN(W64,BX64-SUMPRODUCT(($T$2:$AK$2&lt;W$2)*($T64:$AK64))))</f>
      </c>
      <c r="AP64" s="0">
        <f>MAX(0,MIN(X64,BX64-SUMPRODUCT(($T$2:$AK$2&lt;X$2)*($T64:$AK64))))</f>
      </c>
      <c r="AQ64" s="0">
        <f>MAX(0,MIN(Y64,BX64-SUMPRODUCT(($T$2:$AK$2&lt;Y$2)*($T64:$AK64))))</f>
      </c>
      <c r="AR64" s="0">
        <f>MAX(0,MIN(Z64,BX64-SUMPRODUCT(($T$2:$AK$2&lt;Z$2)*($T64:$AK64))))</f>
      </c>
      <c r="AS64" s="0">
        <f>MAX(0,MIN(AA64,BX64-SUMPRODUCT(($T$2:$AK$2&lt;AA$2)*($T64:$AK64))))</f>
      </c>
      <c r="AT64" s="0">
        <f>MAX(0,MIN(AB64,BX64-SUMPRODUCT(($T$2:$AK$2&lt;AB$2)*($T64:$AK64))))</f>
      </c>
      <c r="AU64" s="0">
        <f>MAX(0,MIN(AC64,BX64-SUMPRODUCT(($T$2:$AK$2&lt;AC$2)*($T64:$AK64))))</f>
      </c>
      <c r="AV64" s="0">
        <f>MAX(0,MIN(AD64,BX64-SUMPRODUCT(($T$2:$AK$2&lt;AD$2)*($T64:$AK64))))</f>
      </c>
      <c r="AW64" s="0">
        <f>MAX(0,MIN(AE64,BX64-SUMPRODUCT(($T$2:$AK$2&lt;AE$2)*($T64:$AK64))))</f>
      </c>
      <c r="AX64" s="0">
        <f>MAX(0,MIN(AF64,BX64-SUMPRODUCT(($T$2:$AK$2&lt;AF$2)*($T64:$AK64))))</f>
      </c>
      <c r="AY64" s="0">
        <f>MAX(0,MIN(AG64,BX64-SUMPRODUCT(($T$2:$AK$2&lt;AG$2)*($T64:$AK64))))</f>
      </c>
      <c r="AZ64" s="0">
        <f>MAX(0,MIN(AH64,BX64-SUMPRODUCT(($T$2:$AK$2&lt;AH$2)*($T64:$AK64))))</f>
      </c>
      <c r="BA64" s="0">
        <f>MAX(0,MIN(AI64,BX64-SUMPRODUCT(($T$2:$AK$2&lt;AI$2)*($T64:$AK64))))</f>
      </c>
      <c r="BB64" s="0">
        <f>MAX(0,MIN(AJ64,BX64-SUMPRODUCT(($T$2:$AK$2&lt;AJ$2)*($T64:$AK64))))</f>
      </c>
      <c r="BC64" s="0">
        <f>MAX(0,MIN(AK64,BX64-SUMPRODUCT(($T$2:$AK$2&lt;AK$2)*($T64:$AK64))))</f>
      </c>
      <c r="BD64" s="0">
        <f>T64-AL64</f>
      </c>
      <c r="BE64" s="0">
        <f>U64-AM64</f>
      </c>
      <c r="BF64" s="0">
        <f>V64-AN64</f>
      </c>
      <c r="BG64" s="0">
        <f>W64-AO64</f>
      </c>
      <c r="BH64" s="0">
        <f>X64-AP64</f>
      </c>
      <c r="BI64" s="0">
        <f>Y64-AQ64</f>
      </c>
      <c r="BJ64" s="0">
        <f>Z64-AR64</f>
      </c>
      <c r="BK64" s="0">
        <f>AA64-AS64</f>
      </c>
      <c r="BL64" s="0">
        <f>AB64-AT64</f>
      </c>
      <c r="BM64" s="0">
        <f>AC64-AU64</f>
      </c>
      <c r="BN64" s="0">
        <f>AD64-AV64</f>
      </c>
      <c r="BO64" s="0">
        <f>AE64-AW64</f>
      </c>
      <c r="BP64" s="0">
        <f>AF64-AX64</f>
      </c>
      <c r="BQ64" s="0">
        <f>AG64-AY64</f>
      </c>
      <c r="BR64" s="0">
        <f>AH64-AZ64</f>
      </c>
      <c r="BS64" s="0">
        <f>AI64-BA64</f>
      </c>
      <c r="BT64" s="0">
        <f>AJ64-BB64</f>
      </c>
      <c r="BU64" s="0">
        <f>AK64-BC64</f>
      </c>
      <c r="BV64" s="0">
        <f>SUM(B64:S64)</f>
      </c>
      <c r="BW64" s="0">
        <f>SUM(T64:AK64)</f>
      </c>
      <c r="BX64" s="0">
        <f>MAX(0,(SUM(Calculator!$E$11:$E$28)+Calculator!$C$6)-BV64+BW64)</f>
      </c>
      <c r="BY64" s="0">
        <f>SUM(BD64:BU64)</f>
      </c>
      <c r="BZ64" s="0">
        <f>BV64-BY63</f>
      </c>
      <c r="CA64" s="0">
        <f>IF(A64&lt;=IF($CD$1=0,999,$CD$1),BY64,NA())</f>
      </c>
      <c r="CB64" s="0">
        <f>IF(A64&lt;=IF($CD$1=0,999,$CD$1),A64,NA())</f>
      </c>
    </row>
    <row r="65">
      <c r="A65" s="0">
        <v>62</v>
      </c>
      <c r="B65" s="0">
        <f>BD64*(1+Calculator!$D$11/100/12)</f>
      </c>
      <c r="C65" s="0">
        <f>BE64*(1+Calculator!$D$12/100/12)</f>
      </c>
      <c r="D65" s="0">
        <f>BF64*(1+Calculator!$D$13/100/12)</f>
      </c>
      <c r="E65" s="0">
        <f>BG64*(1+Calculator!$D$14/100/12)</f>
      </c>
      <c r="F65" s="0">
        <f>BH64*(1+Calculator!$D$15/100/12)</f>
      </c>
      <c r="G65" s="0">
        <f>BI64*(1+Calculator!$D$16/100/12)</f>
      </c>
      <c r="H65" s="0">
        <f>BJ64*(1+Calculator!$D$17/100/12)</f>
      </c>
      <c r="I65" s="0">
        <f>BK64*(1+Calculator!$D$18/100/12)</f>
      </c>
      <c r="J65" s="0">
        <f>BL64*(1+Calculator!$D$19/100/12)</f>
      </c>
      <c r="K65" s="0">
        <f>BM64*(1+Calculator!$D$20/100/12)</f>
      </c>
      <c r="L65" s="0">
        <f>BN64*(1+Calculator!$D$21/100/12)</f>
      </c>
      <c r="M65" s="0">
        <f>BO64*(1+Calculator!$D$22/100/12)</f>
      </c>
      <c r="N65" s="0">
        <f>BP64*(1+Calculator!$D$23/100/12)</f>
      </c>
      <c r="O65" s="0">
        <f>BQ64*(1+Calculator!$D$24/100/12)</f>
      </c>
      <c r="P65" s="0">
        <f>BR64*(1+Calculator!$D$25/100/12)</f>
      </c>
      <c r="Q65" s="0">
        <f>BS64*(1+Calculator!$D$26/100/12)</f>
      </c>
      <c r="R65" s="0">
        <f>BT64*(1+Calculator!$D$27/100/12)</f>
      </c>
      <c r="S65" s="0">
        <f>BU64*(1+Calculator!$D$28/100/12)</f>
      </c>
      <c r="T65" s="0">
        <f>MAX(0,B65-Calculator!$E$11)</f>
      </c>
      <c r="U65" s="0">
        <f>MAX(0,C65-Calculator!$E$12)</f>
      </c>
      <c r="V65" s="0">
        <f>MAX(0,D65-Calculator!$E$13)</f>
      </c>
      <c r="W65" s="0">
        <f>MAX(0,E65-Calculator!$E$14)</f>
      </c>
      <c r="X65" s="0">
        <f>MAX(0,F65-Calculator!$E$15)</f>
      </c>
      <c r="Y65" s="0">
        <f>MAX(0,G65-Calculator!$E$16)</f>
      </c>
      <c r="Z65" s="0">
        <f>MAX(0,H65-Calculator!$E$17)</f>
      </c>
      <c r="AA65" s="0">
        <f>MAX(0,I65-Calculator!$E$18)</f>
      </c>
      <c r="AB65" s="0">
        <f>MAX(0,J65-Calculator!$E$19)</f>
      </c>
      <c r="AC65" s="0">
        <f>MAX(0,K65-Calculator!$E$20)</f>
      </c>
      <c r="AD65" s="0">
        <f>MAX(0,L65-Calculator!$E$21)</f>
      </c>
      <c r="AE65" s="0">
        <f>MAX(0,M65-Calculator!$E$22)</f>
      </c>
      <c r="AF65" s="0">
        <f>MAX(0,N65-Calculator!$E$23)</f>
      </c>
      <c r="AG65" s="0">
        <f>MAX(0,O65-Calculator!$E$24)</f>
      </c>
      <c r="AH65" s="0">
        <f>MAX(0,P65-Calculator!$E$25)</f>
      </c>
      <c r="AI65" s="0">
        <f>MAX(0,Q65-Calculator!$E$26)</f>
      </c>
      <c r="AJ65" s="0">
        <f>MAX(0,R65-Calculator!$E$27)</f>
      </c>
      <c r="AK65" s="0">
        <f>MAX(0,S65-Calculator!$E$28)</f>
      </c>
      <c r="AL65" s="0">
        <f>MAX(0,MIN(T65,BX65-SUMPRODUCT(($T$2:$AK$2&lt;T$2)*($T65:$AK65))))</f>
      </c>
      <c r="AM65" s="0">
        <f>MAX(0,MIN(U65,BX65-SUMPRODUCT(($T$2:$AK$2&lt;U$2)*($T65:$AK65))))</f>
      </c>
      <c r="AN65" s="0">
        <f>MAX(0,MIN(V65,BX65-SUMPRODUCT(($T$2:$AK$2&lt;V$2)*($T65:$AK65))))</f>
      </c>
      <c r="AO65" s="0">
        <f>MAX(0,MIN(W65,BX65-SUMPRODUCT(($T$2:$AK$2&lt;W$2)*($T65:$AK65))))</f>
      </c>
      <c r="AP65" s="0">
        <f>MAX(0,MIN(X65,BX65-SUMPRODUCT(($T$2:$AK$2&lt;X$2)*($T65:$AK65))))</f>
      </c>
      <c r="AQ65" s="0">
        <f>MAX(0,MIN(Y65,BX65-SUMPRODUCT(($T$2:$AK$2&lt;Y$2)*($T65:$AK65))))</f>
      </c>
      <c r="AR65" s="0">
        <f>MAX(0,MIN(Z65,BX65-SUMPRODUCT(($T$2:$AK$2&lt;Z$2)*($T65:$AK65))))</f>
      </c>
      <c r="AS65" s="0">
        <f>MAX(0,MIN(AA65,BX65-SUMPRODUCT(($T$2:$AK$2&lt;AA$2)*($T65:$AK65))))</f>
      </c>
      <c r="AT65" s="0">
        <f>MAX(0,MIN(AB65,BX65-SUMPRODUCT(($T$2:$AK$2&lt;AB$2)*($T65:$AK65))))</f>
      </c>
      <c r="AU65" s="0">
        <f>MAX(0,MIN(AC65,BX65-SUMPRODUCT(($T$2:$AK$2&lt;AC$2)*($T65:$AK65))))</f>
      </c>
      <c r="AV65" s="0">
        <f>MAX(0,MIN(AD65,BX65-SUMPRODUCT(($T$2:$AK$2&lt;AD$2)*($T65:$AK65))))</f>
      </c>
      <c r="AW65" s="0">
        <f>MAX(0,MIN(AE65,BX65-SUMPRODUCT(($T$2:$AK$2&lt;AE$2)*($T65:$AK65))))</f>
      </c>
      <c r="AX65" s="0">
        <f>MAX(0,MIN(AF65,BX65-SUMPRODUCT(($T$2:$AK$2&lt;AF$2)*($T65:$AK65))))</f>
      </c>
      <c r="AY65" s="0">
        <f>MAX(0,MIN(AG65,BX65-SUMPRODUCT(($T$2:$AK$2&lt;AG$2)*($T65:$AK65))))</f>
      </c>
      <c r="AZ65" s="0">
        <f>MAX(0,MIN(AH65,BX65-SUMPRODUCT(($T$2:$AK$2&lt;AH$2)*($T65:$AK65))))</f>
      </c>
      <c r="BA65" s="0">
        <f>MAX(0,MIN(AI65,BX65-SUMPRODUCT(($T$2:$AK$2&lt;AI$2)*($T65:$AK65))))</f>
      </c>
      <c r="BB65" s="0">
        <f>MAX(0,MIN(AJ65,BX65-SUMPRODUCT(($T$2:$AK$2&lt;AJ$2)*($T65:$AK65))))</f>
      </c>
      <c r="BC65" s="0">
        <f>MAX(0,MIN(AK65,BX65-SUMPRODUCT(($T$2:$AK$2&lt;AK$2)*($T65:$AK65))))</f>
      </c>
      <c r="BD65" s="0">
        <f>T65-AL65</f>
      </c>
      <c r="BE65" s="0">
        <f>U65-AM65</f>
      </c>
      <c r="BF65" s="0">
        <f>V65-AN65</f>
      </c>
      <c r="BG65" s="0">
        <f>W65-AO65</f>
      </c>
      <c r="BH65" s="0">
        <f>X65-AP65</f>
      </c>
      <c r="BI65" s="0">
        <f>Y65-AQ65</f>
      </c>
      <c r="BJ65" s="0">
        <f>Z65-AR65</f>
      </c>
      <c r="BK65" s="0">
        <f>AA65-AS65</f>
      </c>
      <c r="BL65" s="0">
        <f>AB65-AT65</f>
      </c>
      <c r="BM65" s="0">
        <f>AC65-AU65</f>
      </c>
      <c r="BN65" s="0">
        <f>AD65-AV65</f>
      </c>
      <c r="BO65" s="0">
        <f>AE65-AW65</f>
      </c>
      <c r="BP65" s="0">
        <f>AF65-AX65</f>
      </c>
      <c r="BQ65" s="0">
        <f>AG65-AY65</f>
      </c>
      <c r="BR65" s="0">
        <f>AH65-AZ65</f>
      </c>
      <c r="BS65" s="0">
        <f>AI65-BA65</f>
      </c>
      <c r="BT65" s="0">
        <f>AJ65-BB65</f>
      </c>
      <c r="BU65" s="0">
        <f>AK65-BC65</f>
      </c>
      <c r="BV65" s="0">
        <f>SUM(B65:S65)</f>
      </c>
      <c r="BW65" s="0">
        <f>SUM(T65:AK65)</f>
      </c>
      <c r="BX65" s="0">
        <f>MAX(0,(SUM(Calculator!$E$11:$E$28)+Calculator!$C$6)-BV65+BW65)</f>
      </c>
      <c r="BY65" s="0">
        <f>SUM(BD65:BU65)</f>
      </c>
      <c r="BZ65" s="0">
        <f>BV65-BY64</f>
      </c>
      <c r="CA65" s="0">
        <f>IF(A65&lt;=IF($CD$1=0,999,$CD$1),BY65,NA())</f>
      </c>
      <c r="CB65" s="0">
        <f>IF(A65&lt;=IF($CD$1=0,999,$CD$1),A65,NA())</f>
      </c>
    </row>
    <row r="66">
      <c r="A66" s="0">
        <v>63</v>
      </c>
      <c r="B66" s="0">
        <f>BD65*(1+Calculator!$D$11/100/12)</f>
      </c>
      <c r="C66" s="0">
        <f>BE65*(1+Calculator!$D$12/100/12)</f>
      </c>
      <c r="D66" s="0">
        <f>BF65*(1+Calculator!$D$13/100/12)</f>
      </c>
      <c r="E66" s="0">
        <f>BG65*(1+Calculator!$D$14/100/12)</f>
      </c>
      <c r="F66" s="0">
        <f>BH65*(1+Calculator!$D$15/100/12)</f>
      </c>
      <c r="G66" s="0">
        <f>BI65*(1+Calculator!$D$16/100/12)</f>
      </c>
      <c r="H66" s="0">
        <f>BJ65*(1+Calculator!$D$17/100/12)</f>
      </c>
      <c r="I66" s="0">
        <f>BK65*(1+Calculator!$D$18/100/12)</f>
      </c>
      <c r="J66" s="0">
        <f>BL65*(1+Calculator!$D$19/100/12)</f>
      </c>
      <c r="K66" s="0">
        <f>BM65*(1+Calculator!$D$20/100/12)</f>
      </c>
      <c r="L66" s="0">
        <f>BN65*(1+Calculator!$D$21/100/12)</f>
      </c>
      <c r="M66" s="0">
        <f>BO65*(1+Calculator!$D$22/100/12)</f>
      </c>
      <c r="N66" s="0">
        <f>BP65*(1+Calculator!$D$23/100/12)</f>
      </c>
      <c r="O66" s="0">
        <f>BQ65*(1+Calculator!$D$24/100/12)</f>
      </c>
      <c r="P66" s="0">
        <f>BR65*(1+Calculator!$D$25/100/12)</f>
      </c>
      <c r="Q66" s="0">
        <f>BS65*(1+Calculator!$D$26/100/12)</f>
      </c>
      <c r="R66" s="0">
        <f>BT65*(1+Calculator!$D$27/100/12)</f>
      </c>
      <c r="S66" s="0">
        <f>BU65*(1+Calculator!$D$28/100/12)</f>
      </c>
      <c r="T66" s="0">
        <f>MAX(0,B66-Calculator!$E$11)</f>
      </c>
      <c r="U66" s="0">
        <f>MAX(0,C66-Calculator!$E$12)</f>
      </c>
      <c r="V66" s="0">
        <f>MAX(0,D66-Calculator!$E$13)</f>
      </c>
      <c r="W66" s="0">
        <f>MAX(0,E66-Calculator!$E$14)</f>
      </c>
      <c r="X66" s="0">
        <f>MAX(0,F66-Calculator!$E$15)</f>
      </c>
      <c r="Y66" s="0">
        <f>MAX(0,G66-Calculator!$E$16)</f>
      </c>
      <c r="Z66" s="0">
        <f>MAX(0,H66-Calculator!$E$17)</f>
      </c>
      <c r="AA66" s="0">
        <f>MAX(0,I66-Calculator!$E$18)</f>
      </c>
      <c r="AB66" s="0">
        <f>MAX(0,J66-Calculator!$E$19)</f>
      </c>
      <c r="AC66" s="0">
        <f>MAX(0,K66-Calculator!$E$20)</f>
      </c>
      <c r="AD66" s="0">
        <f>MAX(0,L66-Calculator!$E$21)</f>
      </c>
      <c r="AE66" s="0">
        <f>MAX(0,M66-Calculator!$E$22)</f>
      </c>
      <c r="AF66" s="0">
        <f>MAX(0,N66-Calculator!$E$23)</f>
      </c>
      <c r="AG66" s="0">
        <f>MAX(0,O66-Calculator!$E$24)</f>
      </c>
      <c r="AH66" s="0">
        <f>MAX(0,P66-Calculator!$E$25)</f>
      </c>
      <c r="AI66" s="0">
        <f>MAX(0,Q66-Calculator!$E$26)</f>
      </c>
      <c r="AJ66" s="0">
        <f>MAX(0,R66-Calculator!$E$27)</f>
      </c>
      <c r="AK66" s="0">
        <f>MAX(0,S66-Calculator!$E$28)</f>
      </c>
      <c r="AL66" s="0">
        <f>MAX(0,MIN(T66,BX66-SUMPRODUCT(($T$2:$AK$2&lt;T$2)*($T66:$AK66))))</f>
      </c>
      <c r="AM66" s="0">
        <f>MAX(0,MIN(U66,BX66-SUMPRODUCT(($T$2:$AK$2&lt;U$2)*($T66:$AK66))))</f>
      </c>
      <c r="AN66" s="0">
        <f>MAX(0,MIN(V66,BX66-SUMPRODUCT(($T$2:$AK$2&lt;V$2)*($T66:$AK66))))</f>
      </c>
      <c r="AO66" s="0">
        <f>MAX(0,MIN(W66,BX66-SUMPRODUCT(($T$2:$AK$2&lt;W$2)*($T66:$AK66))))</f>
      </c>
      <c r="AP66" s="0">
        <f>MAX(0,MIN(X66,BX66-SUMPRODUCT(($T$2:$AK$2&lt;X$2)*($T66:$AK66))))</f>
      </c>
      <c r="AQ66" s="0">
        <f>MAX(0,MIN(Y66,BX66-SUMPRODUCT(($T$2:$AK$2&lt;Y$2)*($T66:$AK66))))</f>
      </c>
      <c r="AR66" s="0">
        <f>MAX(0,MIN(Z66,BX66-SUMPRODUCT(($T$2:$AK$2&lt;Z$2)*($T66:$AK66))))</f>
      </c>
      <c r="AS66" s="0">
        <f>MAX(0,MIN(AA66,BX66-SUMPRODUCT(($T$2:$AK$2&lt;AA$2)*($T66:$AK66))))</f>
      </c>
      <c r="AT66" s="0">
        <f>MAX(0,MIN(AB66,BX66-SUMPRODUCT(($T$2:$AK$2&lt;AB$2)*($T66:$AK66))))</f>
      </c>
      <c r="AU66" s="0">
        <f>MAX(0,MIN(AC66,BX66-SUMPRODUCT(($T$2:$AK$2&lt;AC$2)*($T66:$AK66))))</f>
      </c>
      <c r="AV66" s="0">
        <f>MAX(0,MIN(AD66,BX66-SUMPRODUCT(($T$2:$AK$2&lt;AD$2)*($T66:$AK66))))</f>
      </c>
      <c r="AW66" s="0">
        <f>MAX(0,MIN(AE66,BX66-SUMPRODUCT(($T$2:$AK$2&lt;AE$2)*($T66:$AK66))))</f>
      </c>
      <c r="AX66" s="0">
        <f>MAX(0,MIN(AF66,BX66-SUMPRODUCT(($T$2:$AK$2&lt;AF$2)*($T66:$AK66))))</f>
      </c>
      <c r="AY66" s="0">
        <f>MAX(0,MIN(AG66,BX66-SUMPRODUCT(($T$2:$AK$2&lt;AG$2)*($T66:$AK66))))</f>
      </c>
      <c r="AZ66" s="0">
        <f>MAX(0,MIN(AH66,BX66-SUMPRODUCT(($T$2:$AK$2&lt;AH$2)*($T66:$AK66))))</f>
      </c>
      <c r="BA66" s="0">
        <f>MAX(0,MIN(AI66,BX66-SUMPRODUCT(($T$2:$AK$2&lt;AI$2)*($T66:$AK66))))</f>
      </c>
      <c r="BB66" s="0">
        <f>MAX(0,MIN(AJ66,BX66-SUMPRODUCT(($T$2:$AK$2&lt;AJ$2)*($T66:$AK66))))</f>
      </c>
      <c r="BC66" s="0">
        <f>MAX(0,MIN(AK66,BX66-SUMPRODUCT(($T$2:$AK$2&lt;AK$2)*($T66:$AK66))))</f>
      </c>
      <c r="BD66" s="0">
        <f>T66-AL66</f>
      </c>
      <c r="BE66" s="0">
        <f>U66-AM66</f>
      </c>
      <c r="BF66" s="0">
        <f>V66-AN66</f>
      </c>
      <c r="BG66" s="0">
        <f>W66-AO66</f>
      </c>
      <c r="BH66" s="0">
        <f>X66-AP66</f>
      </c>
      <c r="BI66" s="0">
        <f>Y66-AQ66</f>
      </c>
      <c r="BJ66" s="0">
        <f>Z66-AR66</f>
      </c>
      <c r="BK66" s="0">
        <f>AA66-AS66</f>
      </c>
      <c r="BL66" s="0">
        <f>AB66-AT66</f>
      </c>
      <c r="BM66" s="0">
        <f>AC66-AU66</f>
      </c>
      <c r="BN66" s="0">
        <f>AD66-AV66</f>
      </c>
      <c r="BO66" s="0">
        <f>AE66-AW66</f>
      </c>
      <c r="BP66" s="0">
        <f>AF66-AX66</f>
      </c>
      <c r="BQ66" s="0">
        <f>AG66-AY66</f>
      </c>
      <c r="BR66" s="0">
        <f>AH66-AZ66</f>
      </c>
      <c r="BS66" s="0">
        <f>AI66-BA66</f>
      </c>
      <c r="BT66" s="0">
        <f>AJ66-BB66</f>
      </c>
      <c r="BU66" s="0">
        <f>AK66-BC66</f>
      </c>
      <c r="BV66" s="0">
        <f>SUM(B66:S66)</f>
      </c>
      <c r="BW66" s="0">
        <f>SUM(T66:AK66)</f>
      </c>
      <c r="BX66" s="0">
        <f>MAX(0,(SUM(Calculator!$E$11:$E$28)+Calculator!$C$6)-BV66+BW66)</f>
      </c>
      <c r="BY66" s="0">
        <f>SUM(BD66:BU66)</f>
      </c>
      <c r="BZ66" s="0">
        <f>BV66-BY65</f>
      </c>
      <c r="CA66" s="0">
        <f>IF(A66&lt;=IF($CD$1=0,999,$CD$1),BY66,NA())</f>
      </c>
      <c r="CB66" s="0">
        <f>IF(A66&lt;=IF($CD$1=0,999,$CD$1),A66,NA())</f>
      </c>
    </row>
    <row r="67">
      <c r="A67" s="0">
        <v>64</v>
      </c>
      <c r="B67" s="0">
        <f>BD66*(1+Calculator!$D$11/100/12)</f>
      </c>
      <c r="C67" s="0">
        <f>BE66*(1+Calculator!$D$12/100/12)</f>
      </c>
      <c r="D67" s="0">
        <f>BF66*(1+Calculator!$D$13/100/12)</f>
      </c>
      <c r="E67" s="0">
        <f>BG66*(1+Calculator!$D$14/100/12)</f>
      </c>
      <c r="F67" s="0">
        <f>BH66*(1+Calculator!$D$15/100/12)</f>
      </c>
      <c r="G67" s="0">
        <f>BI66*(1+Calculator!$D$16/100/12)</f>
      </c>
      <c r="H67" s="0">
        <f>BJ66*(1+Calculator!$D$17/100/12)</f>
      </c>
      <c r="I67" s="0">
        <f>BK66*(1+Calculator!$D$18/100/12)</f>
      </c>
      <c r="J67" s="0">
        <f>BL66*(1+Calculator!$D$19/100/12)</f>
      </c>
      <c r="K67" s="0">
        <f>BM66*(1+Calculator!$D$20/100/12)</f>
      </c>
      <c r="L67" s="0">
        <f>BN66*(1+Calculator!$D$21/100/12)</f>
      </c>
      <c r="M67" s="0">
        <f>BO66*(1+Calculator!$D$22/100/12)</f>
      </c>
      <c r="N67" s="0">
        <f>BP66*(1+Calculator!$D$23/100/12)</f>
      </c>
      <c r="O67" s="0">
        <f>BQ66*(1+Calculator!$D$24/100/12)</f>
      </c>
      <c r="P67" s="0">
        <f>BR66*(1+Calculator!$D$25/100/12)</f>
      </c>
      <c r="Q67" s="0">
        <f>BS66*(1+Calculator!$D$26/100/12)</f>
      </c>
      <c r="R67" s="0">
        <f>BT66*(1+Calculator!$D$27/100/12)</f>
      </c>
      <c r="S67" s="0">
        <f>BU66*(1+Calculator!$D$28/100/12)</f>
      </c>
      <c r="T67" s="0">
        <f>MAX(0,B67-Calculator!$E$11)</f>
      </c>
      <c r="U67" s="0">
        <f>MAX(0,C67-Calculator!$E$12)</f>
      </c>
      <c r="V67" s="0">
        <f>MAX(0,D67-Calculator!$E$13)</f>
      </c>
      <c r="W67" s="0">
        <f>MAX(0,E67-Calculator!$E$14)</f>
      </c>
      <c r="X67" s="0">
        <f>MAX(0,F67-Calculator!$E$15)</f>
      </c>
      <c r="Y67" s="0">
        <f>MAX(0,G67-Calculator!$E$16)</f>
      </c>
      <c r="Z67" s="0">
        <f>MAX(0,H67-Calculator!$E$17)</f>
      </c>
      <c r="AA67" s="0">
        <f>MAX(0,I67-Calculator!$E$18)</f>
      </c>
      <c r="AB67" s="0">
        <f>MAX(0,J67-Calculator!$E$19)</f>
      </c>
      <c r="AC67" s="0">
        <f>MAX(0,K67-Calculator!$E$20)</f>
      </c>
      <c r="AD67" s="0">
        <f>MAX(0,L67-Calculator!$E$21)</f>
      </c>
      <c r="AE67" s="0">
        <f>MAX(0,M67-Calculator!$E$22)</f>
      </c>
      <c r="AF67" s="0">
        <f>MAX(0,N67-Calculator!$E$23)</f>
      </c>
      <c r="AG67" s="0">
        <f>MAX(0,O67-Calculator!$E$24)</f>
      </c>
      <c r="AH67" s="0">
        <f>MAX(0,P67-Calculator!$E$25)</f>
      </c>
      <c r="AI67" s="0">
        <f>MAX(0,Q67-Calculator!$E$26)</f>
      </c>
      <c r="AJ67" s="0">
        <f>MAX(0,R67-Calculator!$E$27)</f>
      </c>
      <c r="AK67" s="0">
        <f>MAX(0,S67-Calculator!$E$28)</f>
      </c>
      <c r="AL67" s="0">
        <f>MAX(0,MIN(T67,BX67-SUMPRODUCT(($T$2:$AK$2&lt;T$2)*($T67:$AK67))))</f>
      </c>
      <c r="AM67" s="0">
        <f>MAX(0,MIN(U67,BX67-SUMPRODUCT(($T$2:$AK$2&lt;U$2)*($T67:$AK67))))</f>
      </c>
      <c r="AN67" s="0">
        <f>MAX(0,MIN(V67,BX67-SUMPRODUCT(($T$2:$AK$2&lt;V$2)*($T67:$AK67))))</f>
      </c>
      <c r="AO67" s="0">
        <f>MAX(0,MIN(W67,BX67-SUMPRODUCT(($T$2:$AK$2&lt;W$2)*($T67:$AK67))))</f>
      </c>
      <c r="AP67" s="0">
        <f>MAX(0,MIN(X67,BX67-SUMPRODUCT(($T$2:$AK$2&lt;X$2)*($T67:$AK67))))</f>
      </c>
      <c r="AQ67" s="0">
        <f>MAX(0,MIN(Y67,BX67-SUMPRODUCT(($T$2:$AK$2&lt;Y$2)*($T67:$AK67))))</f>
      </c>
      <c r="AR67" s="0">
        <f>MAX(0,MIN(Z67,BX67-SUMPRODUCT(($T$2:$AK$2&lt;Z$2)*($T67:$AK67))))</f>
      </c>
      <c r="AS67" s="0">
        <f>MAX(0,MIN(AA67,BX67-SUMPRODUCT(($T$2:$AK$2&lt;AA$2)*($T67:$AK67))))</f>
      </c>
      <c r="AT67" s="0">
        <f>MAX(0,MIN(AB67,BX67-SUMPRODUCT(($T$2:$AK$2&lt;AB$2)*($T67:$AK67))))</f>
      </c>
      <c r="AU67" s="0">
        <f>MAX(0,MIN(AC67,BX67-SUMPRODUCT(($T$2:$AK$2&lt;AC$2)*($T67:$AK67))))</f>
      </c>
      <c r="AV67" s="0">
        <f>MAX(0,MIN(AD67,BX67-SUMPRODUCT(($T$2:$AK$2&lt;AD$2)*($T67:$AK67))))</f>
      </c>
      <c r="AW67" s="0">
        <f>MAX(0,MIN(AE67,BX67-SUMPRODUCT(($T$2:$AK$2&lt;AE$2)*($T67:$AK67))))</f>
      </c>
      <c r="AX67" s="0">
        <f>MAX(0,MIN(AF67,BX67-SUMPRODUCT(($T$2:$AK$2&lt;AF$2)*($T67:$AK67))))</f>
      </c>
      <c r="AY67" s="0">
        <f>MAX(0,MIN(AG67,BX67-SUMPRODUCT(($T$2:$AK$2&lt;AG$2)*($T67:$AK67))))</f>
      </c>
      <c r="AZ67" s="0">
        <f>MAX(0,MIN(AH67,BX67-SUMPRODUCT(($T$2:$AK$2&lt;AH$2)*($T67:$AK67))))</f>
      </c>
      <c r="BA67" s="0">
        <f>MAX(0,MIN(AI67,BX67-SUMPRODUCT(($T$2:$AK$2&lt;AI$2)*($T67:$AK67))))</f>
      </c>
      <c r="BB67" s="0">
        <f>MAX(0,MIN(AJ67,BX67-SUMPRODUCT(($T$2:$AK$2&lt;AJ$2)*($T67:$AK67))))</f>
      </c>
      <c r="BC67" s="0">
        <f>MAX(0,MIN(AK67,BX67-SUMPRODUCT(($T$2:$AK$2&lt;AK$2)*($T67:$AK67))))</f>
      </c>
      <c r="BD67" s="0">
        <f>T67-AL67</f>
      </c>
      <c r="BE67" s="0">
        <f>U67-AM67</f>
      </c>
      <c r="BF67" s="0">
        <f>V67-AN67</f>
      </c>
      <c r="BG67" s="0">
        <f>W67-AO67</f>
      </c>
      <c r="BH67" s="0">
        <f>X67-AP67</f>
      </c>
      <c r="BI67" s="0">
        <f>Y67-AQ67</f>
      </c>
      <c r="BJ67" s="0">
        <f>Z67-AR67</f>
      </c>
      <c r="BK67" s="0">
        <f>AA67-AS67</f>
      </c>
      <c r="BL67" s="0">
        <f>AB67-AT67</f>
      </c>
      <c r="BM67" s="0">
        <f>AC67-AU67</f>
      </c>
      <c r="BN67" s="0">
        <f>AD67-AV67</f>
      </c>
      <c r="BO67" s="0">
        <f>AE67-AW67</f>
      </c>
      <c r="BP67" s="0">
        <f>AF67-AX67</f>
      </c>
      <c r="BQ67" s="0">
        <f>AG67-AY67</f>
      </c>
      <c r="BR67" s="0">
        <f>AH67-AZ67</f>
      </c>
      <c r="BS67" s="0">
        <f>AI67-BA67</f>
      </c>
      <c r="BT67" s="0">
        <f>AJ67-BB67</f>
      </c>
      <c r="BU67" s="0">
        <f>AK67-BC67</f>
      </c>
      <c r="BV67" s="0">
        <f>SUM(B67:S67)</f>
      </c>
      <c r="BW67" s="0">
        <f>SUM(T67:AK67)</f>
      </c>
      <c r="BX67" s="0">
        <f>MAX(0,(SUM(Calculator!$E$11:$E$28)+Calculator!$C$6)-BV67+BW67)</f>
      </c>
      <c r="BY67" s="0">
        <f>SUM(BD67:BU67)</f>
      </c>
      <c r="BZ67" s="0">
        <f>BV67-BY66</f>
      </c>
      <c r="CA67" s="0">
        <f>IF(A67&lt;=IF($CD$1=0,999,$CD$1),BY67,NA())</f>
      </c>
      <c r="CB67" s="0">
        <f>IF(A67&lt;=IF($CD$1=0,999,$CD$1),A67,NA())</f>
      </c>
    </row>
    <row r="68">
      <c r="A68" s="0">
        <v>65</v>
      </c>
      <c r="B68" s="0">
        <f>BD67*(1+Calculator!$D$11/100/12)</f>
      </c>
      <c r="C68" s="0">
        <f>BE67*(1+Calculator!$D$12/100/12)</f>
      </c>
      <c r="D68" s="0">
        <f>BF67*(1+Calculator!$D$13/100/12)</f>
      </c>
      <c r="E68" s="0">
        <f>BG67*(1+Calculator!$D$14/100/12)</f>
      </c>
      <c r="F68" s="0">
        <f>BH67*(1+Calculator!$D$15/100/12)</f>
      </c>
      <c r="G68" s="0">
        <f>BI67*(1+Calculator!$D$16/100/12)</f>
      </c>
      <c r="H68" s="0">
        <f>BJ67*(1+Calculator!$D$17/100/12)</f>
      </c>
      <c r="I68" s="0">
        <f>BK67*(1+Calculator!$D$18/100/12)</f>
      </c>
      <c r="J68" s="0">
        <f>BL67*(1+Calculator!$D$19/100/12)</f>
      </c>
      <c r="K68" s="0">
        <f>BM67*(1+Calculator!$D$20/100/12)</f>
      </c>
      <c r="L68" s="0">
        <f>BN67*(1+Calculator!$D$21/100/12)</f>
      </c>
      <c r="M68" s="0">
        <f>BO67*(1+Calculator!$D$22/100/12)</f>
      </c>
      <c r="N68" s="0">
        <f>BP67*(1+Calculator!$D$23/100/12)</f>
      </c>
      <c r="O68" s="0">
        <f>BQ67*(1+Calculator!$D$24/100/12)</f>
      </c>
      <c r="P68" s="0">
        <f>BR67*(1+Calculator!$D$25/100/12)</f>
      </c>
      <c r="Q68" s="0">
        <f>BS67*(1+Calculator!$D$26/100/12)</f>
      </c>
      <c r="R68" s="0">
        <f>BT67*(1+Calculator!$D$27/100/12)</f>
      </c>
      <c r="S68" s="0">
        <f>BU67*(1+Calculator!$D$28/100/12)</f>
      </c>
      <c r="T68" s="0">
        <f>MAX(0,B68-Calculator!$E$11)</f>
      </c>
      <c r="U68" s="0">
        <f>MAX(0,C68-Calculator!$E$12)</f>
      </c>
      <c r="V68" s="0">
        <f>MAX(0,D68-Calculator!$E$13)</f>
      </c>
      <c r="W68" s="0">
        <f>MAX(0,E68-Calculator!$E$14)</f>
      </c>
      <c r="X68" s="0">
        <f>MAX(0,F68-Calculator!$E$15)</f>
      </c>
      <c r="Y68" s="0">
        <f>MAX(0,G68-Calculator!$E$16)</f>
      </c>
      <c r="Z68" s="0">
        <f>MAX(0,H68-Calculator!$E$17)</f>
      </c>
      <c r="AA68" s="0">
        <f>MAX(0,I68-Calculator!$E$18)</f>
      </c>
      <c r="AB68" s="0">
        <f>MAX(0,J68-Calculator!$E$19)</f>
      </c>
      <c r="AC68" s="0">
        <f>MAX(0,K68-Calculator!$E$20)</f>
      </c>
      <c r="AD68" s="0">
        <f>MAX(0,L68-Calculator!$E$21)</f>
      </c>
      <c r="AE68" s="0">
        <f>MAX(0,M68-Calculator!$E$22)</f>
      </c>
      <c r="AF68" s="0">
        <f>MAX(0,N68-Calculator!$E$23)</f>
      </c>
      <c r="AG68" s="0">
        <f>MAX(0,O68-Calculator!$E$24)</f>
      </c>
      <c r="AH68" s="0">
        <f>MAX(0,P68-Calculator!$E$25)</f>
      </c>
      <c r="AI68" s="0">
        <f>MAX(0,Q68-Calculator!$E$26)</f>
      </c>
      <c r="AJ68" s="0">
        <f>MAX(0,R68-Calculator!$E$27)</f>
      </c>
      <c r="AK68" s="0">
        <f>MAX(0,S68-Calculator!$E$28)</f>
      </c>
      <c r="AL68" s="0">
        <f>MAX(0,MIN(T68,BX68-SUMPRODUCT(($T$2:$AK$2&lt;T$2)*($T68:$AK68))))</f>
      </c>
      <c r="AM68" s="0">
        <f>MAX(0,MIN(U68,BX68-SUMPRODUCT(($T$2:$AK$2&lt;U$2)*($T68:$AK68))))</f>
      </c>
      <c r="AN68" s="0">
        <f>MAX(0,MIN(V68,BX68-SUMPRODUCT(($T$2:$AK$2&lt;V$2)*($T68:$AK68))))</f>
      </c>
      <c r="AO68" s="0">
        <f>MAX(0,MIN(W68,BX68-SUMPRODUCT(($T$2:$AK$2&lt;W$2)*($T68:$AK68))))</f>
      </c>
      <c r="AP68" s="0">
        <f>MAX(0,MIN(X68,BX68-SUMPRODUCT(($T$2:$AK$2&lt;X$2)*($T68:$AK68))))</f>
      </c>
      <c r="AQ68" s="0">
        <f>MAX(0,MIN(Y68,BX68-SUMPRODUCT(($T$2:$AK$2&lt;Y$2)*($T68:$AK68))))</f>
      </c>
      <c r="AR68" s="0">
        <f>MAX(0,MIN(Z68,BX68-SUMPRODUCT(($T$2:$AK$2&lt;Z$2)*($T68:$AK68))))</f>
      </c>
      <c r="AS68" s="0">
        <f>MAX(0,MIN(AA68,BX68-SUMPRODUCT(($T$2:$AK$2&lt;AA$2)*($T68:$AK68))))</f>
      </c>
      <c r="AT68" s="0">
        <f>MAX(0,MIN(AB68,BX68-SUMPRODUCT(($T$2:$AK$2&lt;AB$2)*($T68:$AK68))))</f>
      </c>
      <c r="AU68" s="0">
        <f>MAX(0,MIN(AC68,BX68-SUMPRODUCT(($T$2:$AK$2&lt;AC$2)*($T68:$AK68))))</f>
      </c>
      <c r="AV68" s="0">
        <f>MAX(0,MIN(AD68,BX68-SUMPRODUCT(($T$2:$AK$2&lt;AD$2)*($T68:$AK68))))</f>
      </c>
      <c r="AW68" s="0">
        <f>MAX(0,MIN(AE68,BX68-SUMPRODUCT(($T$2:$AK$2&lt;AE$2)*($T68:$AK68))))</f>
      </c>
      <c r="AX68" s="0">
        <f>MAX(0,MIN(AF68,BX68-SUMPRODUCT(($T$2:$AK$2&lt;AF$2)*($T68:$AK68))))</f>
      </c>
      <c r="AY68" s="0">
        <f>MAX(0,MIN(AG68,BX68-SUMPRODUCT(($T$2:$AK$2&lt;AG$2)*($T68:$AK68))))</f>
      </c>
      <c r="AZ68" s="0">
        <f>MAX(0,MIN(AH68,BX68-SUMPRODUCT(($T$2:$AK$2&lt;AH$2)*($T68:$AK68))))</f>
      </c>
      <c r="BA68" s="0">
        <f>MAX(0,MIN(AI68,BX68-SUMPRODUCT(($T$2:$AK$2&lt;AI$2)*($T68:$AK68))))</f>
      </c>
      <c r="BB68" s="0">
        <f>MAX(0,MIN(AJ68,BX68-SUMPRODUCT(($T$2:$AK$2&lt;AJ$2)*($T68:$AK68))))</f>
      </c>
      <c r="BC68" s="0">
        <f>MAX(0,MIN(AK68,BX68-SUMPRODUCT(($T$2:$AK$2&lt;AK$2)*($T68:$AK68))))</f>
      </c>
      <c r="BD68" s="0">
        <f>T68-AL68</f>
      </c>
      <c r="BE68" s="0">
        <f>U68-AM68</f>
      </c>
      <c r="BF68" s="0">
        <f>V68-AN68</f>
      </c>
      <c r="BG68" s="0">
        <f>W68-AO68</f>
      </c>
      <c r="BH68" s="0">
        <f>X68-AP68</f>
      </c>
      <c r="BI68" s="0">
        <f>Y68-AQ68</f>
      </c>
      <c r="BJ68" s="0">
        <f>Z68-AR68</f>
      </c>
      <c r="BK68" s="0">
        <f>AA68-AS68</f>
      </c>
      <c r="BL68" s="0">
        <f>AB68-AT68</f>
      </c>
      <c r="BM68" s="0">
        <f>AC68-AU68</f>
      </c>
      <c r="BN68" s="0">
        <f>AD68-AV68</f>
      </c>
      <c r="BO68" s="0">
        <f>AE68-AW68</f>
      </c>
      <c r="BP68" s="0">
        <f>AF68-AX68</f>
      </c>
      <c r="BQ68" s="0">
        <f>AG68-AY68</f>
      </c>
      <c r="BR68" s="0">
        <f>AH68-AZ68</f>
      </c>
      <c r="BS68" s="0">
        <f>AI68-BA68</f>
      </c>
      <c r="BT68" s="0">
        <f>AJ68-BB68</f>
      </c>
      <c r="BU68" s="0">
        <f>AK68-BC68</f>
      </c>
      <c r="BV68" s="0">
        <f>SUM(B68:S68)</f>
      </c>
      <c r="BW68" s="0">
        <f>SUM(T68:AK68)</f>
      </c>
      <c r="BX68" s="0">
        <f>MAX(0,(SUM(Calculator!$E$11:$E$28)+Calculator!$C$6)-BV68+BW68)</f>
      </c>
      <c r="BY68" s="0">
        <f>SUM(BD68:BU68)</f>
      </c>
      <c r="BZ68" s="0">
        <f>BV68-BY67</f>
      </c>
      <c r="CA68" s="0">
        <f>IF(A68&lt;=IF($CD$1=0,999,$CD$1),BY68,NA())</f>
      </c>
      <c r="CB68" s="0">
        <f>IF(A68&lt;=IF($CD$1=0,999,$CD$1),A68,NA())</f>
      </c>
    </row>
    <row r="69">
      <c r="A69" s="0">
        <v>66</v>
      </c>
      <c r="B69" s="0">
        <f>BD68*(1+Calculator!$D$11/100/12)</f>
      </c>
      <c r="C69" s="0">
        <f>BE68*(1+Calculator!$D$12/100/12)</f>
      </c>
      <c r="D69" s="0">
        <f>BF68*(1+Calculator!$D$13/100/12)</f>
      </c>
      <c r="E69" s="0">
        <f>BG68*(1+Calculator!$D$14/100/12)</f>
      </c>
      <c r="F69" s="0">
        <f>BH68*(1+Calculator!$D$15/100/12)</f>
      </c>
      <c r="G69" s="0">
        <f>BI68*(1+Calculator!$D$16/100/12)</f>
      </c>
      <c r="H69" s="0">
        <f>BJ68*(1+Calculator!$D$17/100/12)</f>
      </c>
      <c r="I69" s="0">
        <f>BK68*(1+Calculator!$D$18/100/12)</f>
      </c>
      <c r="J69" s="0">
        <f>BL68*(1+Calculator!$D$19/100/12)</f>
      </c>
      <c r="K69" s="0">
        <f>BM68*(1+Calculator!$D$20/100/12)</f>
      </c>
      <c r="L69" s="0">
        <f>BN68*(1+Calculator!$D$21/100/12)</f>
      </c>
      <c r="M69" s="0">
        <f>BO68*(1+Calculator!$D$22/100/12)</f>
      </c>
      <c r="N69" s="0">
        <f>BP68*(1+Calculator!$D$23/100/12)</f>
      </c>
      <c r="O69" s="0">
        <f>BQ68*(1+Calculator!$D$24/100/12)</f>
      </c>
      <c r="P69" s="0">
        <f>BR68*(1+Calculator!$D$25/100/12)</f>
      </c>
      <c r="Q69" s="0">
        <f>BS68*(1+Calculator!$D$26/100/12)</f>
      </c>
      <c r="R69" s="0">
        <f>BT68*(1+Calculator!$D$27/100/12)</f>
      </c>
      <c r="S69" s="0">
        <f>BU68*(1+Calculator!$D$28/100/12)</f>
      </c>
      <c r="T69" s="0">
        <f>MAX(0,B69-Calculator!$E$11)</f>
      </c>
      <c r="U69" s="0">
        <f>MAX(0,C69-Calculator!$E$12)</f>
      </c>
      <c r="V69" s="0">
        <f>MAX(0,D69-Calculator!$E$13)</f>
      </c>
      <c r="W69" s="0">
        <f>MAX(0,E69-Calculator!$E$14)</f>
      </c>
      <c r="X69" s="0">
        <f>MAX(0,F69-Calculator!$E$15)</f>
      </c>
      <c r="Y69" s="0">
        <f>MAX(0,G69-Calculator!$E$16)</f>
      </c>
      <c r="Z69" s="0">
        <f>MAX(0,H69-Calculator!$E$17)</f>
      </c>
      <c r="AA69" s="0">
        <f>MAX(0,I69-Calculator!$E$18)</f>
      </c>
      <c r="AB69" s="0">
        <f>MAX(0,J69-Calculator!$E$19)</f>
      </c>
      <c r="AC69" s="0">
        <f>MAX(0,K69-Calculator!$E$20)</f>
      </c>
      <c r="AD69" s="0">
        <f>MAX(0,L69-Calculator!$E$21)</f>
      </c>
      <c r="AE69" s="0">
        <f>MAX(0,M69-Calculator!$E$22)</f>
      </c>
      <c r="AF69" s="0">
        <f>MAX(0,N69-Calculator!$E$23)</f>
      </c>
      <c r="AG69" s="0">
        <f>MAX(0,O69-Calculator!$E$24)</f>
      </c>
      <c r="AH69" s="0">
        <f>MAX(0,P69-Calculator!$E$25)</f>
      </c>
      <c r="AI69" s="0">
        <f>MAX(0,Q69-Calculator!$E$26)</f>
      </c>
      <c r="AJ69" s="0">
        <f>MAX(0,R69-Calculator!$E$27)</f>
      </c>
      <c r="AK69" s="0">
        <f>MAX(0,S69-Calculator!$E$28)</f>
      </c>
      <c r="AL69" s="0">
        <f>MAX(0,MIN(T69,BX69-SUMPRODUCT(($T$2:$AK$2&lt;T$2)*($T69:$AK69))))</f>
      </c>
      <c r="AM69" s="0">
        <f>MAX(0,MIN(U69,BX69-SUMPRODUCT(($T$2:$AK$2&lt;U$2)*($T69:$AK69))))</f>
      </c>
      <c r="AN69" s="0">
        <f>MAX(0,MIN(V69,BX69-SUMPRODUCT(($T$2:$AK$2&lt;V$2)*($T69:$AK69))))</f>
      </c>
      <c r="AO69" s="0">
        <f>MAX(0,MIN(W69,BX69-SUMPRODUCT(($T$2:$AK$2&lt;W$2)*($T69:$AK69))))</f>
      </c>
      <c r="AP69" s="0">
        <f>MAX(0,MIN(X69,BX69-SUMPRODUCT(($T$2:$AK$2&lt;X$2)*($T69:$AK69))))</f>
      </c>
      <c r="AQ69" s="0">
        <f>MAX(0,MIN(Y69,BX69-SUMPRODUCT(($T$2:$AK$2&lt;Y$2)*($T69:$AK69))))</f>
      </c>
      <c r="AR69" s="0">
        <f>MAX(0,MIN(Z69,BX69-SUMPRODUCT(($T$2:$AK$2&lt;Z$2)*($T69:$AK69))))</f>
      </c>
      <c r="AS69" s="0">
        <f>MAX(0,MIN(AA69,BX69-SUMPRODUCT(($T$2:$AK$2&lt;AA$2)*($T69:$AK69))))</f>
      </c>
      <c r="AT69" s="0">
        <f>MAX(0,MIN(AB69,BX69-SUMPRODUCT(($T$2:$AK$2&lt;AB$2)*($T69:$AK69))))</f>
      </c>
      <c r="AU69" s="0">
        <f>MAX(0,MIN(AC69,BX69-SUMPRODUCT(($T$2:$AK$2&lt;AC$2)*($T69:$AK69))))</f>
      </c>
      <c r="AV69" s="0">
        <f>MAX(0,MIN(AD69,BX69-SUMPRODUCT(($T$2:$AK$2&lt;AD$2)*($T69:$AK69))))</f>
      </c>
      <c r="AW69" s="0">
        <f>MAX(0,MIN(AE69,BX69-SUMPRODUCT(($T$2:$AK$2&lt;AE$2)*($T69:$AK69))))</f>
      </c>
      <c r="AX69" s="0">
        <f>MAX(0,MIN(AF69,BX69-SUMPRODUCT(($T$2:$AK$2&lt;AF$2)*($T69:$AK69))))</f>
      </c>
      <c r="AY69" s="0">
        <f>MAX(0,MIN(AG69,BX69-SUMPRODUCT(($T$2:$AK$2&lt;AG$2)*($T69:$AK69))))</f>
      </c>
      <c r="AZ69" s="0">
        <f>MAX(0,MIN(AH69,BX69-SUMPRODUCT(($T$2:$AK$2&lt;AH$2)*($T69:$AK69))))</f>
      </c>
      <c r="BA69" s="0">
        <f>MAX(0,MIN(AI69,BX69-SUMPRODUCT(($T$2:$AK$2&lt;AI$2)*($T69:$AK69))))</f>
      </c>
      <c r="BB69" s="0">
        <f>MAX(0,MIN(AJ69,BX69-SUMPRODUCT(($T$2:$AK$2&lt;AJ$2)*($T69:$AK69))))</f>
      </c>
      <c r="BC69" s="0">
        <f>MAX(0,MIN(AK69,BX69-SUMPRODUCT(($T$2:$AK$2&lt;AK$2)*($T69:$AK69))))</f>
      </c>
      <c r="BD69" s="0">
        <f>T69-AL69</f>
      </c>
      <c r="BE69" s="0">
        <f>U69-AM69</f>
      </c>
      <c r="BF69" s="0">
        <f>V69-AN69</f>
      </c>
      <c r="BG69" s="0">
        <f>W69-AO69</f>
      </c>
      <c r="BH69" s="0">
        <f>X69-AP69</f>
      </c>
      <c r="BI69" s="0">
        <f>Y69-AQ69</f>
      </c>
      <c r="BJ69" s="0">
        <f>Z69-AR69</f>
      </c>
      <c r="BK69" s="0">
        <f>AA69-AS69</f>
      </c>
      <c r="BL69" s="0">
        <f>AB69-AT69</f>
      </c>
      <c r="BM69" s="0">
        <f>AC69-AU69</f>
      </c>
      <c r="BN69" s="0">
        <f>AD69-AV69</f>
      </c>
      <c r="BO69" s="0">
        <f>AE69-AW69</f>
      </c>
      <c r="BP69" s="0">
        <f>AF69-AX69</f>
      </c>
      <c r="BQ69" s="0">
        <f>AG69-AY69</f>
      </c>
      <c r="BR69" s="0">
        <f>AH69-AZ69</f>
      </c>
      <c r="BS69" s="0">
        <f>AI69-BA69</f>
      </c>
      <c r="BT69" s="0">
        <f>AJ69-BB69</f>
      </c>
      <c r="BU69" s="0">
        <f>AK69-BC69</f>
      </c>
      <c r="BV69" s="0">
        <f>SUM(B69:S69)</f>
      </c>
      <c r="BW69" s="0">
        <f>SUM(T69:AK69)</f>
      </c>
      <c r="BX69" s="0">
        <f>MAX(0,(SUM(Calculator!$E$11:$E$28)+Calculator!$C$6)-BV69+BW69)</f>
      </c>
      <c r="BY69" s="0">
        <f>SUM(BD69:BU69)</f>
      </c>
      <c r="BZ69" s="0">
        <f>BV69-BY68</f>
      </c>
      <c r="CA69" s="0">
        <f>IF(A69&lt;=IF($CD$1=0,999,$CD$1),BY69,NA())</f>
      </c>
      <c r="CB69" s="0">
        <f>IF(A69&lt;=IF($CD$1=0,999,$CD$1),A69,NA())</f>
      </c>
    </row>
    <row r="70">
      <c r="A70" s="0">
        <v>67</v>
      </c>
      <c r="B70" s="0">
        <f>BD69*(1+Calculator!$D$11/100/12)</f>
      </c>
      <c r="C70" s="0">
        <f>BE69*(1+Calculator!$D$12/100/12)</f>
      </c>
      <c r="D70" s="0">
        <f>BF69*(1+Calculator!$D$13/100/12)</f>
      </c>
      <c r="E70" s="0">
        <f>BG69*(1+Calculator!$D$14/100/12)</f>
      </c>
      <c r="F70" s="0">
        <f>BH69*(1+Calculator!$D$15/100/12)</f>
      </c>
      <c r="G70" s="0">
        <f>BI69*(1+Calculator!$D$16/100/12)</f>
      </c>
      <c r="H70" s="0">
        <f>BJ69*(1+Calculator!$D$17/100/12)</f>
      </c>
      <c r="I70" s="0">
        <f>BK69*(1+Calculator!$D$18/100/12)</f>
      </c>
      <c r="J70" s="0">
        <f>BL69*(1+Calculator!$D$19/100/12)</f>
      </c>
      <c r="K70" s="0">
        <f>BM69*(1+Calculator!$D$20/100/12)</f>
      </c>
      <c r="L70" s="0">
        <f>BN69*(1+Calculator!$D$21/100/12)</f>
      </c>
      <c r="M70" s="0">
        <f>BO69*(1+Calculator!$D$22/100/12)</f>
      </c>
      <c r="N70" s="0">
        <f>BP69*(1+Calculator!$D$23/100/12)</f>
      </c>
      <c r="O70" s="0">
        <f>BQ69*(1+Calculator!$D$24/100/12)</f>
      </c>
      <c r="P70" s="0">
        <f>BR69*(1+Calculator!$D$25/100/12)</f>
      </c>
      <c r="Q70" s="0">
        <f>BS69*(1+Calculator!$D$26/100/12)</f>
      </c>
      <c r="R70" s="0">
        <f>BT69*(1+Calculator!$D$27/100/12)</f>
      </c>
      <c r="S70" s="0">
        <f>BU69*(1+Calculator!$D$28/100/12)</f>
      </c>
      <c r="T70" s="0">
        <f>MAX(0,B70-Calculator!$E$11)</f>
      </c>
      <c r="U70" s="0">
        <f>MAX(0,C70-Calculator!$E$12)</f>
      </c>
      <c r="V70" s="0">
        <f>MAX(0,D70-Calculator!$E$13)</f>
      </c>
      <c r="W70" s="0">
        <f>MAX(0,E70-Calculator!$E$14)</f>
      </c>
      <c r="X70" s="0">
        <f>MAX(0,F70-Calculator!$E$15)</f>
      </c>
      <c r="Y70" s="0">
        <f>MAX(0,G70-Calculator!$E$16)</f>
      </c>
      <c r="Z70" s="0">
        <f>MAX(0,H70-Calculator!$E$17)</f>
      </c>
      <c r="AA70" s="0">
        <f>MAX(0,I70-Calculator!$E$18)</f>
      </c>
      <c r="AB70" s="0">
        <f>MAX(0,J70-Calculator!$E$19)</f>
      </c>
      <c r="AC70" s="0">
        <f>MAX(0,K70-Calculator!$E$20)</f>
      </c>
      <c r="AD70" s="0">
        <f>MAX(0,L70-Calculator!$E$21)</f>
      </c>
      <c r="AE70" s="0">
        <f>MAX(0,M70-Calculator!$E$22)</f>
      </c>
      <c r="AF70" s="0">
        <f>MAX(0,N70-Calculator!$E$23)</f>
      </c>
      <c r="AG70" s="0">
        <f>MAX(0,O70-Calculator!$E$24)</f>
      </c>
      <c r="AH70" s="0">
        <f>MAX(0,P70-Calculator!$E$25)</f>
      </c>
      <c r="AI70" s="0">
        <f>MAX(0,Q70-Calculator!$E$26)</f>
      </c>
      <c r="AJ70" s="0">
        <f>MAX(0,R70-Calculator!$E$27)</f>
      </c>
      <c r="AK70" s="0">
        <f>MAX(0,S70-Calculator!$E$28)</f>
      </c>
      <c r="AL70" s="0">
        <f>MAX(0,MIN(T70,BX70-SUMPRODUCT(($T$2:$AK$2&lt;T$2)*($T70:$AK70))))</f>
      </c>
      <c r="AM70" s="0">
        <f>MAX(0,MIN(U70,BX70-SUMPRODUCT(($T$2:$AK$2&lt;U$2)*($T70:$AK70))))</f>
      </c>
      <c r="AN70" s="0">
        <f>MAX(0,MIN(V70,BX70-SUMPRODUCT(($T$2:$AK$2&lt;V$2)*($T70:$AK70))))</f>
      </c>
      <c r="AO70" s="0">
        <f>MAX(0,MIN(W70,BX70-SUMPRODUCT(($T$2:$AK$2&lt;W$2)*($T70:$AK70))))</f>
      </c>
      <c r="AP70" s="0">
        <f>MAX(0,MIN(X70,BX70-SUMPRODUCT(($T$2:$AK$2&lt;X$2)*($T70:$AK70))))</f>
      </c>
      <c r="AQ70" s="0">
        <f>MAX(0,MIN(Y70,BX70-SUMPRODUCT(($T$2:$AK$2&lt;Y$2)*($T70:$AK70))))</f>
      </c>
      <c r="AR70" s="0">
        <f>MAX(0,MIN(Z70,BX70-SUMPRODUCT(($T$2:$AK$2&lt;Z$2)*($T70:$AK70))))</f>
      </c>
      <c r="AS70" s="0">
        <f>MAX(0,MIN(AA70,BX70-SUMPRODUCT(($T$2:$AK$2&lt;AA$2)*($T70:$AK70))))</f>
      </c>
      <c r="AT70" s="0">
        <f>MAX(0,MIN(AB70,BX70-SUMPRODUCT(($T$2:$AK$2&lt;AB$2)*($T70:$AK70))))</f>
      </c>
      <c r="AU70" s="0">
        <f>MAX(0,MIN(AC70,BX70-SUMPRODUCT(($T$2:$AK$2&lt;AC$2)*($T70:$AK70))))</f>
      </c>
      <c r="AV70" s="0">
        <f>MAX(0,MIN(AD70,BX70-SUMPRODUCT(($T$2:$AK$2&lt;AD$2)*($T70:$AK70))))</f>
      </c>
      <c r="AW70" s="0">
        <f>MAX(0,MIN(AE70,BX70-SUMPRODUCT(($T$2:$AK$2&lt;AE$2)*($T70:$AK70))))</f>
      </c>
      <c r="AX70" s="0">
        <f>MAX(0,MIN(AF70,BX70-SUMPRODUCT(($T$2:$AK$2&lt;AF$2)*($T70:$AK70))))</f>
      </c>
      <c r="AY70" s="0">
        <f>MAX(0,MIN(AG70,BX70-SUMPRODUCT(($T$2:$AK$2&lt;AG$2)*($T70:$AK70))))</f>
      </c>
      <c r="AZ70" s="0">
        <f>MAX(0,MIN(AH70,BX70-SUMPRODUCT(($T$2:$AK$2&lt;AH$2)*($T70:$AK70))))</f>
      </c>
      <c r="BA70" s="0">
        <f>MAX(0,MIN(AI70,BX70-SUMPRODUCT(($T$2:$AK$2&lt;AI$2)*($T70:$AK70))))</f>
      </c>
      <c r="BB70" s="0">
        <f>MAX(0,MIN(AJ70,BX70-SUMPRODUCT(($T$2:$AK$2&lt;AJ$2)*($T70:$AK70))))</f>
      </c>
      <c r="BC70" s="0">
        <f>MAX(0,MIN(AK70,BX70-SUMPRODUCT(($T$2:$AK$2&lt;AK$2)*($T70:$AK70))))</f>
      </c>
      <c r="BD70" s="0">
        <f>T70-AL70</f>
      </c>
      <c r="BE70" s="0">
        <f>U70-AM70</f>
      </c>
      <c r="BF70" s="0">
        <f>V70-AN70</f>
      </c>
      <c r="BG70" s="0">
        <f>W70-AO70</f>
      </c>
      <c r="BH70" s="0">
        <f>X70-AP70</f>
      </c>
      <c r="BI70" s="0">
        <f>Y70-AQ70</f>
      </c>
      <c r="BJ70" s="0">
        <f>Z70-AR70</f>
      </c>
      <c r="BK70" s="0">
        <f>AA70-AS70</f>
      </c>
      <c r="BL70" s="0">
        <f>AB70-AT70</f>
      </c>
      <c r="BM70" s="0">
        <f>AC70-AU70</f>
      </c>
      <c r="BN70" s="0">
        <f>AD70-AV70</f>
      </c>
      <c r="BO70" s="0">
        <f>AE70-AW70</f>
      </c>
      <c r="BP70" s="0">
        <f>AF70-AX70</f>
      </c>
      <c r="BQ70" s="0">
        <f>AG70-AY70</f>
      </c>
      <c r="BR70" s="0">
        <f>AH70-AZ70</f>
      </c>
      <c r="BS70" s="0">
        <f>AI70-BA70</f>
      </c>
      <c r="BT70" s="0">
        <f>AJ70-BB70</f>
      </c>
      <c r="BU70" s="0">
        <f>AK70-BC70</f>
      </c>
      <c r="BV70" s="0">
        <f>SUM(B70:S70)</f>
      </c>
      <c r="BW70" s="0">
        <f>SUM(T70:AK70)</f>
      </c>
      <c r="BX70" s="0">
        <f>MAX(0,(SUM(Calculator!$E$11:$E$28)+Calculator!$C$6)-BV70+BW70)</f>
      </c>
      <c r="BY70" s="0">
        <f>SUM(BD70:BU70)</f>
      </c>
      <c r="BZ70" s="0">
        <f>BV70-BY69</f>
      </c>
      <c r="CA70" s="0">
        <f>IF(A70&lt;=IF($CD$1=0,999,$CD$1),BY70,NA())</f>
      </c>
      <c r="CB70" s="0">
        <f>IF(A70&lt;=IF($CD$1=0,999,$CD$1),A70,NA())</f>
      </c>
    </row>
    <row r="71">
      <c r="A71" s="0">
        <v>68</v>
      </c>
      <c r="B71" s="0">
        <f>BD70*(1+Calculator!$D$11/100/12)</f>
      </c>
      <c r="C71" s="0">
        <f>BE70*(1+Calculator!$D$12/100/12)</f>
      </c>
      <c r="D71" s="0">
        <f>BF70*(1+Calculator!$D$13/100/12)</f>
      </c>
      <c r="E71" s="0">
        <f>BG70*(1+Calculator!$D$14/100/12)</f>
      </c>
      <c r="F71" s="0">
        <f>BH70*(1+Calculator!$D$15/100/12)</f>
      </c>
      <c r="G71" s="0">
        <f>BI70*(1+Calculator!$D$16/100/12)</f>
      </c>
      <c r="H71" s="0">
        <f>BJ70*(1+Calculator!$D$17/100/12)</f>
      </c>
      <c r="I71" s="0">
        <f>BK70*(1+Calculator!$D$18/100/12)</f>
      </c>
      <c r="J71" s="0">
        <f>BL70*(1+Calculator!$D$19/100/12)</f>
      </c>
      <c r="K71" s="0">
        <f>BM70*(1+Calculator!$D$20/100/12)</f>
      </c>
      <c r="L71" s="0">
        <f>BN70*(1+Calculator!$D$21/100/12)</f>
      </c>
      <c r="M71" s="0">
        <f>BO70*(1+Calculator!$D$22/100/12)</f>
      </c>
      <c r="N71" s="0">
        <f>BP70*(1+Calculator!$D$23/100/12)</f>
      </c>
      <c r="O71" s="0">
        <f>BQ70*(1+Calculator!$D$24/100/12)</f>
      </c>
      <c r="P71" s="0">
        <f>BR70*(1+Calculator!$D$25/100/12)</f>
      </c>
      <c r="Q71" s="0">
        <f>BS70*(1+Calculator!$D$26/100/12)</f>
      </c>
      <c r="R71" s="0">
        <f>BT70*(1+Calculator!$D$27/100/12)</f>
      </c>
      <c r="S71" s="0">
        <f>BU70*(1+Calculator!$D$28/100/12)</f>
      </c>
      <c r="T71" s="0">
        <f>MAX(0,B71-Calculator!$E$11)</f>
      </c>
      <c r="U71" s="0">
        <f>MAX(0,C71-Calculator!$E$12)</f>
      </c>
      <c r="V71" s="0">
        <f>MAX(0,D71-Calculator!$E$13)</f>
      </c>
      <c r="W71" s="0">
        <f>MAX(0,E71-Calculator!$E$14)</f>
      </c>
      <c r="X71" s="0">
        <f>MAX(0,F71-Calculator!$E$15)</f>
      </c>
      <c r="Y71" s="0">
        <f>MAX(0,G71-Calculator!$E$16)</f>
      </c>
      <c r="Z71" s="0">
        <f>MAX(0,H71-Calculator!$E$17)</f>
      </c>
      <c r="AA71" s="0">
        <f>MAX(0,I71-Calculator!$E$18)</f>
      </c>
      <c r="AB71" s="0">
        <f>MAX(0,J71-Calculator!$E$19)</f>
      </c>
      <c r="AC71" s="0">
        <f>MAX(0,K71-Calculator!$E$20)</f>
      </c>
      <c r="AD71" s="0">
        <f>MAX(0,L71-Calculator!$E$21)</f>
      </c>
      <c r="AE71" s="0">
        <f>MAX(0,M71-Calculator!$E$22)</f>
      </c>
      <c r="AF71" s="0">
        <f>MAX(0,N71-Calculator!$E$23)</f>
      </c>
      <c r="AG71" s="0">
        <f>MAX(0,O71-Calculator!$E$24)</f>
      </c>
      <c r="AH71" s="0">
        <f>MAX(0,P71-Calculator!$E$25)</f>
      </c>
      <c r="AI71" s="0">
        <f>MAX(0,Q71-Calculator!$E$26)</f>
      </c>
      <c r="AJ71" s="0">
        <f>MAX(0,R71-Calculator!$E$27)</f>
      </c>
      <c r="AK71" s="0">
        <f>MAX(0,S71-Calculator!$E$28)</f>
      </c>
      <c r="AL71" s="0">
        <f>MAX(0,MIN(T71,BX71-SUMPRODUCT(($T$2:$AK$2&lt;T$2)*($T71:$AK71))))</f>
      </c>
      <c r="AM71" s="0">
        <f>MAX(0,MIN(U71,BX71-SUMPRODUCT(($T$2:$AK$2&lt;U$2)*($T71:$AK71))))</f>
      </c>
      <c r="AN71" s="0">
        <f>MAX(0,MIN(V71,BX71-SUMPRODUCT(($T$2:$AK$2&lt;V$2)*($T71:$AK71))))</f>
      </c>
      <c r="AO71" s="0">
        <f>MAX(0,MIN(W71,BX71-SUMPRODUCT(($T$2:$AK$2&lt;W$2)*($T71:$AK71))))</f>
      </c>
      <c r="AP71" s="0">
        <f>MAX(0,MIN(X71,BX71-SUMPRODUCT(($T$2:$AK$2&lt;X$2)*($T71:$AK71))))</f>
      </c>
      <c r="AQ71" s="0">
        <f>MAX(0,MIN(Y71,BX71-SUMPRODUCT(($T$2:$AK$2&lt;Y$2)*($T71:$AK71))))</f>
      </c>
      <c r="AR71" s="0">
        <f>MAX(0,MIN(Z71,BX71-SUMPRODUCT(($T$2:$AK$2&lt;Z$2)*($T71:$AK71))))</f>
      </c>
      <c r="AS71" s="0">
        <f>MAX(0,MIN(AA71,BX71-SUMPRODUCT(($T$2:$AK$2&lt;AA$2)*($T71:$AK71))))</f>
      </c>
      <c r="AT71" s="0">
        <f>MAX(0,MIN(AB71,BX71-SUMPRODUCT(($T$2:$AK$2&lt;AB$2)*($T71:$AK71))))</f>
      </c>
      <c r="AU71" s="0">
        <f>MAX(0,MIN(AC71,BX71-SUMPRODUCT(($T$2:$AK$2&lt;AC$2)*($T71:$AK71))))</f>
      </c>
      <c r="AV71" s="0">
        <f>MAX(0,MIN(AD71,BX71-SUMPRODUCT(($T$2:$AK$2&lt;AD$2)*($T71:$AK71))))</f>
      </c>
      <c r="AW71" s="0">
        <f>MAX(0,MIN(AE71,BX71-SUMPRODUCT(($T$2:$AK$2&lt;AE$2)*($T71:$AK71))))</f>
      </c>
      <c r="AX71" s="0">
        <f>MAX(0,MIN(AF71,BX71-SUMPRODUCT(($T$2:$AK$2&lt;AF$2)*($T71:$AK71))))</f>
      </c>
      <c r="AY71" s="0">
        <f>MAX(0,MIN(AG71,BX71-SUMPRODUCT(($T$2:$AK$2&lt;AG$2)*($T71:$AK71))))</f>
      </c>
      <c r="AZ71" s="0">
        <f>MAX(0,MIN(AH71,BX71-SUMPRODUCT(($T$2:$AK$2&lt;AH$2)*($T71:$AK71))))</f>
      </c>
      <c r="BA71" s="0">
        <f>MAX(0,MIN(AI71,BX71-SUMPRODUCT(($T$2:$AK$2&lt;AI$2)*($T71:$AK71))))</f>
      </c>
      <c r="BB71" s="0">
        <f>MAX(0,MIN(AJ71,BX71-SUMPRODUCT(($T$2:$AK$2&lt;AJ$2)*($T71:$AK71))))</f>
      </c>
      <c r="BC71" s="0">
        <f>MAX(0,MIN(AK71,BX71-SUMPRODUCT(($T$2:$AK$2&lt;AK$2)*($T71:$AK71))))</f>
      </c>
      <c r="BD71" s="0">
        <f>T71-AL71</f>
      </c>
      <c r="BE71" s="0">
        <f>U71-AM71</f>
      </c>
      <c r="BF71" s="0">
        <f>V71-AN71</f>
      </c>
      <c r="BG71" s="0">
        <f>W71-AO71</f>
      </c>
      <c r="BH71" s="0">
        <f>X71-AP71</f>
      </c>
      <c r="BI71" s="0">
        <f>Y71-AQ71</f>
      </c>
      <c r="BJ71" s="0">
        <f>Z71-AR71</f>
      </c>
      <c r="BK71" s="0">
        <f>AA71-AS71</f>
      </c>
      <c r="BL71" s="0">
        <f>AB71-AT71</f>
      </c>
      <c r="BM71" s="0">
        <f>AC71-AU71</f>
      </c>
      <c r="BN71" s="0">
        <f>AD71-AV71</f>
      </c>
      <c r="BO71" s="0">
        <f>AE71-AW71</f>
      </c>
      <c r="BP71" s="0">
        <f>AF71-AX71</f>
      </c>
      <c r="BQ71" s="0">
        <f>AG71-AY71</f>
      </c>
      <c r="BR71" s="0">
        <f>AH71-AZ71</f>
      </c>
      <c r="BS71" s="0">
        <f>AI71-BA71</f>
      </c>
      <c r="BT71" s="0">
        <f>AJ71-BB71</f>
      </c>
      <c r="BU71" s="0">
        <f>AK71-BC71</f>
      </c>
      <c r="BV71" s="0">
        <f>SUM(B71:S71)</f>
      </c>
      <c r="BW71" s="0">
        <f>SUM(T71:AK71)</f>
      </c>
      <c r="BX71" s="0">
        <f>MAX(0,(SUM(Calculator!$E$11:$E$28)+Calculator!$C$6)-BV71+BW71)</f>
      </c>
      <c r="BY71" s="0">
        <f>SUM(BD71:BU71)</f>
      </c>
      <c r="BZ71" s="0">
        <f>BV71-BY70</f>
      </c>
      <c r="CA71" s="0">
        <f>IF(A71&lt;=IF($CD$1=0,999,$CD$1),BY71,NA())</f>
      </c>
      <c r="CB71" s="0">
        <f>IF(A71&lt;=IF($CD$1=0,999,$CD$1),A71,NA())</f>
      </c>
    </row>
    <row r="72">
      <c r="A72" s="0">
        <v>69</v>
      </c>
      <c r="B72" s="0">
        <f>BD71*(1+Calculator!$D$11/100/12)</f>
      </c>
      <c r="C72" s="0">
        <f>BE71*(1+Calculator!$D$12/100/12)</f>
      </c>
      <c r="D72" s="0">
        <f>BF71*(1+Calculator!$D$13/100/12)</f>
      </c>
      <c r="E72" s="0">
        <f>BG71*(1+Calculator!$D$14/100/12)</f>
      </c>
      <c r="F72" s="0">
        <f>BH71*(1+Calculator!$D$15/100/12)</f>
      </c>
      <c r="G72" s="0">
        <f>BI71*(1+Calculator!$D$16/100/12)</f>
      </c>
      <c r="H72" s="0">
        <f>BJ71*(1+Calculator!$D$17/100/12)</f>
      </c>
      <c r="I72" s="0">
        <f>BK71*(1+Calculator!$D$18/100/12)</f>
      </c>
      <c r="J72" s="0">
        <f>BL71*(1+Calculator!$D$19/100/12)</f>
      </c>
      <c r="K72" s="0">
        <f>BM71*(1+Calculator!$D$20/100/12)</f>
      </c>
      <c r="L72" s="0">
        <f>BN71*(1+Calculator!$D$21/100/12)</f>
      </c>
      <c r="M72" s="0">
        <f>BO71*(1+Calculator!$D$22/100/12)</f>
      </c>
      <c r="N72" s="0">
        <f>BP71*(1+Calculator!$D$23/100/12)</f>
      </c>
      <c r="O72" s="0">
        <f>BQ71*(1+Calculator!$D$24/100/12)</f>
      </c>
      <c r="P72" s="0">
        <f>BR71*(1+Calculator!$D$25/100/12)</f>
      </c>
      <c r="Q72" s="0">
        <f>BS71*(1+Calculator!$D$26/100/12)</f>
      </c>
      <c r="R72" s="0">
        <f>BT71*(1+Calculator!$D$27/100/12)</f>
      </c>
      <c r="S72" s="0">
        <f>BU71*(1+Calculator!$D$28/100/12)</f>
      </c>
      <c r="T72" s="0">
        <f>MAX(0,B72-Calculator!$E$11)</f>
      </c>
      <c r="U72" s="0">
        <f>MAX(0,C72-Calculator!$E$12)</f>
      </c>
      <c r="V72" s="0">
        <f>MAX(0,D72-Calculator!$E$13)</f>
      </c>
      <c r="W72" s="0">
        <f>MAX(0,E72-Calculator!$E$14)</f>
      </c>
      <c r="X72" s="0">
        <f>MAX(0,F72-Calculator!$E$15)</f>
      </c>
      <c r="Y72" s="0">
        <f>MAX(0,G72-Calculator!$E$16)</f>
      </c>
      <c r="Z72" s="0">
        <f>MAX(0,H72-Calculator!$E$17)</f>
      </c>
      <c r="AA72" s="0">
        <f>MAX(0,I72-Calculator!$E$18)</f>
      </c>
      <c r="AB72" s="0">
        <f>MAX(0,J72-Calculator!$E$19)</f>
      </c>
      <c r="AC72" s="0">
        <f>MAX(0,K72-Calculator!$E$20)</f>
      </c>
      <c r="AD72" s="0">
        <f>MAX(0,L72-Calculator!$E$21)</f>
      </c>
      <c r="AE72" s="0">
        <f>MAX(0,M72-Calculator!$E$22)</f>
      </c>
      <c r="AF72" s="0">
        <f>MAX(0,N72-Calculator!$E$23)</f>
      </c>
      <c r="AG72" s="0">
        <f>MAX(0,O72-Calculator!$E$24)</f>
      </c>
      <c r="AH72" s="0">
        <f>MAX(0,P72-Calculator!$E$25)</f>
      </c>
      <c r="AI72" s="0">
        <f>MAX(0,Q72-Calculator!$E$26)</f>
      </c>
      <c r="AJ72" s="0">
        <f>MAX(0,R72-Calculator!$E$27)</f>
      </c>
      <c r="AK72" s="0">
        <f>MAX(0,S72-Calculator!$E$28)</f>
      </c>
      <c r="AL72" s="0">
        <f>MAX(0,MIN(T72,BX72-SUMPRODUCT(($T$2:$AK$2&lt;T$2)*($T72:$AK72))))</f>
      </c>
      <c r="AM72" s="0">
        <f>MAX(0,MIN(U72,BX72-SUMPRODUCT(($T$2:$AK$2&lt;U$2)*($T72:$AK72))))</f>
      </c>
      <c r="AN72" s="0">
        <f>MAX(0,MIN(V72,BX72-SUMPRODUCT(($T$2:$AK$2&lt;V$2)*($T72:$AK72))))</f>
      </c>
      <c r="AO72" s="0">
        <f>MAX(0,MIN(W72,BX72-SUMPRODUCT(($T$2:$AK$2&lt;W$2)*($T72:$AK72))))</f>
      </c>
      <c r="AP72" s="0">
        <f>MAX(0,MIN(X72,BX72-SUMPRODUCT(($T$2:$AK$2&lt;X$2)*($T72:$AK72))))</f>
      </c>
      <c r="AQ72" s="0">
        <f>MAX(0,MIN(Y72,BX72-SUMPRODUCT(($T$2:$AK$2&lt;Y$2)*($T72:$AK72))))</f>
      </c>
      <c r="AR72" s="0">
        <f>MAX(0,MIN(Z72,BX72-SUMPRODUCT(($T$2:$AK$2&lt;Z$2)*($T72:$AK72))))</f>
      </c>
      <c r="AS72" s="0">
        <f>MAX(0,MIN(AA72,BX72-SUMPRODUCT(($T$2:$AK$2&lt;AA$2)*($T72:$AK72))))</f>
      </c>
      <c r="AT72" s="0">
        <f>MAX(0,MIN(AB72,BX72-SUMPRODUCT(($T$2:$AK$2&lt;AB$2)*($T72:$AK72))))</f>
      </c>
      <c r="AU72" s="0">
        <f>MAX(0,MIN(AC72,BX72-SUMPRODUCT(($T$2:$AK$2&lt;AC$2)*($T72:$AK72))))</f>
      </c>
      <c r="AV72" s="0">
        <f>MAX(0,MIN(AD72,BX72-SUMPRODUCT(($T$2:$AK$2&lt;AD$2)*($T72:$AK72))))</f>
      </c>
      <c r="AW72" s="0">
        <f>MAX(0,MIN(AE72,BX72-SUMPRODUCT(($T$2:$AK$2&lt;AE$2)*($T72:$AK72))))</f>
      </c>
      <c r="AX72" s="0">
        <f>MAX(0,MIN(AF72,BX72-SUMPRODUCT(($T$2:$AK$2&lt;AF$2)*($T72:$AK72))))</f>
      </c>
      <c r="AY72" s="0">
        <f>MAX(0,MIN(AG72,BX72-SUMPRODUCT(($T$2:$AK$2&lt;AG$2)*($T72:$AK72))))</f>
      </c>
      <c r="AZ72" s="0">
        <f>MAX(0,MIN(AH72,BX72-SUMPRODUCT(($T$2:$AK$2&lt;AH$2)*($T72:$AK72))))</f>
      </c>
      <c r="BA72" s="0">
        <f>MAX(0,MIN(AI72,BX72-SUMPRODUCT(($T$2:$AK$2&lt;AI$2)*($T72:$AK72))))</f>
      </c>
      <c r="BB72" s="0">
        <f>MAX(0,MIN(AJ72,BX72-SUMPRODUCT(($T$2:$AK$2&lt;AJ$2)*($T72:$AK72))))</f>
      </c>
      <c r="BC72" s="0">
        <f>MAX(0,MIN(AK72,BX72-SUMPRODUCT(($T$2:$AK$2&lt;AK$2)*($T72:$AK72))))</f>
      </c>
      <c r="BD72" s="0">
        <f>T72-AL72</f>
      </c>
      <c r="BE72" s="0">
        <f>U72-AM72</f>
      </c>
      <c r="BF72" s="0">
        <f>V72-AN72</f>
      </c>
      <c r="BG72" s="0">
        <f>W72-AO72</f>
      </c>
      <c r="BH72" s="0">
        <f>X72-AP72</f>
      </c>
      <c r="BI72" s="0">
        <f>Y72-AQ72</f>
      </c>
      <c r="BJ72" s="0">
        <f>Z72-AR72</f>
      </c>
      <c r="BK72" s="0">
        <f>AA72-AS72</f>
      </c>
      <c r="BL72" s="0">
        <f>AB72-AT72</f>
      </c>
      <c r="BM72" s="0">
        <f>AC72-AU72</f>
      </c>
      <c r="BN72" s="0">
        <f>AD72-AV72</f>
      </c>
      <c r="BO72" s="0">
        <f>AE72-AW72</f>
      </c>
      <c r="BP72" s="0">
        <f>AF72-AX72</f>
      </c>
      <c r="BQ72" s="0">
        <f>AG72-AY72</f>
      </c>
      <c r="BR72" s="0">
        <f>AH72-AZ72</f>
      </c>
      <c r="BS72" s="0">
        <f>AI72-BA72</f>
      </c>
      <c r="BT72" s="0">
        <f>AJ72-BB72</f>
      </c>
      <c r="BU72" s="0">
        <f>AK72-BC72</f>
      </c>
      <c r="BV72" s="0">
        <f>SUM(B72:S72)</f>
      </c>
      <c r="BW72" s="0">
        <f>SUM(T72:AK72)</f>
      </c>
      <c r="BX72" s="0">
        <f>MAX(0,(SUM(Calculator!$E$11:$E$28)+Calculator!$C$6)-BV72+BW72)</f>
      </c>
      <c r="BY72" s="0">
        <f>SUM(BD72:BU72)</f>
      </c>
      <c r="BZ72" s="0">
        <f>BV72-BY71</f>
      </c>
      <c r="CA72" s="0">
        <f>IF(A72&lt;=IF($CD$1=0,999,$CD$1),BY72,NA())</f>
      </c>
      <c r="CB72" s="0">
        <f>IF(A72&lt;=IF($CD$1=0,999,$CD$1),A72,NA())</f>
      </c>
    </row>
    <row r="73">
      <c r="A73" s="0">
        <v>70</v>
      </c>
      <c r="B73" s="0">
        <f>BD72*(1+Calculator!$D$11/100/12)</f>
      </c>
      <c r="C73" s="0">
        <f>BE72*(1+Calculator!$D$12/100/12)</f>
      </c>
      <c r="D73" s="0">
        <f>BF72*(1+Calculator!$D$13/100/12)</f>
      </c>
      <c r="E73" s="0">
        <f>BG72*(1+Calculator!$D$14/100/12)</f>
      </c>
      <c r="F73" s="0">
        <f>BH72*(1+Calculator!$D$15/100/12)</f>
      </c>
      <c r="G73" s="0">
        <f>BI72*(1+Calculator!$D$16/100/12)</f>
      </c>
      <c r="H73" s="0">
        <f>BJ72*(1+Calculator!$D$17/100/12)</f>
      </c>
      <c r="I73" s="0">
        <f>BK72*(1+Calculator!$D$18/100/12)</f>
      </c>
      <c r="J73" s="0">
        <f>BL72*(1+Calculator!$D$19/100/12)</f>
      </c>
      <c r="K73" s="0">
        <f>BM72*(1+Calculator!$D$20/100/12)</f>
      </c>
      <c r="L73" s="0">
        <f>BN72*(1+Calculator!$D$21/100/12)</f>
      </c>
      <c r="M73" s="0">
        <f>BO72*(1+Calculator!$D$22/100/12)</f>
      </c>
      <c r="N73" s="0">
        <f>BP72*(1+Calculator!$D$23/100/12)</f>
      </c>
      <c r="O73" s="0">
        <f>BQ72*(1+Calculator!$D$24/100/12)</f>
      </c>
      <c r="P73" s="0">
        <f>BR72*(1+Calculator!$D$25/100/12)</f>
      </c>
      <c r="Q73" s="0">
        <f>BS72*(1+Calculator!$D$26/100/12)</f>
      </c>
      <c r="R73" s="0">
        <f>BT72*(1+Calculator!$D$27/100/12)</f>
      </c>
      <c r="S73" s="0">
        <f>BU72*(1+Calculator!$D$28/100/12)</f>
      </c>
      <c r="T73" s="0">
        <f>MAX(0,B73-Calculator!$E$11)</f>
      </c>
      <c r="U73" s="0">
        <f>MAX(0,C73-Calculator!$E$12)</f>
      </c>
      <c r="V73" s="0">
        <f>MAX(0,D73-Calculator!$E$13)</f>
      </c>
      <c r="W73" s="0">
        <f>MAX(0,E73-Calculator!$E$14)</f>
      </c>
      <c r="X73" s="0">
        <f>MAX(0,F73-Calculator!$E$15)</f>
      </c>
      <c r="Y73" s="0">
        <f>MAX(0,G73-Calculator!$E$16)</f>
      </c>
      <c r="Z73" s="0">
        <f>MAX(0,H73-Calculator!$E$17)</f>
      </c>
      <c r="AA73" s="0">
        <f>MAX(0,I73-Calculator!$E$18)</f>
      </c>
      <c r="AB73" s="0">
        <f>MAX(0,J73-Calculator!$E$19)</f>
      </c>
      <c r="AC73" s="0">
        <f>MAX(0,K73-Calculator!$E$20)</f>
      </c>
      <c r="AD73" s="0">
        <f>MAX(0,L73-Calculator!$E$21)</f>
      </c>
      <c r="AE73" s="0">
        <f>MAX(0,M73-Calculator!$E$22)</f>
      </c>
      <c r="AF73" s="0">
        <f>MAX(0,N73-Calculator!$E$23)</f>
      </c>
      <c r="AG73" s="0">
        <f>MAX(0,O73-Calculator!$E$24)</f>
      </c>
      <c r="AH73" s="0">
        <f>MAX(0,P73-Calculator!$E$25)</f>
      </c>
      <c r="AI73" s="0">
        <f>MAX(0,Q73-Calculator!$E$26)</f>
      </c>
      <c r="AJ73" s="0">
        <f>MAX(0,R73-Calculator!$E$27)</f>
      </c>
      <c r="AK73" s="0">
        <f>MAX(0,S73-Calculator!$E$28)</f>
      </c>
      <c r="AL73" s="0">
        <f>MAX(0,MIN(T73,BX73-SUMPRODUCT(($T$2:$AK$2&lt;T$2)*($T73:$AK73))))</f>
      </c>
      <c r="AM73" s="0">
        <f>MAX(0,MIN(U73,BX73-SUMPRODUCT(($T$2:$AK$2&lt;U$2)*($T73:$AK73))))</f>
      </c>
      <c r="AN73" s="0">
        <f>MAX(0,MIN(V73,BX73-SUMPRODUCT(($T$2:$AK$2&lt;V$2)*($T73:$AK73))))</f>
      </c>
      <c r="AO73" s="0">
        <f>MAX(0,MIN(W73,BX73-SUMPRODUCT(($T$2:$AK$2&lt;W$2)*($T73:$AK73))))</f>
      </c>
      <c r="AP73" s="0">
        <f>MAX(0,MIN(X73,BX73-SUMPRODUCT(($T$2:$AK$2&lt;X$2)*($T73:$AK73))))</f>
      </c>
      <c r="AQ73" s="0">
        <f>MAX(0,MIN(Y73,BX73-SUMPRODUCT(($T$2:$AK$2&lt;Y$2)*($T73:$AK73))))</f>
      </c>
      <c r="AR73" s="0">
        <f>MAX(0,MIN(Z73,BX73-SUMPRODUCT(($T$2:$AK$2&lt;Z$2)*($T73:$AK73))))</f>
      </c>
      <c r="AS73" s="0">
        <f>MAX(0,MIN(AA73,BX73-SUMPRODUCT(($T$2:$AK$2&lt;AA$2)*($T73:$AK73))))</f>
      </c>
      <c r="AT73" s="0">
        <f>MAX(0,MIN(AB73,BX73-SUMPRODUCT(($T$2:$AK$2&lt;AB$2)*($T73:$AK73))))</f>
      </c>
      <c r="AU73" s="0">
        <f>MAX(0,MIN(AC73,BX73-SUMPRODUCT(($T$2:$AK$2&lt;AC$2)*($T73:$AK73))))</f>
      </c>
      <c r="AV73" s="0">
        <f>MAX(0,MIN(AD73,BX73-SUMPRODUCT(($T$2:$AK$2&lt;AD$2)*($T73:$AK73))))</f>
      </c>
      <c r="AW73" s="0">
        <f>MAX(0,MIN(AE73,BX73-SUMPRODUCT(($T$2:$AK$2&lt;AE$2)*($T73:$AK73))))</f>
      </c>
      <c r="AX73" s="0">
        <f>MAX(0,MIN(AF73,BX73-SUMPRODUCT(($T$2:$AK$2&lt;AF$2)*($T73:$AK73))))</f>
      </c>
      <c r="AY73" s="0">
        <f>MAX(0,MIN(AG73,BX73-SUMPRODUCT(($T$2:$AK$2&lt;AG$2)*($T73:$AK73))))</f>
      </c>
      <c r="AZ73" s="0">
        <f>MAX(0,MIN(AH73,BX73-SUMPRODUCT(($T$2:$AK$2&lt;AH$2)*($T73:$AK73))))</f>
      </c>
      <c r="BA73" s="0">
        <f>MAX(0,MIN(AI73,BX73-SUMPRODUCT(($T$2:$AK$2&lt;AI$2)*($T73:$AK73))))</f>
      </c>
      <c r="BB73" s="0">
        <f>MAX(0,MIN(AJ73,BX73-SUMPRODUCT(($T$2:$AK$2&lt;AJ$2)*($T73:$AK73))))</f>
      </c>
      <c r="BC73" s="0">
        <f>MAX(0,MIN(AK73,BX73-SUMPRODUCT(($T$2:$AK$2&lt;AK$2)*($T73:$AK73))))</f>
      </c>
      <c r="BD73" s="0">
        <f>T73-AL73</f>
      </c>
      <c r="BE73" s="0">
        <f>U73-AM73</f>
      </c>
      <c r="BF73" s="0">
        <f>V73-AN73</f>
      </c>
      <c r="BG73" s="0">
        <f>W73-AO73</f>
      </c>
      <c r="BH73" s="0">
        <f>X73-AP73</f>
      </c>
      <c r="BI73" s="0">
        <f>Y73-AQ73</f>
      </c>
      <c r="BJ73" s="0">
        <f>Z73-AR73</f>
      </c>
      <c r="BK73" s="0">
        <f>AA73-AS73</f>
      </c>
      <c r="BL73" s="0">
        <f>AB73-AT73</f>
      </c>
      <c r="BM73" s="0">
        <f>AC73-AU73</f>
      </c>
      <c r="BN73" s="0">
        <f>AD73-AV73</f>
      </c>
      <c r="BO73" s="0">
        <f>AE73-AW73</f>
      </c>
      <c r="BP73" s="0">
        <f>AF73-AX73</f>
      </c>
      <c r="BQ73" s="0">
        <f>AG73-AY73</f>
      </c>
      <c r="BR73" s="0">
        <f>AH73-AZ73</f>
      </c>
      <c r="BS73" s="0">
        <f>AI73-BA73</f>
      </c>
      <c r="BT73" s="0">
        <f>AJ73-BB73</f>
      </c>
      <c r="BU73" s="0">
        <f>AK73-BC73</f>
      </c>
      <c r="BV73" s="0">
        <f>SUM(B73:S73)</f>
      </c>
      <c r="BW73" s="0">
        <f>SUM(T73:AK73)</f>
      </c>
      <c r="BX73" s="0">
        <f>MAX(0,(SUM(Calculator!$E$11:$E$28)+Calculator!$C$6)-BV73+BW73)</f>
      </c>
      <c r="BY73" s="0">
        <f>SUM(BD73:BU73)</f>
      </c>
      <c r="BZ73" s="0">
        <f>BV73-BY72</f>
      </c>
      <c r="CA73" s="0">
        <f>IF(A73&lt;=IF($CD$1=0,999,$CD$1),BY73,NA())</f>
      </c>
      <c r="CB73" s="0">
        <f>IF(A73&lt;=IF($CD$1=0,999,$CD$1),A73,NA())</f>
      </c>
    </row>
    <row r="74">
      <c r="A74" s="0">
        <v>71</v>
      </c>
      <c r="B74" s="0">
        <f>BD73*(1+Calculator!$D$11/100/12)</f>
      </c>
      <c r="C74" s="0">
        <f>BE73*(1+Calculator!$D$12/100/12)</f>
      </c>
      <c r="D74" s="0">
        <f>BF73*(1+Calculator!$D$13/100/12)</f>
      </c>
      <c r="E74" s="0">
        <f>BG73*(1+Calculator!$D$14/100/12)</f>
      </c>
      <c r="F74" s="0">
        <f>BH73*(1+Calculator!$D$15/100/12)</f>
      </c>
      <c r="G74" s="0">
        <f>BI73*(1+Calculator!$D$16/100/12)</f>
      </c>
      <c r="H74" s="0">
        <f>BJ73*(1+Calculator!$D$17/100/12)</f>
      </c>
      <c r="I74" s="0">
        <f>BK73*(1+Calculator!$D$18/100/12)</f>
      </c>
      <c r="J74" s="0">
        <f>BL73*(1+Calculator!$D$19/100/12)</f>
      </c>
      <c r="K74" s="0">
        <f>BM73*(1+Calculator!$D$20/100/12)</f>
      </c>
      <c r="L74" s="0">
        <f>BN73*(1+Calculator!$D$21/100/12)</f>
      </c>
      <c r="M74" s="0">
        <f>BO73*(1+Calculator!$D$22/100/12)</f>
      </c>
      <c r="N74" s="0">
        <f>BP73*(1+Calculator!$D$23/100/12)</f>
      </c>
      <c r="O74" s="0">
        <f>BQ73*(1+Calculator!$D$24/100/12)</f>
      </c>
      <c r="P74" s="0">
        <f>BR73*(1+Calculator!$D$25/100/12)</f>
      </c>
      <c r="Q74" s="0">
        <f>BS73*(1+Calculator!$D$26/100/12)</f>
      </c>
      <c r="R74" s="0">
        <f>BT73*(1+Calculator!$D$27/100/12)</f>
      </c>
      <c r="S74" s="0">
        <f>BU73*(1+Calculator!$D$28/100/12)</f>
      </c>
      <c r="T74" s="0">
        <f>MAX(0,B74-Calculator!$E$11)</f>
      </c>
      <c r="U74" s="0">
        <f>MAX(0,C74-Calculator!$E$12)</f>
      </c>
      <c r="V74" s="0">
        <f>MAX(0,D74-Calculator!$E$13)</f>
      </c>
      <c r="W74" s="0">
        <f>MAX(0,E74-Calculator!$E$14)</f>
      </c>
      <c r="X74" s="0">
        <f>MAX(0,F74-Calculator!$E$15)</f>
      </c>
      <c r="Y74" s="0">
        <f>MAX(0,G74-Calculator!$E$16)</f>
      </c>
      <c r="Z74" s="0">
        <f>MAX(0,H74-Calculator!$E$17)</f>
      </c>
      <c r="AA74" s="0">
        <f>MAX(0,I74-Calculator!$E$18)</f>
      </c>
      <c r="AB74" s="0">
        <f>MAX(0,J74-Calculator!$E$19)</f>
      </c>
      <c r="AC74" s="0">
        <f>MAX(0,K74-Calculator!$E$20)</f>
      </c>
      <c r="AD74" s="0">
        <f>MAX(0,L74-Calculator!$E$21)</f>
      </c>
      <c r="AE74" s="0">
        <f>MAX(0,M74-Calculator!$E$22)</f>
      </c>
      <c r="AF74" s="0">
        <f>MAX(0,N74-Calculator!$E$23)</f>
      </c>
      <c r="AG74" s="0">
        <f>MAX(0,O74-Calculator!$E$24)</f>
      </c>
      <c r="AH74" s="0">
        <f>MAX(0,P74-Calculator!$E$25)</f>
      </c>
      <c r="AI74" s="0">
        <f>MAX(0,Q74-Calculator!$E$26)</f>
      </c>
      <c r="AJ74" s="0">
        <f>MAX(0,R74-Calculator!$E$27)</f>
      </c>
      <c r="AK74" s="0">
        <f>MAX(0,S74-Calculator!$E$28)</f>
      </c>
      <c r="AL74" s="0">
        <f>MAX(0,MIN(T74,BX74-SUMPRODUCT(($T$2:$AK$2&lt;T$2)*($T74:$AK74))))</f>
      </c>
      <c r="AM74" s="0">
        <f>MAX(0,MIN(U74,BX74-SUMPRODUCT(($T$2:$AK$2&lt;U$2)*($T74:$AK74))))</f>
      </c>
      <c r="AN74" s="0">
        <f>MAX(0,MIN(V74,BX74-SUMPRODUCT(($T$2:$AK$2&lt;V$2)*($T74:$AK74))))</f>
      </c>
      <c r="AO74" s="0">
        <f>MAX(0,MIN(W74,BX74-SUMPRODUCT(($T$2:$AK$2&lt;W$2)*($T74:$AK74))))</f>
      </c>
      <c r="AP74" s="0">
        <f>MAX(0,MIN(X74,BX74-SUMPRODUCT(($T$2:$AK$2&lt;X$2)*($T74:$AK74))))</f>
      </c>
      <c r="AQ74" s="0">
        <f>MAX(0,MIN(Y74,BX74-SUMPRODUCT(($T$2:$AK$2&lt;Y$2)*($T74:$AK74))))</f>
      </c>
      <c r="AR74" s="0">
        <f>MAX(0,MIN(Z74,BX74-SUMPRODUCT(($T$2:$AK$2&lt;Z$2)*($T74:$AK74))))</f>
      </c>
      <c r="AS74" s="0">
        <f>MAX(0,MIN(AA74,BX74-SUMPRODUCT(($T$2:$AK$2&lt;AA$2)*($T74:$AK74))))</f>
      </c>
      <c r="AT74" s="0">
        <f>MAX(0,MIN(AB74,BX74-SUMPRODUCT(($T$2:$AK$2&lt;AB$2)*($T74:$AK74))))</f>
      </c>
      <c r="AU74" s="0">
        <f>MAX(0,MIN(AC74,BX74-SUMPRODUCT(($T$2:$AK$2&lt;AC$2)*($T74:$AK74))))</f>
      </c>
      <c r="AV74" s="0">
        <f>MAX(0,MIN(AD74,BX74-SUMPRODUCT(($T$2:$AK$2&lt;AD$2)*($T74:$AK74))))</f>
      </c>
      <c r="AW74" s="0">
        <f>MAX(0,MIN(AE74,BX74-SUMPRODUCT(($T$2:$AK$2&lt;AE$2)*($T74:$AK74))))</f>
      </c>
      <c r="AX74" s="0">
        <f>MAX(0,MIN(AF74,BX74-SUMPRODUCT(($T$2:$AK$2&lt;AF$2)*($T74:$AK74))))</f>
      </c>
      <c r="AY74" s="0">
        <f>MAX(0,MIN(AG74,BX74-SUMPRODUCT(($T$2:$AK$2&lt;AG$2)*($T74:$AK74))))</f>
      </c>
      <c r="AZ74" s="0">
        <f>MAX(0,MIN(AH74,BX74-SUMPRODUCT(($T$2:$AK$2&lt;AH$2)*($T74:$AK74))))</f>
      </c>
      <c r="BA74" s="0">
        <f>MAX(0,MIN(AI74,BX74-SUMPRODUCT(($T$2:$AK$2&lt;AI$2)*($T74:$AK74))))</f>
      </c>
      <c r="BB74" s="0">
        <f>MAX(0,MIN(AJ74,BX74-SUMPRODUCT(($T$2:$AK$2&lt;AJ$2)*($T74:$AK74))))</f>
      </c>
      <c r="BC74" s="0">
        <f>MAX(0,MIN(AK74,BX74-SUMPRODUCT(($T$2:$AK$2&lt;AK$2)*($T74:$AK74))))</f>
      </c>
      <c r="BD74" s="0">
        <f>T74-AL74</f>
      </c>
      <c r="BE74" s="0">
        <f>U74-AM74</f>
      </c>
      <c r="BF74" s="0">
        <f>V74-AN74</f>
      </c>
      <c r="BG74" s="0">
        <f>W74-AO74</f>
      </c>
      <c r="BH74" s="0">
        <f>X74-AP74</f>
      </c>
      <c r="BI74" s="0">
        <f>Y74-AQ74</f>
      </c>
      <c r="BJ74" s="0">
        <f>Z74-AR74</f>
      </c>
      <c r="BK74" s="0">
        <f>AA74-AS74</f>
      </c>
      <c r="BL74" s="0">
        <f>AB74-AT74</f>
      </c>
      <c r="BM74" s="0">
        <f>AC74-AU74</f>
      </c>
      <c r="BN74" s="0">
        <f>AD74-AV74</f>
      </c>
      <c r="BO74" s="0">
        <f>AE74-AW74</f>
      </c>
      <c r="BP74" s="0">
        <f>AF74-AX74</f>
      </c>
      <c r="BQ74" s="0">
        <f>AG74-AY74</f>
      </c>
      <c r="BR74" s="0">
        <f>AH74-AZ74</f>
      </c>
      <c r="BS74" s="0">
        <f>AI74-BA74</f>
      </c>
      <c r="BT74" s="0">
        <f>AJ74-BB74</f>
      </c>
      <c r="BU74" s="0">
        <f>AK74-BC74</f>
      </c>
      <c r="BV74" s="0">
        <f>SUM(B74:S74)</f>
      </c>
      <c r="BW74" s="0">
        <f>SUM(T74:AK74)</f>
      </c>
      <c r="BX74" s="0">
        <f>MAX(0,(SUM(Calculator!$E$11:$E$28)+Calculator!$C$6)-BV74+BW74)</f>
      </c>
      <c r="BY74" s="0">
        <f>SUM(BD74:BU74)</f>
      </c>
      <c r="BZ74" s="0">
        <f>BV74-BY73</f>
      </c>
      <c r="CA74" s="0">
        <f>IF(A74&lt;=IF($CD$1=0,999,$CD$1),BY74,NA())</f>
      </c>
      <c r="CB74" s="0">
        <f>IF(A74&lt;=IF($CD$1=0,999,$CD$1),A74,NA())</f>
      </c>
    </row>
    <row r="75">
      <c r="A75" s="0">
        <v>72</v>
      </c>
      <c r="B75" s="0">
        <f>BD74*(1+Calculator!$D$11/100/12)</f>
      </c>
      <c r="C75" s="0">
        <f>BE74*(1+Calculator!$D$12/100/12)</f>
      </c>
      <c r="D75" s="0">
        <f>BF74*(1+Calculator!$D$13/100/12)</f>
      </c>
      <c r="E75" s="0">
        <f>BG74*(1+Calculator!$D$14/100/12)</f>
      </c>
      <c r="F75" s="0">
        <f>BH74*(1+Calculator!$D$15/100/12)</f>
      </c>
      <c r="G75" s="0">
        <f>BI74*(1+Calculator!$D$16/100/12)</f>
      </c>
      <c r="H75" s="0">
        <f>BJ74*(1+Calculator!$D$17/100/12)</f>
      </c>
      <c r="I75" s="0">
        <f>BK74*(1+Calculator!$D$18/100/12)</f>
      </c>
      <c r="J75" s="0">
        <f>BL74*(1+Calculator!$D$19/100/12)</f>
      </c>
      <c r="K75" s="0">
        <f>BM74*(1+Calculator!$D$20/100/12)</f>
      </c>
      <c r="L75" s="0">
        <f>BN74*(1+Calculator!$D$21/100/12)</f>
      </c>
      <c r="M75" s="0">
        <f>BO74*(1+Calculator!$D$22/100/12)</f>
      </c>
      <c r="N75" s="0">
        <f>BP74*(1+Calculator!$D$23/100/12)</f>
      </c>
      <c r="O75" s="0">
        <f>BQ74*(1+Calculator!$D$24/100/12)</f>
      </c>
      <c r="P75" s="0">
        <f>BR74*(1+Calculator!$D$25/100/12)</f>
      </c>
      <c r="Q75" s="0">
        <f>BS74*(1+Calculator!$D$26/100/12)</f>
      </c>
      <c r="R75" s="0">
        <f>BT74*(1+Calculator!$D$27/100/12)</f>
      </c>
      <c r="S75" s="0">
        <f>BU74*(1+Calculator!$D$28/100/12)</f>
      </c>
      <c r="T75" s="0">
        <f>MAX(0,B75-Calculator!$E$11)</f>
      </c>
      <c r="U75" s="0">
        <f>MAX(0,C75-Calculator!$E$12)</f>
      </c>
      <c r="V75" s="0">
        <f>MAX(0,D75-Calculator!$E$13)</f>
      </c>
      <c r="W75" s="0">
        <f>MAX(0,E75-Calculator!$E$14)</f>
      </c>
      <c r="X75" s="0">
        <f>MAX(0,F75-Calculator!$E$15)</f>
      </c>
      <c r="Y75" s="0">
        <f>MAX(0,G75-Calculator!$E$16)</f>
      </c>
      <c r="Z75" s="0">
        <f>MAX(0,H75-Calculator!$E$17)</f>
      </c>
      <c r="AA75" s="0">
        <f>MAX(0,I75-Calculator!$E$18)</f>
      </c>
      <c r="AB75" s="0">
        <f>MAX(0,J75-Calculator!$E$19)</f>
      </c>
      <c r="AC75" s="0">
        <f>MAX(0,K75-Calculator!$E$20)</f>
      </c>
      <c r="AD75" s="0">
        <f>MAX(0,L75-Calculator!$E$21)</f>
      </c>
      <c r="AE75" s="0">
        <f>MAX(0,M75-Calculator!$E$22)</f>
      </c>
      <c r="AF75" s="0">
        <f>MAX(0,N75-Calculator!$E$23)</f>
      </c>
      <c r="AG75" s="0">
        <f>MAX(0,O75-Calculator!$E$24)</f>
      </c>
      <c r="AH75" s="0">
        <f>MAX(0,P75-Calculator!$E$25)</f>
      </c>
      <c r="AI75" s="0">
        <f>MAX(0,Q75-Calculator!$E$26)</f>
      </c>
      <c r="AJ75" s="0">
        <f>MAX(0,R75-Calculator!$E$27)</f>
      </c>
      <c r="AK75" s="0">
        <f>MAX(0,S75-Calculator!$E$28)</f>
      </c>
      <c r="AL75" s="0">
        <f>MAX(0,MIN(T75,BX75-SUMPRODUCT(($T$2:$AK$2&lt;T$2)*($T75:$AK75))))</f>
      </c>
      <c r="AM75" s="0">
        <f>MAX(0,MIN(U75,BX75-SUMPRODUCT(($T$2:$AK$2&lt;U$2)*($T75:$AK75))))</f>
      </c>
      <c r="AN75" s="0">
        <f>MAX(0,MIN(V75,BX75-SUMPRODUCT(($T$2:$AK$2&lt;V$2)*($T75:$AK75))))</f>
      </c>
      <c r="AO75" s="0">
        <f>MAX(0,MIN(W75,BX75-SUMPRODUCT(($T$2:$AK$2&lt;W$2)*($T75:$AK75))))</f>
      </c>
      <c r="AP75" s="0">
        <f>MAX(0,MIN(X75,BX75-SUMPRODUCT(($T$2:$AK$2&lt;X$2)*($T75:$AK75))))</f>
      </c>
      <c r="AQ75" s="0">
        <f>MAX(0,MIN(Y75,BX75-SUMPRODUCT(($T$2:$AK$2&lt;Y$2)*($T75:$AK75))))</f>
      </c>
      <c r="AR75" s="0">
        <f>MAX(0,MIN(Z75,BX75-SUMPRODUCT(($T$2:$AK$2&lt;Z$2)*($T75:$AK75))))</f>
      </c>
      <c r="AS75" s="0">
        <f>MAX(0,MIN(AA75,BX75-SUMPRODUCT(($T$2:$AK$2&lt;AA$2)*($T75:$AK75))))</f>
      </c>
      <c r="AT75" s="0">
        <f>MAX(0,MIN(AB75,BX75-SUMPRODUCT(($T$2:$AK$2&lt;AB$2)*($T75:$AK75))))</f>
      </c>
      <c r="AU75" s="0">
        <f>MAX(0,MIN(AC75,BX75-SUMPRODUCT(($T$2:$AK$2&lt;AC$2)*($T75:$AK75))))</f>
      </c>
      <c r="AV75" s="0">
        <f>MAX(0,MIN(AD75,BX75-SUMPRODUCT(($T$2:$AK$2&lt;AD$2)*($T75:$AK75))))</f>
      </c>
      <c r="AW75" s="0">
        <f>MAX(0,MIN(AE75,BX75-SUMPRODUCT(($T$2:$AK$2&lt;AE$2)*($T75:$AK75))))</f>
      </c>
      <c r="AX75" s="0">
        <f>MAX(0,MIN(AF75,BX75-SUMPRODUCT(($T$2:$AK$2&lt;AF$2)*($T75:$AK75))))</f>
      </c>
      <c r="AY75" s="0">
        <f>MAX(0,MIN(AG75,BX75-SUMPRODUCT(($T$2:$AK$2&lt;AG$2)*($T75:$AK75))))</f>
      </c>
      <c r="AZ75" s="0">
        <f>MAX(0,MIN(AH75,BX75-SUMPRODUCT(($T$2:$AK$2&lt;AH$2)*($T75:$AK75))))</f>
      </c>
      <c r="BA75" s="0">
        <f>MAX(0,MIN(AI75,BX75-SUMPRODUCT(($T$2:$AK$2&lt;AI$2)*($T75:$AK75))))</f>
      </c>
      <c r="BB75" s="0">
        <f>MAX(0,MIN(AJ75,BX75-SUMPRODUCT(($T$2:$AK$2&lt;AJ$2)*($T75:$AK75))))</f>
      </c>
      <c r="BC75" s="0">
        <f>MAX(0,MIN(AK75,BX75-SUMPRODUCT(($T$2:$AK$2&lt;AK$2)*($T75:$AK75))))</f>
      </c>
      <c r="BD75" s="0">
        <f>T75-AL75</f>
      </c>
      <c r="BE75" s="0">
        <f>U75-AM75</f>
      </c>
      <c r="BF75" s="0">
        <f>V75-AN75</f>
      </c>
      <c r="BG75" s="0">
        <f>W75-AO75</f>
      </c>
      <c r="BH75" s="0">
        <f>X75-AP75</f>
      </c>
      <c r="BI75" s="0">
        <f>Y75-AQ75</f>
      </c>
      <c r="BJ75" s="0">
        <f>Z75-AR75</f>
      </c>
      <c r="BK75" s="0">
        <f>AA75-AS75</f>
      </c>
      <c r="BL75" s="0">
        <f>AB75-AT75</f>
      </c>
      <c r="BM75" s="0">
        <f>AC75-AU75</f>
      </c>
      <c r="BN75" s="0">
        <f>AD75-AV75</f>
      </c>
      <c r="BO75" s="0">
        <f>AE75-AW75</f>
      </c>
      <c r="BP75" s="0">
        <f>AF75-AX75</f>
      </c>
      <c r="BQ75" s="0">
        <f>AG75-AY75</f>
      </c>
      <c r="BR75" s="0">
        <f>AH75-AZ75</f>
      </c>
      <c r="BS75" s="0">
        <f>AI75-BA75</f>
      </c>
      <c r="BT75" s="0">
        <f>AJ75-BB75</f>
      </c>
      <c r="BU75" s="0">
        <f>AK75-BC75</f>
      </c>
      <c r="BV75" s="0">
        <f>SUM(B75:S75)</f>
      </c>
      <c r="BW75" s="0">
        <f>SUM(T75:AK75)</f>
      </c>
      <c r="BX75" s="0">
        <f>MAX(0,(SUM(Calculator!$E$11:$E$28)+Calculator!$C$6)-BV75+BW75)</f>
      </c>
      <c r="BY75" s="0">
        <f>SUM(BD75:BU75)</f>
      </c>
      <c r="BZ75" s="0">
        <f>BV75-BY74</f>
      </c>
      <c r="CA75" s="0">
        <f>IF(A75&lt;=IF($CD$1=0,999,$CD$1),BY75,NA())</f>
      </c>
      <c r="CB75" s="0">
        <f>IF(A75&lt;=IF($CD$1=0,999,$CD$1),A75,NA())</f>
      </c>
    </row>
    <row r="76">
      <c r="A76" s="0">
        <v>73</v>
      </c>
      <c r="B76" s="0">
        <f>BD75*(1+Calculator!$D$11/100/12)</f>
      </c>
      <c r="C76" s="0">
        <f>BE75*(1+Calculator!$D$12/100/12)</f>
      </c>
      <c r="D76" s="0">
        <f>BF75*(1+Calculator!$D$13/100/12)</f>
      </c>
      <c r="E76" s="0">
        <f>BG75*(1+Calculator!$D$14/100/12)</f>
      </c>
      <c r="F76" s="0">
        <f>BH75*(1+Calculator!$D$15/100/12)</f>
      </c>
      <c r="G76" s="0">
        <f>BI75*(1+Calculator!$D$16/100/12)</f>
      </c>
      <c r="H76" s="0">
        <f>BJ75*(1+Calculator!$D$17/100/12)</f>
      </c>
      <c r="I76" s="0">
        <f>BK75*(1+Calculator!$D$18/100/12)</f>
      </c>
      <c r="J76" s="0">
        <f>BL75*(1+Calculator!$D$19/100/12)</f>
      </c>
      <c r="K76" s="0">
        <f>BM75*(1+Calculator!$D$20/100/12)</f>
      </c>
      <c r="L76" s="0">
        <f>BN75*(1+Calculator!$D$21/100/12)</f>
      </c>
      <c r="M76" s="0">
        <f>BO75*(1+Calculator!$D$22/100/12)</f>
      </c>
      <c r="N76" s="0">
        <f>BP75*(1+Calculator!$D$23/100/12)</f>
      </c>
      <c r="O76" s="0">
        <f>BQ75*(1+Calculator!$D$24/100/12)</f>
      </c>
      <c r="P76" s="0">
        <f>BR75*(1+Calculator!$D$25/100/12)</f>
      </c>
      <c r="Q76" s="0">
        <f>BS75*(1+Calculator!$D$26/100/12)</f>
      </c>
      <c r="R76" s="0">
        <f>BT75*(1+Calculator!$D$27/100/12)</f>
      </c>
      <c r="S76" s="0">
        <f>BU75*(1+Calculator!$D$28/100/12)</f>
      </c>
      <c r="T76" s="0">
        <f>MAX(0,B76-Calculator!$E$11)</f>
      </c>
      <c r="U76" s="0">
        <f>MAX(0,C76-Calculator!$E$12)</f>
      </c>
      <c r="V76" s="0">
        <f>MAX(0,D76-Calculator!$E$13)</f>
      </c>
      <c r="W76" s="0">
        <f>MAX(0,E76-Calculator!$E$14)</f>
      </c>
      <c r="X76" s="0">
        <f>MAX(0,F76-Calculator!$E$15)</f>
      </c>
      <c r="Y76" s="0">
        <f>MAX(0,G76-Calculator!$E$16)</f>
      </c>
      <c r="Z76" s="0">
        <f>MAX(0,H76-Calculator!$E$17)</f>
      </c>
      <c r="AA76" s="0">
        <f>MAX(0,I76-Calculator!$E$18)</f>
      </c>
      <c r="AB76" s="0">
        <f>MAX(0,J76-Calculator!$E$19)</f>
      </c>
      <c r="AC76" s="0">
        <f>MAX(0,K76-Calculator!$E$20)</f>
      </c>
      <c r="AD76" s="0">
        <f>MAX(0,L76-Calculator!$E$21)</f>
      </c>
      <c r="AE76" s="0">
        <f>MAX(0,M76-Calculator!$E$22)</f>
      </c>
      <c r="AF76" s="0">
        <f>MAX(0,N76-Calculator!$E$23)</f>
      </c>
      <c r="AG76" s="0">
        <f>MAX(0,O76-Calculator!$E$24)</f>
      </c>
      <c r="AH76" s="0">
        <f>MAX(0,P76-Calculator!$E$25)</f>
      </c>
      <c r="AI76" s="0">
        <f>MAX(0,Q76-Calculator!$E$26)</f>
      </c>
      <c r="AJ76" s="0">
        <f>MAX(0,R76-Calculator!$E$27)</f>
      </c>
      <c r="AK76" s="0">
        <f>MAX(0,S76-Calculator!$E$28)</f>
      </c>
      <c r="AL76" s="0">
        <f>MAX(0,MIN(T76,BX76-SUMPRODUCT(($T$2:$AK$2&lt;T$2)*($T76:$AK76))))</f>
      </c>
      <c r="AM76" s="0">
        <f>MAX(0,MIN(U76,BX76-SUMPRODUCT(($T$2:$AK$2&lt;U$2)*($T76:$AK76))))</f>
      </c>
      <c r="AN76" s="0">
        <f>MAX(0,MIN(V76,BX76-SUMPRODUCT(($T$2:$AK$2&lt;V$2)*($T76:$AK76))))</f>
      </c>
      <c r="AO76" s="0">
        <f>MAX(0,MIN(W76,BX76-SUMPRODUCT(($T$2:$AK$2&lt;W$2)*($T76:$AK76))))</f>
      </c>
      <c r="AP76" s="0">
        <f>MAX(0,MIN(X76,BX76-SUMPRODUCT(($T$2:$AK$2&lt;X$2)*($T76:$AK76))))</f>
      </c>
      <c r="AQ76" s="0">
        <f>MAX(0,MIN(Y76,BX76-SUMPRODUCT(($T$2:$AK$2&lt;Y$2)*($T76:$AK76))))</f>
      </c>
      <c r="AR76" s="0">
        <f>MAX(0,MIN(Z76,BX76-SUMPRODUCT(($T$2:$AK$2&lt;Z$2)*($T76:$AK76))))</f>
      </c>
      <c r="AS76" s="0">
        <f>MAX(0,MIN(AA76,BX76-SUMPRODUCT(($T$2:$AK$2&lt;AA$2)*($T76:$AK76))))</f>
      </c>
      <c r="AT76" s="0">
        <f>MAX(0,MIN(AB76,BX76-SUMPRODUCT(($T$2:$AK$2&lt;AB$2)*($T76:$AK76))))</f>
      </c>
      <c r="AU76" s="0">
        <f>MAX(0,MIN(AC76,BX76-SUMPRODUCT(($T$2:$AK$2&lt;AC$2)*($T76:$AK76))))</f>
      </c>
      <c r="AV76" s="0">
        <f>MAX(0,MIN(AD76,BX76-SUMPRODUCT(($T$2:$AK$2&lt;AD$2)*($T76:$AK76))))</f>
      </c>
      <c r="AW76" s="0">
        <f>MAX(0,MIN(AE76,BX76-SUMPRODUCT(($T$2:$AK$2&lt;AE$2)*($T76:$AK76))))</f>
      </c>
      <c r="AX76" s="0">
        <f>MAX(0,MIN(AF76,BX76-SUMPRODUCT(($T$2:$AK$2&lt;AF$2)*($T76:$AK76))))</f>
      </c>
      <c r="AY76" s="0">
        <f>MAX(0,MIN(AG76,BX76-SUMPRODUCT(($T$2:$AK$2&lt;AG$2)*($T76:$AK76))))</f>
      </c>
      <c r="AZ76" s="0">
        <f>MAX(0,MIN(AH76,BX76-SUMPRODUCT(($T$2:$AK$2&lt;AH$2)*($T76:$AK76))))</f>
      </c>
      <c r="BA76" s="0">
        <f>MAX(0,MIN(AI76,BX76-SUMPRODUCT(($T$2:$AK$2&lt;AI$2)*($T76:$AK76))))</f>
      </c>
      <c r="BB76" s="0">
        <f>MAX(0,MIN(AJ76,BX76-SUMPRODUCT(($T$2:$AK$2&lt;AJ$2)*($T76:$AK76))))</f>
      </c>
      <c r="BC76" s="0">
        <f>MAX(0,MIN(AK76,BX76-SUMPRODUCT(($T$2:$AK$2&lt;AK$2)*($T76:$AK76))))</f>
      </c>
      <c r="BD76" s="0">
        <f>T76-AL76</f>
      </c>
      <c r="BE76" s="0">
        <f>U76-AM76</f>
      </c>
      <c r="BF76" s="0">
        <f>V76-AN76</f>
      </c>
      <c r="BG76" s="0">
        <f>W76-AO76</f>
      </c>
      <c r="BH76" s="0">
        <f>X76-AP76</f>
      </c>
      <c r="BI76" s="0">
        <f>Y76-AQ76</f>
      </c>
      <c r="BJ76" s="0">
        <f>Z76-AR76</f>
      </c>
      <c r="BK76" s="0">
        <f>AA76-AS76</f>
      </c>
      <c r="BL76" s="0">
        <f>AB76-AT76</f>
      </c>
      <c r="BM76" s="0">
        <f>AC76-AU76</f>
      </c>
      <c r="BN76" s="0">
        <f>AD76-AV76</f>
      </c>
      <c r="BO76" s="0">
        <f>AE76-AW76</f>
      </c>
      <c r="BP76" s="0">
        <f>AF76-AX76</f>
      </c>
      <c r="BQ76" s="0">
        <f>AG76-AY76</f>
      </c>
      <c r="BR76" s="0">
        <f>AH76-AZ76</f>
      </c>
      <c r="BS76" s="0">
        <f>AI76-BA76</f>
      </c>
      <c r="BT76" s="0">
        <f>AJ76-BB76</f>
      </c>
      <c r="BU76" s="0">
        <f>AK76-BC76</f>
      </c>
      <c r="BV76" s="0">
        <f>SUM(B76:S76)</f>
      </c>
      <c r="BW76" s="0">
        <f>SUM(T76:AK76)</f>
      </c>
      <c r="BX76" s="0">
        <f>MAX(0,(SUM(Calculator!$E$11:$E$28)+Calculator!$C$6)-BV76+BW76)</f>
      </c>
      <c r="BY76" s="0">
        <f>SUM(BD76:BU76)</f>
      </c>
      <c r="BZ76" s="0">
        <f>BV76-BY75</f>
      </c>
      <c r="CA76" s="0">
        <f>IF(A76&lt;=IF($CD$1=0,999,$CD$1),BY76,NA())</f>
      </c>
      <c r="CB76" s="0">
        <f>IF(A76&lt;=IF($CD$1=0,999,$CD$1),A76,NA())</f>
      </c>
    </row>
    <row r="77">
      <c r="A77" s="0">
        <v>74</v>
      </c>
      <c r="B77" s="0">
        <f>BD76*(1+Calculator!$D$11/100/12)</f>
      </c>
      <c r="C77" s="0">
        <f>BE76*(1+Calculator!$D$12/100/12)</f>
      </c>
      <c r="D77" s="0">
        <f>BF76*(1+Calculator!$D$13/100/12)</f>
      </c>
      <c r="E77" s="0">
        <f>BG76*(1+Calculator!$D$14/100/12)</f>
      </c>
      <c r="F77" s="0">
        <f>BH76*(1+Calculator!$D$15/100/12)</f>
      </c>
      <c r="G77" s="0">
        <f>BI76*(1+Calculator!$D$16/100/12)</f>
      </c>
      <c r="H77" s="0">
        <f>BJ76*(1+Calculator!$D$17/100/12)</f>
      </c>
      <c r="I77" s="0">
        <f>BK76*(1+Calculator!$D$18/100/12)</f>
      </c>
      <c r="J77" s="0">
        <f>BL76*(1+Calculator!$D$19/100/12)</f>
      </c>
      <c r="K77" s="0">
        <f>BM76*(1+Calculator!$D$20/100/12)</f>
      </c>
      <c r="L77" s="0">
        <f>BN76*(1+Calculator!$D$21/100/12)</f>
      </c>
      <c r="M77" s="0">
        <f>BO76*(1+Calculator!$D$22/100/12)</f>
      </c>
      <c r="N77" s="0">
        <f>BP76*(1+Calculator!$D$23/100/12)</f>
      </c>
      <c r="O77" s="0">
        <f>BQ76*(1+Calculator!$D$24/100/12)</f>
      </c>
      <c r="P77" s="0">
        <f>BR76*(1+Calculator!$D$25/100/12)</f>
      </c>
      <c r="Q77" s="0">
        <f>BS76*(1+Calculator!$D$26/100/12)</f>
      </c>
      <c r="R77" s="0">
        <f>BT76*(1+Calculator!$D$27/100/12)</f>
      </c>
      <c r="S77" s="0">
        <f>BU76*(1+Calculator!$D$28/100/12)</f>
      </c>
      <c r="T77" s="0">
        <f>MAX(0,B77-Calculator!$E$11)</f>
      </c>
      <c r="U77" s="0">
        <f>MAX(0,C77-Calculator!$E$12)</f>
      </c>
      <c r="V77" s="0">
        <f>MAX(0,D77-Calculator!$E$13)</f>
      </c>
      <c r="W77" s="0">
        <f>MAX(0,E77-Calculator!$E$14)</f>
      </c>
      <c r="X77" s="0">
        <f>MAX(0,F77-Calculator!$E$15)</f>
      </c>
      <c r="Y77" s="0">
        <f>MAX(0,G77-Calculator!$E$16)</f>
      </c>
      <c r="Z77" s="0">
        <f>MAX(0,H77-Calculator!$E$17)</f>
      </c>
      <c r="AA77" s="0">
        <f>MAX(0,I77-Calculator!$E$18)</f>
      </c>
      <c r="AB77" s="0">
        <f>MAX(0,J77-Calculator!$E$19)</f>
      </c>
      <c r="AC77" s="0">
        <f>MAX(0,K77-Calculator!$E$20)</f>
      </c>
      <c r="AD77" s="0">
        <f>MAX(0,L77-Calculator!$E$21)</f>
      </c>
      <c r="AE77" s="0">
        <f>MAX(0,M77-Calculator!$E$22)</f>
      </c>
      <c r="AF77" s="0">
        <f>MAX(0,N77-Calculator!$E$23)</f>
      </c>
      <c r="AG77" s="0">
        <f>MAX(0,O77-Calculator!$E$24)</f>
      </c>
      <c r="AH77" s="0">
        <f>MAX(0,P77-Calculator!$E$25)</f>
      </c>
      <c r="AI77" s="0">
        <f>MAX(0,Q77-Calculator!$E$26)</f>
      </c>
      <c r="AJ77" s="0">
        <f>MAX(0,R77-Calculator!$E$27)</f>
      </c>
      <c r="AK77" s="0">
        <f>MAX(0,S77-Calculator!$E$28)</f>
      </c>
      <c r="AL77" s="0">
        <f>MAX(0,MIN(T77,BX77-SUMPRODUCT(($T$2:$AK$2&lt;T$2)*($T77:$AK77))))</f>
      </c>
      <c r="AM77" s="0">
        <f>MAX(0,MIN(U77,BX77-SUMPRODUCT(($T$2:$AK$2&lt;U$2)*($T77:$AK77))))</f>
      </c>
      <c r="AN77" s="0">
        <f>MAX(0,MIN(V77,BX77-SUMPRODUCT(($T$2:$AK$2&lt;V$2)*($T77:$AK77))))</f>
      </c>
      <c r="AO77" s="0">
        <f>MAX(0,MIN(W77,BX77-SUMPRODUCT(($T$2:$AK$2&lt;W$2)*($T77:$AK77))))</f>
      </c>
      <c r="AP77" s="0">
        <f>MAX(0,MIN(X77,BX77-SUMPRODUCT(($T$2:$AK$2&lt;X$2)*($T77:$AK77))))</f>
      </c>
      <c r="AQ77" s="0">
        <f>MAX(0,MIN(Y77,BX77-SUMPRODUCT(($T$2:$AK$2&lt;Y$2)*($T77:$AK77))))</f>
      </c>
      <c r="AR77" s="0">
        <f>MAX(0,MIN(Z77,BX77-SUMPRODUCT(($T$2:$AK$2&lt;Z$2)*($T77:$AK77))))</f>
      </c>
      <c r="AS77" s="0">
        <f>MAX(0,MIN(AA77,BX77-SUMPRODUCT(($T$2:$AK$2&lt;AA$2)*($T77:$AK77))))</f>
      </c>
      <c r="AT77" s="0">
        <f>MAX(0,MIN(AB77,BX77-SUMPRODUCT(($T$2:$AK$2&lt;AB$2)*($T77:$AK77))))</f>
      </c>
      <c r="AU77" s="0">
        <f>MAX(0,MIN(AC77,BX77-SUMPRODUCT(($T$2:$AK$2&lt;AC$2)*($T77:$AK77))))</f>
      </c>
      <c r="AV77" s="0">
        <f>MAX(0,MIN(AD77,BX77-SUMPRODUCT(($T$2:$AK$2&lt;AD$2)*($T77:$AK77))))</f>
      </c>
      <c r="AW77" s="0">
        <f>MAX(0,MIN(AE77,BX77-SUMPRODUCT(($T$2:$AK$2&lt;AE$2)*($T77:$AK77))))</f>
      </c>
      <c r="AX77" s="0">
        <f>MAX(0,MIN(AF77,BX77-SUMPRODUCT(($T$2:$AK$2&lt;AF$2)*($T77:$AK77))))</f>
      </c>
      <c r="AY77" s="0">
        <f>MAX(0,MIN(AG77,BX77-SUMPRODUCT(($T$2:$AK$2&lt;AG$2)*($T77:$AK77))))</f>
      </c>
      <c r="AZ77" s="0">
        <f>MAX(0,MIN(AH77,BX77-SUMPRODUCT(($T$2:$AK$2&lt;AH$2)*($T77:$AK77))))</f>
      </c>
      <c r="BA77" s="0">
        <f>MAX(0,MIN(AI77,BX77-SUMPRODUCT(($T$2:$AK$2&lt;AI$2)*($T77:$AK77))))</f>
      </c>
      <c r="BB77" s="0">
        <f>MAX(0,MIN(AJ77,BX77-SUMPRODUCT(($T$2:$AK$2&lt;AJ$2)*($T77:$AK77))))</f>
      </c>
      <c r="BC77" s="0">
        <f>MAX(0,MIN(AK77,BX77-SUMPRODUCT(($T$2:$AK$2&lt;AK$2)*($T77:$AK77))))</f>
      </c>
      <c r="BD77" s="0">
        <f>T77-AL77</f>
      </c>
      <c r="BE77" s="0">
        <f>U77-AM77</f>
      </c>
      <c r="BF77" s="0">
        <f>V77-AN77</f>
      </c>
      <c r="BG77" s="0">
        <f>W77-AO77</f>
      </c>
      <c r="BH77" s="0">
        <f>X77-AP77</f>
      </c>
      <c r="BI77" s="0">
        <f>Y77-AQ77</f>
      </c>
      <c r="BJ77" s="0">
        <f>Z77-AR77</f>
      </c>
      <c r="BK77" s="0">
        <f>AA77-AS77</f>
      </c>
      <c r="BL77" s="0">
        <f>AB77-AT77</f>
      </c>
      <c r="BM77" s="0">
        <f>AC77-AU77</f>
      </c>
      <c r="BN77" s="0">
        <f>AD77-AV77</f>
      </c>
      <c r="BO77" s="0">
        <f>AE77-AW77</f>
      </c>
      <c r="BP77" s="0">
        <f>AF77-AX77</f>
      </c>
      <c r="BQ77" s="0">
        <f>AG77-AY77</f>
      </c>
      <c r="BR77" s="0">
        <f>AH77-AZ77</f>
      </c>
      <c r="BS77" s="0">
        <f>AI77-BA77</f>
      </c>
      <c r="BT77" s="0">
        <f>AJ77-BB77</f>
      </c>
      <c r="BU77" s="0">
        <f>AK77-BC77</f>
      </c>
      <c r="BV77" s="0">
        <f>SUM(B77:S77)</f>
      </c>
      <c r="BW77" s="0">
        <f>SUM(T77:AK77)</f>
      </c>
      <c r="BX77" s="0">
        <f>MAX(0,(SUM(Calculator!$E$11:$E$28)+Calculator!$C$6)-BV77+BW77)</f>
      </c>
      <c r="BY77" s="0">
        <f>SUM(BD77:BU77)</f>
      </c>
      <c r="BZ77" s="0">
        <f>BV77-BY76</f>
      </c>
      <c r="CA77" s="0">
        <f>IF(A77&lt;=IF($CD$1=0,999,$CD$1),BY77,NA())</f>
      </c>
      <c r="CB77" s="0">
        <f>IF(A77&lt;=IF($CD$1=0,999,$CD$1),A77,NA())</f>
      </c>
    </row>
    <row r="78">
      <c r="A78" s="0">
        <v>75</v>
      </c>
      <c r="B78" s="0">
        <f>BD77*(1+Calculator!$D$11/100/12)</f>
      </c>
      <c r="C78" s="0">
        <f>BE77*(1+Calculator!$D$12/100/12)</f>
      </c>
      <c r="D78" s="0">
        <f>BF77*(1+Calculator!$D$13/100/12)</f>
      </c>
      <c r="E78" s="0">
        <f>BG77*(1+Calculator!$D$14/100/12)</f>
      </c>
      <c r="F78" s="0">
        <f>BH77*(1+Calculator!$D$15/100/12)</f>
      </c>
      <c r="G78" s="0">
        <f>BI77*(1+Calculator!$D$16/100/12)</f>
      </c>
      <c r="H78" s="0">
        <f>BJ77*(1+Calculator!$D$17/100/12)</f>
      </c>
      <c r="I78" s="0">
        <f>BK77*(1+Calculator!$D$18/100/12)</f>
      </c>
      <c r="J78" s="0">
        <f>BL77*(1+Calculator!$D$19/100/12)</f>
      </c>
      <c r="K78" s="0">
        <f>BM77*(1+Calculator!$D$20/100/12)</f>
      </c>
      <c r="L78" s="0">
        <f>BN77*(1+Calculator!$D$21/100/12)</f>
      </c>
      <c r="M78" s="0">
        <f>BO77*(1+Calculator!$D$22/100/12)</f>
      </c>
      <c r="N78" s="0">
        <f>BP77*(1+Calculator!$D$23/100/12)</f>
      </c>
      <c r="O78" s="0">
        <f>BQ77*(1+Calculator!$D$24/100/12)</f>
      </c>
      <c r="P78" s="0">
        <f>BR77*(1+Calculator!$D$25/100/12)</f>
      </c>
      <c r="Q78" s="0">
        <f>BS77*(1+Calculator!$D$26/100/12)</f>
      </c>
      <c r="R78" s="0">
        <f>BT77*(1+Calculator!$D$27/100/12)</f>
      </c>
      <c r="S78" s="0">
        <f>BU77*(1+Calculator!$D$28/100/12)</f>
      </c>
      <c r="T78" s="0">
        <f>MAX(0,B78-Calculator!$E$11)</f>
      </c>
      <c r="U78" s="0">
        <f>MAX(0,C78-Calculator!$E$12)</f>
      </c>
      <c r="V78" s="0">
        <f>MAX(0,D78-Calculator!$E$13)</f>
      </c>
      <c r="W78" s="0">
        <f>MAX(0,E78-Calculator!$E$14)</f>
      </c>
      <c r="X78" s="0">
        <f>MAX(0,F78-Calculator!$E$15)</f>
      </c>
      <c r="Y78" s="0">
        <f>MAX(0,G78-Calculator!$E$16)</f>
      </c>
      <c r="Z78" s="0">
        <f>MAX(0,H78-Calculator!$E$17)</f>
      </c>
      <c r="AA78" s="0">
        <f>MAX(0,I78-Calculator!$E$18)</f>
      </c>
      <c r="AB78" s="0">
        <f>MAX(0,J78-Calculator!$E$19)</f>
      </c>
      <c r="AC78" s="0">
        <f>MAX(0,K78-Calculator!$E$20)</f>
      </c>
      <c r="AD78" s="0">
        <f>MAX(0,L78-Calculator!$E$21)</f>
      </c>
      <c r="AE78" s="0">
        <f>MAX(0,M78-Calculator!$E$22)</f>
      </c>
      <c r="AF78" s="0">
        <f>MAX(0,N78-Calculator!$E$23)</f>
      </c>
      <c r="AG78" s="0">
        <f>MAX(0,O78-Calculator!$E$24)</f>
      </c>
      <c r="AH78" s="0">
        <f>MAX(0,P78-Calculator!$E$25)</f>
      </c>
      <c r="AI78" s="0">
        <f>MAX(0,Q78-Calculator!$E$26)</f>
      </c>
      <c r="AJ78" s="0">
        <f>MAX(0,R78-Calculator!$E$27)</f>
      </c>
      <c r="AK78" s="0">
        <f>MAX(0,S78-Calculator!$E$28)</f>
      </c>
      <c r="AL78" s="0">
        <f>MAX(0,MIN(T78,BX78-SUMPRODUCT(($T$2:$AK$2&lt;T$2)*($T78:$AK78))))</f>
      </c>
      <c r="AM78" s="0">
        <f>MAX(0,MIN(U78,BX78-SUMPRODUCT(($T$2:$AK$2&lt;U$2)*($T78:$AK78))))</f>
      </c>
      <c r="AN78" s="0">
        <f>MAX(0,MIN(V78,BX78-SUMPRODUCT(($T$2:$AK$2&lt;V$2)*($T78:$AK78))))</f>
      </c>
      <c r="AO78" s="0">
        <f>MAX(0,MIN(W78,BX78-SUMPRODUCT(($T$2:$AK$2&lt;W$2)*($T78:$AK78))))</f>
      </c>
      <c r="AP78" s="0">
        <f>MAX(0,MIN(X78,BX78-SUMPRODUCT(($T$2:$AK$2&lt;X$2)*($T78:$AK78))))</f>
      </c>
      <c r="AQ78" s="0">
        <f>MAX(0,MIN(Y78,BX78-SUMPRODUCT(($T$2:$AK$2&lt;Y$2)*($T78:$AK78))))</f>
      </c>
      <c r="AR78" s="0">
        <f>MAX(0,MIN(Z78,BX78-SUMPRODUCT(($T$2:$AK$2&lt;Z$2)*($T78:$AK78))))</f>
      </c>
      <c r="AS78" s="0">
        <f>MAX(0,MIN(AA78,BX78-SUMPRODUCT(($T$2:$AK$2&lt;AA$2)*($T78:$AK78))))</f>
      </c>
      <c r="AT78" s="0">
        <f>MAX(0,MIN(AB78,BX78-SUMPRODUCT(($T$2:$AK$2&lt;AB$2)*($T78:$AK78))))</f>
      </c>
      <c r="AU78" s="0">
        <f>MAX(0,MIN(AC78,BX78-SUMPRODUCT(($T$2:$AK$2&lt;AC$2)*($T78:$AK78))))</f>
      </c>
      <c r="AV78" s="0">
        <f>MAX(0,MIN(AD78,BX78-SUMPRODUCT(($T$2:$AK$2&lt;AD$2)*($T78:$AK78))))</f>
      </c>
      <c r="AW78" s="0">
        <f>MAX(0,MIN(AE78,BX78-SUMPRODUCT(($T$2:$AK$2&lt;AE$2)*($T78:$AK78))))</f>
      </c>
      <c r="AX78" s="0">
        <f>MAX(0,MIN(AF78,BX78-SUMPRODUCT(($T$2:$AK$2&lt;AF$2)*($T78:$AK78))))</f>
      </c>
      <c r="AY78" s="0">
        <f>MAX(0,MIN(AG78,BX78-SUMPRODUCT(($T$2:$AK$2&lt;AG$2)*($T78:$AK78))))</f>
      </c>
      <c r="AZ78" s="0">
        <f>MAX(0,MIN(AH78,BX78-SUMPRODUCT(($T$2:$AK$2&lt;AH$2)*($T78:$AK78))))</f>
      </c>
      <c r="BA78" s="0">
        <f>MAX(0,MIN(AI78,BX78-SUMPRODUCT(($T$2:$AK$2&lt;AI$2)*($T78:$AK78))))</f>
      </c>
      <c r="BB78" s="0">
        <f>MAX(0,MIN(AJ78,BX78-SUMPRODUCT(($T$2:$AK$2&lt;AJ$2)*($T78:$AK78))))</f>
      </c>
      <c r="BC78" s="0">
        <f>MAX(0,MIN(AK78,BX78-SUMPRODUCT(($T$2:$AK$2&lt;AK$2)*($T78:$AK78))))</f>
      </c>
      <c r="BD78" s="0">
        <f>T78-AL78</f>
      </c>
      <c r="BE78" s="0">
        <f>U78-AM78</f>
      </c>
      <c r="BF78" s="0">
        <f>V78-AN78</f>
      </c>
      <c r="BG78" s="0">
        <f>W78-AO78</f>
      </c>
      <c r="BH78" s="0">
        <f>X78-AP78</f>
      </c>
      <c r="BI78" s="0">
        <f>Y78-AQ78</f>
      </c>
      <c r="BJ78" s="0">
        <f>Z78-AR78</f>
      </c>
      <c r="BK78" s="0">
        <f>AA78-AS78</f>
      </c>
      <c r="BL78" s="0">
        <f>AB78-AT78</f>
      </c>
      <c r="BM78" s="0">
        <f>AC78-AU78</f>
      </c>
      <c r="BN78" s="0">
        <f>AD78-AV78</f>
      </c>
      <c r="BO78" s="0">
        <f>AE78-AW78</f>
      </c>
      <c r="BP78" s="0">
        <f>AF78-AX78</f>
      </c>
      <c r="BQ78" s="0">
        <f>AG78-AY78</f>
      </c>
      <c r="BR78" s="0">
        <f>AH78-AZ78</f>
      </c>
      <c r="BS78" s="0">
        <f>AI78-BA78</f>
      </c>
      <c r="BT78" s="0">
        <f>AJ78-BB78</f>
      </c>
      <c r="BU78" s="0">
        <f>AK78-BC78</f>
      </c>
      <c r="BV78" s="0">
        <f>SUM(B78:S78)</f>
      </c>
      <c r="BW78" s="0">
        <f>SUM(T78:AK78)</f>
      </c>
      <c r="BX78" s="0">
        <f>MAX(0,(SUM(Calculator!$E$11:$E$28)+Calculator!$C$6)-BV78+BW78)</f>
      </c>
      <c r="BY78" s="0">
        <f>SUM(BD78:BU78)</f>
      </c>
      <c r="BZ78" s="0">
        <f>BV78-BY77</f>
      </c>
      <c r="CA78" s="0">
        <f>IF(A78&lt;=IF($CD$1=0,999,$CD$1),BY78,NA())</f>
      </c>
      <c r="CB78" s="0">
        <f>IF(A78&lt;=IF($CD$1=0,999,$CD$1),A78,NA())</f>
      </c>
    </row>
    <row r="79">
      <c r="A79" s="0">
        <v>76</v>
      </c>
      <c r="B79" s="0">
        <f>BD78*(1+Calculator!$D$11/100/12)</f>
      </c>
      <c r="C79" s="0">
        <f>BE78*(1+Calculator!$D$12/100/12)</f>
      </c>
      <c r="D79" s="0">
        <f>BF78*(1+Calculator!$D$13/100/12)</f>
      </c>
      <c r="E79" s="0">
        <f>BG78*(1+Calculator!$D$14/100/12)</f>
      </c>
      <c r="F79" s="0">
        <f>BH78*(1+Calculator!$D$15/100/12)</f>
      </c>
      <c r="G79" s="0">
        <f>BI78*(1+Calculator!$D$16/100/12)</f>
      </c>
      <c r="H79" s="0">
        <f>BJ78*(1+Calculator!$D$17/100/12)</f>
      </c>
      <c r="I79" s="0">
        <f>BK78*(1+Calculator!$D$18/100/12)</f>
      </c>
      <c r="J79" s="0">
        <f>BL78*(1+Calculator!$D$19/100/12)</f>
      </c>
      <c r="K79" s="0">
        <f>BM78*(1+Calculator!$D$20/100/12)</f>
      </c>
      <c r="L79" s="0">
        <f>BN78*(1+Calculator!$D$21/100/12)</f>
      </c>
      <c r="M79" s="0">
        <f>BO78*(1+Calculator!$D$22/100/12)</f>
      </c>
      <c r="N79" s="0">
        <f>BP78*(1+Calculator!$D$23/100/12)</f>
      </c>
      <c r="O79" s="0">
        <f>BQ78*(1+Calculator!$D$24/100/12)</f>
      </c>
      <c r="P79" s="0">
        <f>BR78*(1+Calculator!$D$25/100/12)</f>
      </c>
      <c r="Q79" s="0">
        <f>BS78*(1+Calculator!$D$26/100/12)</f>
      </c>
      <c r="R79" s="0">
        <f>BT78*(1+Calculator!$D$27/100/12)</f>
      </c>
      <c r="S79" s="0">
        <f>BU78*(1+Calculator!$D$28/100/12)</f>
      </c>
      <c r="T79" s="0">
        <f>MAX(0,B79-Calculator!$E$11)</f>
      </c>
      <c r="U79" s="0">
        <f>MAX(0,C79-Calculator!$E$12)</f>
      </c>
      <c r="V79" s="0">
        <f>MAX(0,D79-Calculator!$E$13)</f>
      </c>
      <c r="W79" s="0">
        <f>MAX(0,E79-Calculator!$E$14)</f>
      </c>
      <c r="X79" s="0">
        <f>MAX(0,F79-Calculator!$E$15)</f>
      </c>
      <c r="Y79" s="0">
        <f>MAX(0,G79-Calculator!$E$16)</f>
      </c>
      <c r="Z79" s="0">
        <f>MAX(0,H79-Calculator!$E$17)</f>
      </c>
      <c r="AA79" s="0">
        <f>MAX(0,I79-Calculator!$E$18)</f>
      </c>
      <c r="AB79" s="0">
        <f>MAX(0,J79-Calculator!$E$19)</f>
      </c>
      <c r="AC79" s="0">
        <f>MAX(0,K79-Calculator!$E$20)</f>
      </c>
      <c r="AD79" s="0">
        <f>MAX(0,L79-Calculator!$E$21)</f>
      </c>
      <c r="AE79" s="0">
        <f>MAX(0,M79-Calculator!$E$22)</f>
      </c>
      <c r="AF79" s="0">
        <f>MAX(0,N79-Calculator!$E$23)</f>
      </c>
      <c r="AG79" s="0">
        <f>MAX(0,O79-Calculator!$E$24)</f>
      </c>
      <c r="AH79" s="0">
        <f>MAX(0,P79-Calculator!$E$25)</f>
      </c>
      <c r="AI79" s="0">
        <f>MAX(0,Q79-Calculator!$E$26)</f>
      </c>
      <c r="AJ79" s="0">
        <f>MAX(0,R79-Calculator!$E$27)</f>
      </c>
      <c r="AK79" s="0">
        <f>MAX(0,S79-Calculator!$E$28)</f>
      </c>
      <c r="AL79" s="0">
        <f>MAX(0,MIN(T79,BX79-SUMPRODUCT(($T$2:$AK$2&lt;T$2)*($T79:$AK79))))</f>
      </c>
      <c r="AM79" s="0">
        <f>MAX(0,MIN(U79,BX79-SUMPRODUCT(($T$2:$AK$2&lt;U$2)*($T79:$AK79))))</f>
      </c>
      <c r="AN79" s="0">
        <f>MAX(0,MIN(V79,BX79-SUMPRODUCT(($T$2:$AK$2&lt;V$2)*($T79:$AK79))))</f>
      </c>
      <c r="AO79" s="0">
        <f>MAX(0,MIN(W79,BX79-SUMPRODUCT(($T$2:$AK$2&lt;W$2)*($T79:$AK79))))</f>
      </c>
      <c r="AP79" s="0">
        <f>MAX(0,MIN(X79,BX79-SUMPRODUCT(($T$2:$AK$2&lt;X$2)*($T79:$AK79))))</f>
      </c>
      <c r="AQ79" s="0">
        <f>MAX(0,MIN(Y79,BX79-SUMPRODUCT(($T$2:$AK$2&lt;Y$2)*($T79:$AK79))))</f>
      </c>
      <c r="AR79" s="0">
        <f>MAX(0,MIN(Z79,BX79-SUMPRODUCT(($T$2:$AK$2&lt;Z$2)*($T79:$AK79))))</f>
      </c>
      <c r="AS79" s="0">
        <f>MAX(0,MIN(AA79,BX79-SUMPRODUCT(($T$2:$AK$2&lt;AA$2)*($T79:$AK79))))</f>
      </c>
      <c r="AT79" s="0">
        <f>MAX(0,MIN(AB79,BX79-SUMPRODUCT(($T$2:$AK$2&lt;AB$2)*($T79:$AK79))))</f>
      </c>
      <c r="AU79" s="0">
        <f>MAX(0,MIN(AC79,BX79-SUMPRODUCT(($T$2:$AK$2&lt;AC$2)*($T79:$AK79))))</f>
      </c>
      <c r="AV79" s="0">
        <f>MAX(0,MIN(AD79,BX79-SUMPRODUCT(($T$2:$AK$2&lt;AD$2)*($T79:$AK79))))</f>
      </c>
      <c r="AW79" s="0">
        <f>MAX(0,MIN(AE79,BX79-SUMPRODUCT(($T$2:$AK$2&lt;AE$2)*($T79:$AK79))))</f>
      </c>
      <c r="AX79" s="0">
        <f>MAX(0,MIN(AF79,BX79-SUMPRODUCT(($T$2:$AK$2&lt;AF$2)*($T79:$AK79))))</f>
      </c>
      <c r="AY79" s="0">
        <f>MAX(0,MIN(AG79,BX79-SUMPRODUCT(($T$2:$AK$2&lt;AG$2)*($T79:$AK79))))</f>
      </c>
      <c r="AZ79" s="0">
        <f>MAX(0,MIN(AH79,BX79-SUMPRODUCT(($T$2:$AK$2&lt;AH$2)*($T79:$AK79))))</f>
      </c>
      <c r="BA79" s="0">
        <f>MAX(0,MIN(AI79,BX79-SUMPRODUCT(($T$2:$AK$2&lt;AI$2)*($T79:$AK79))))</f>
      </c>
      <c r="BB79" s="0">
        <f>MAX(0,MIN(AJ79,BX79-SUMPRODUCT(($T$2:$AK$2&lt;AJ$2)*($T79:$AK79))))</f>
      </c>
      <c r="BC79" s="0">
        <f>MAX(0,MIN(AK79,BX79-SUMPRODUCT(($T$2:$AK$2&lt;AK$2)*($T79:$AK79))))</f>
      </c>
      <c r="BD79" s="0">
        <f>T79-AL79</f>
      </c>
      <c r="BE79" s="0">
        <f>U79-AM79</f>
      </c>
      <c r="BF79" s="0">
        <f>V79-AN79</f>
      </c>
      <c r="BG79" s="0">
        <f>W79-AO79</f>
      </c>
      <c r="BH79" s="0">
        <f>X79-AP79</f>
      </c>
      <c r="BI79" s="0">
        <f>Y79-AQ79</f>
      </c>
      <c r="BJ79" s="0">
        <f>Z79-AR79</f>
      </c>
      <c r="BK79" s="0">
        <f>AA79-AS79</f>
      </c>
      <c r="BL79" s="0">
        <f>AB79-AT79</f>
      </c>
      <c r="BM79" s="0">
        <f>AC79-AU79</f>
      </c>
      <c r="BN79" s="0">
        <f>AD79-AV79</f>
      </c>
      <c r="BO79" s="0">
        <f>AE79-AW79</f>
      </c>
      <c r="BP79" s="0">
        <f>AF79-AX79</f>
      </c>
      <c r="BQ79" s="0">
        <f>AG79-AY79</f>
      </c>
      <c r="BR79" s="0">
        <f>AH79-AZ79</f>
      </c>
      <c r="BS79" s="0">
        <f>AI79-BA79</f>
      </c>
      <c r="BT79" s="0">
        <f>AJ79-BB79</f>
      </c>
      <c r="BU79" s="0">
        <f>AK79-BC79</f>
      </c>
      <c r="BV79" s="0">
        <f>SUM(B79:S79)</f>
      </c>
      <c r="BW79" s="0">
        <f>SUM(T79:AK79)</f>
      </c>
      <c r="BX79" s="0">
        <f>MAX(0,(SUM(Calculator!$E$11:$E$28)+Calculator!$C$6)-BV79+BW79)</f>
      </c>
      <c r="BY79" s="0">
        <f>SUM(BD79:BU79)</f>
      </c>
      <c r="BZ79" s="0">
        <f>BV79-BY78</f>
      </c>
      <c r="CA79" s="0">
        <f>IF(A79&lt;=IF($CD$1=0,999,$CD$1),BY79,NA())</f>
      </c>
      <c r="CB79" s="0">
        <f>IF(A79&lt;=IF($CD$1=0,999,$CD$1),A79,NA())</f>
      </c>
    </row>
    <row r="80">
      <c r="A80" s="0">
        <v>77</v>
      </c>
      <c r="B80" s="0">
        <f>BD79*(1+Calculator!$D$11/100/12)</f>
      </c>
      <c r="C80" s="0">
        <f>BE79*(1+Calculator!$D$12/100/12)</f>
      </c>
      <c r="D80" s="0">
        <f>BF79*(1+Calculator!$D$13/100/12)</f>
      </c>
      <c r="E80" s="0">
        <f>BG79*(1+Calculator!$D$14/100/12)</f>
      </c>
      <c r="F80" s="0">
        <f>BH79*(1+Calculator!$D$15/100/12)</f>
      </c>
      <c r="G80" s="0">
        <f>BI79*(1+Calculator!$D$16/100/12)</f>
      </c>
      <c r="H80" s="0">
        <f>BJ79*(1+Calculator!$D$17/100/12)</f>
      </c>
      <c r="I80" s="0">
        <f>BK79*(1+Calculator!$D$18/100/12)</f>
      </c>
      <c r="J80" s="0">
        <f>BL79*(1+Calculator!$D$19/100/12)</f>
      </c>
      <c r="K80" s="0">
        <f>BM79*(1+Calculator!$D$20/100/12)</f>
      </c>
      <c r="L80" s="0">
        <f>BN79*(1+Calculator!$D$21/100/12)</f>
      </c>
      <c r="M80" s="0">
        <f>BO79*(1+Calculator!$D$22/100/12)</f>
      </c>
      <c r="N80" s="0">
        <f>BP79*(1+Calculator!$D$23/100/12)</f>
      </c>
      <c r="O80" s="0">
        <f>BQ79*(1+Calculator!$D$24/100/12)</f>
      </c>
      <c r="P80" s="0">
        <f>BR79*(1+Calculator!$D$25/100/12)</f>
      </c>
      <c r="Q80" s="0">
        <f>BS79*(1+Calculator!$D$26/100/12)</f>
      </c>
      <c r="R80" s="0">
        <f>BT79*(1+Calculator!$D$27/100/12)</f>
      </c>
      <c r="S80" s="0">
        <f>BU79*(1+Calculator!$D$28/100/12)</f>
      </c>
      <c r="T80" s="0">
        <f>MAX(0,B80-Calculator!$E$11)</f>
      </c>
      <c r="U80" s="0">
        <f>MAX(0,C80-Calculator!$E$12)</f>
      </c>
      <c r="V80" s="0">
        <f>MAX(0,D80-Calculator!$E$13)</f>
      </c>
      <c r="W80" s="0">
        <f>MAX(0,E80-Calculator!$E$14)</f>
      </c>
      <c r="X80" s="0">
        <f>MAX(0,F80-Calculator!$E$15)</f>
      </c>
      <c r="Y80" s="0">
        <f>MAX(0,G80-Calculator!$E$16)</f>
      </c>
      <c r="Z80" s="0">
        <f>MAX(0,H80-Calculator!$E$17)</f>
      </c>
      <c r="AA80" s="0">
        <f>MAX(0,I80-Calculator!$E$18)</f>
      </c>
      <c r="AB80" s="0">
        <f>MAX(0,J80-Calculator!$E$19)</f>
      </c>
      <c r="AC80" s="0">
        <f>MAX(0,K80-Calculator!$E$20)</f>
      </c>
      <c r="AD80" s="0">
        <f>MAX(0,L80-Calculator!$E$21)</f>
      </c>
      <c r="AE80" s="0">
        <f>MAX(0,M80-Calculator!$E$22)</f>
      </c>
      <c r="AF80" s="0">
        <f>MAX(0,N80-Calculator!$E$23)</f>
      </c>
      <c r="AG80" s="0">
        <f>MAX(0,O80-Calculator!$E$24)</f>
      </c>
      <c r="AH80" s="0">
        <f>MAX(0,P80-Calculator!$E$25)</f>
      </c>
      <c r="AI80" s="0">
        <f>MAX(0,Q80-Calculator!$E$26)</f>
      </c>
      <c r="AJ80" s="0">
        <f>MAX(0,R80-Calculator!$E$27)</f>
      </c>
      <c r="AK80" s="0">
        <f>MAX(0,S80-Calculator!$E$28)</f>
      </c>
      <c r="AL80" s="0">
        <f>MAX(0,MIN(T80,BX80-SUMPRODUCT(($T$2:$AK$2&lt;T$2)*($T80:$AK80))))</f>
      </c>
      <c r="AM80" s="0">
        <f>MAX(0,MIN(U80,BX80-SUMPRODUCT(($T$2:$AK$2&lt;U$2)*($T80:$AK80))))</f>
      </c>
      <c r="AN80" s="0">
        <f>MAX(0,MIN(V80,BX80-SUMPRODUCT(($T$2:$AK$2&lt;V$2)*($T80:$AK80))))</f>
      </c>
      <c r="AO80" s="0">
        <f>MAX(0,MIN(W80,BX80-SUMPRODUCT(($T$2:$AK$2&lt;W$2)*($T80:$AK80))))</f>
      </c>
      <c r="AP80" s="0">
        <f>MAX(0,MIN(X80,BX80-SUMPRODUCT(($T$2:$AK$2&lt;X$2)*($T80:$AK80))))</f>
      </c>
      <c r="AQ80" s="0">
        <f>MAX(0,MIN(Y80,BX80-SUMPRODUCT(($T$2:$AK$2&lt;Y$2)*($T80:$AK80))))</f>
      </c>
      <c r="AR80" s="0">
        <f>MAX(0,MIN(Z80,BX80-SUMPRODUCT(($T$2:$AK$2&lt;Z$2)*($T80:$AK80))))</f>
      </c>
      <c r="AS80" s="0">
        <f>MAX(0,MIN(AA80,BX80-SUMPRODUCT(($T$2:$AK$2&lt;AA$2)*($T80:$AK80))))</f>
      </c>
      <c r="AT80" s="0">
        <f>MAX(0,MIN(AB80,BX80-SUMPRODUCT(($T$2:$AK$2&lt;AB$2)*($T80:$AK80))))</f>
      </c>
      <c r="AU80" s="0">
        <f>MAX(0,MIN(AC80,BX80-SUMPRODUCT(($T$2:$AK$2&lt;AC$2)*($T80:$AK80))))</f>
      </c>
      <c r="AV80" s="0">
        <f>MAX(0,MIN(AD80,BX80-SUMPRODUCT(($T$2:$AK$2&lt;AD$2)*($T80:$AK80))))</f>
      </c>
      <c r="AW80" s="0">
        <f>MAX(0,MIN(AE80,BX80-SUMPRODUCT(($T$2:$AK$2&lt;AE$2)*($T80:$AK80))))</f>
      </c>
      <c r="AX80" s="0">
        <f>MAX(0,MIN(AF80,BX80-SUMPRODUCT(($T$2:$AK$2&lt;AF$2)*($T80:$AK80))))</f>
      </c>
      <c r="AY80" s="0">
        <f>MAX(0,MIN(AG80,BX80-SUMPRODUCT(($T$2:$AK$2&lt;AG$2)*($T80:$AK80))))</f>
      </c>
      <c r="AZ80" s="0">
        <f>MAX(0,MIN(AH80,BX80-SUMPRODUCT(($T$2:$AK$2&lt;AH$2)*($T80:$AK80))))</f>
      </c>
      <c r="BA80" s="0">
        <f>MAX(0,MIN(AI80,BX80-SUMPRODUCT(($T$2:$AK$2&lt;AI$2)*($T80:$AK80))))</f>
      </c>
      <c r="BB80" s="0">
        <f>MAX(0,MIN(AJ80,BX80-SUMPRODUCT(($T$2:$AK$2&lt;AJ$2)*($T80:$AK80))))</f>
      </c>
      <c r="BC80" s="0">
        <f>MAX(0,MIN(AK80,BX80-SUMPRODUCT(($T$2:$AK$2&lt;AK$2)*($T80:$AK80))))</f>
      </c>
      <c r="BD80" s="0">
        <f>T80-AL80</f>
      </c>
      <c r="BE80" s="0">
        <f>U80-AM80</f>
      </c>
      <c r="BF80" s="0">
        <f>V80-AN80</f>
      </c>
      <c r="BG80" s="0">
        <f>W80-AO80</f>
      </c>
      <c r="BH80" s="0">
        <f>X80-AP80</f>
      </c>
      <c r="BI80" s="0">
        <f>Y80-AQ80</f>
      </c>
      <c r="BJ80" s="0">
        <f>Z80-AR80</f>
      </c>
      <c r="BK80" s="0">
        <f>AA80-AS80</f>
      </c>
      <c r="BL80" s="0">
        <f>AB80-AT80</f>
      </c>
      <c r="BM80" s="0">
        <f>AC80-AU80</f>
      </c>
      <c r="BN80" s="0">
        <f>AD80-AV80</f>
      </c>
      <c r="BO80" s="0">
        <f>AE80-AW80</f>
      </c>
      <c r="BP80" s="0">
        <f>AF80-AX80</f>
      </c>
      <c r="BQ80" s="0">
        <f>AG80-AY80</f>
      </c>
      <c r="BR80" s="0">
        <f>AH80-AZ80</f>
      </c>
      <c r="BS80" s="0">
        <f>AI80-BA80</f>
      </c>
      <c r="BT80" s="0">
        <f>AJ80-BB80</f>
      </c>
      <c r="BU80" s="0">
        <f>AK80-BC80</f>
      </c>
      <c r="BV80" s="0">
        <f>SUM(B80:S80)</f>
      </c>
      <c r="BW80" s="0">
        <f>SUM(T80:AK80)</f>
      </c>
      <c r="BX80" s="0">
        <f>MAX(0,(SUM(Calculator!$E$11:$E$28)+Calculator!$C$6)-BV80+BW80)</f>
      </c>
      <c r="BY80" s="0">
        <f>SUM(BD80:BU80)</f>
      </c>
      <c r="BZ80" s="0">
        <f>BV80-BY79</f>
      </c>
      <c r="CA80" s="0">
        <f>IF(A80&lt;=IF($CD$1=0,999,$CD$1),BY80,NA())</f>
      </c>
      <c r="CB80" s="0">
        <f>IF(A80&lt;=IF($CD$1=0,999,$CD$1),A80,NA())</f>
      </c>
    </row>
    <row r="81">
      <c r="A81" s="0">
        <v>78</v>
      </c>
      <c r="B81" s="0">
        <f>BD80*(1+Calculator!$D$11/100/12)</f>
      </c>
      <c r="C81" s="0">
        <f>BE80*(1+Calculator!$D$12/100/12)</f>
      </c>
      <c r="D81" s="0">
        <f>BF80*(1+Calculator!$D$13/100/12)</f>
      </c>
      <c r="E81" s="0">
        <f>BG80*(1+Calculator!$D$14/100/12)</f>
      </c>
      <c r="F81" s="0">
        <f>BH80*(1+Calculator!$D$15/100/12)</f>
      </c>
      <c r="G81" s="0">
        <f>BI80*(1+Calculator!$D$16/100/12)</f>
      </c>
      <c r="H81" s="0">
        <f>BJ80*(1+Calculator!$D$17/100/12)</f>
      </c>
      <c r="I81" s="0">
        <f>BK80*(1+Calculator!$D$18/100/12)</f>
      </c>
      <c r="J81" s="0">
        <f>BL80*(1+Calculator!$D$19/100/12)</f>
      </c>
      <c r="K81" s="0">
        <f>BM80*(1+Calculator!$D$20/100/12)</f>
      </c>
      <c r="L81" s="0">
        <f>BN80*(1+Calculator!$D$21/100/12)</f>
      </c>
      <c r="M81" s="0">
        <f>BO80*(1+Calculator!$D$22/100/12)</f>
      </c>
      <c r="N81" s="0">
        <f>BP80*(1+Calculator!$D$23/100/12)</f>
      </c>
      <c r="O81" s="0">
        <f>BQ80*(1+Calculator!$D$24/100/12)</f>
      </c>
      <c r="P81" s="0">
        <f>BR80*(1+Calculator!$D$25/100/12)</f>
      </c>
      <c r="Q81" s="0">
        <f>BS80*(1+Calculator!$D$26/100/12)</f>
      </c>
      <c r="R81" s="0">
        <f>BT80*(1+Calculator!$D$27/100/12)</f>
      </c>
      <c r="S81" s="0">
        <f>BU80*(1+Calculator!$D$28/100/12)</f>
      </c>
      <c r="T81" s="0">
        <f>MAX(0,B81-Calculator!$E$11)</f>
      </c>
      <c r="U81" s="0">
        <f>MAX(0,C81-Calculator!$E$12)</f>
      </c>
      <c r="V81" s="0">
        <f>MAX(0,D81-Calculator!$E$13)</f>
      </c>
      <c r="W81" s="0">
        <f>MAX(0,E81-Calculator!$E$14)</f>
      </c>
      <c r="X81" s="0">
        <f>MAX(0,F81-Calculator!$E$15)</f>
      </c>
      <c r="Y81" s="0">
        <f>MAX(0,G81-Calculator!$E$16)</f>
      </c>
      <c r="Z81" s="0">
        <f>MAX(0,H81-Calculator!$E$17)</f>
      </c>
      <c r="AA81" s="0">
        <f>MAX(0,I81-Calculator!$E$18)</f>
      </c>
      <c r="AB81" s="0">
        <f>MAX(0,J81-Calculator!$E$19)</f>
      </c>
      <c r="AC81" s="0">
        <f>MAX(0,K81-Calculator!$E$20)</f>
      </c>
      <c r="AD81" s="0">
        <f>MAX(0,L81-Calculator!$E$21)</f>
      </c>
      <c r="AE81" s="0">
        <f>MAX(0,M81-Calculator!$E$22)</f>
      </c>
      <c r="AF81" s="0">
        <f>MAX(0,N81-Calculator!$E$23)</f>
      </c>
      <c r="AG81" s="0">
        <f>MAX(0,O81-Calculator!$E$24)</f>
      </c>
      <c r="AH81" s="0">
        <f>MAX(0,P81-Calculator!$E$25)</f>
      </c>
      <c r="AI81" s="0">
        <f>MAX(0,Q81-Calculator!$E$26)</f>
      </c>
      <c r="AJ81" s="0">
        <f>MAX(0,R81-Calculator!$E$27)</f>
      </c>
      <c r="AK81" s="0">
        <f>MAX(0,S81-Calculator!$E$28)</f>
      </c>
      <c r="AL81" s="0">
        <f>MAX(0,MIN(T81,BX81-SUMPRODUCT(($T$2:$AK$2&lt;T$2)*($T81:$AK81))))</f>
      </c>
      <c r="AM81" s="0">
        <f>MAX(0,MIN(U81,BX81-SUMPRODUCT(($T$2:$AK$2&lt;U$2)*($T81:$AK81))))</f>
      </c>
      <c r="AN81" s="0">
        <f>MAX(0,MIN(V81,BX81-SUMPRODUCT(($T$2:$AK$2&lt;V$2)*($T81:$AK81))))</f>
      </c>
      <c r="AO81" s="0">
        <f>MAX(0,MIN(W81,BX81-SUMPRODUCT(($T$2:$AK$2&lt;W$2)*($T81:$AK81))))</f>
      </c>
      <c r="AP81" s="0">
        <f>MAX(0,MIN(X81,BX81-SUMPRODUCT(($T$2:$AK$2&lt;X$2)*($T81:$AK81))))</f>
      </c>
      <c r="AQ81" s="0">
        <f>MAX(0,MIN(Y81,BX81-SUMPRODUCT(($T$2:$AK$2&lt;Y$2)*($T81:$AK81))))</f>
      </c>
      <c r="AR81" s="0">
        <f>MAX(0,MIN(Z81,BX81-SUMPRODUCT(($T$2:$AK$2&lt;Z$2)*($T81:$AK81))))</f>
      </c>
      <c r="AS81" s="0">
        <f>MAX(0,MIN(AA81,BX81-SUMPRODUCT(($T$2:$AK$2&lt;AA$2)*($T81:$AK81))))</f>
      </c>
      <c r="AT81" s="0">
        <f>MAX(0,MIN(AB81,BX81-SUMPRODUCT(($T$2:$AK$2&lt;AB$2)*($T81:$AK81))))</f>
      </c>
      <c r="AU81" s="0">
        <f>MAX(0,MIN(AC81,BX81-SUMPRODUCT(($T$2:$AK$2&lt;AC$2)*($T81:$AK81))))</f>
      </c>
      <c r="AV81" s="0">
        <f>MAX(0,MIN(AD81,BX81-SUMPRODUCT(($T$2:$AK$2&lt;AD$2)*($T81:$AK81))))</f>
      </c>
      <c r="AW81" s="0">
        <f>MAX(0,MIN(AE81,BX81-SUMPRODUCT(($T$2:$AK$2&lt;AE$2)*($T81:$AK81))))</f>
      </c>
      <c r="AX81" s="0">
        <f>MAX(0,MIN(AF81,BX81-SUMPRODUCT(($T$2:$AK$2&lt;AF$2)*($T81:$AK81))))</f>
      </c>
      <c r="AY81" s="0">
        <f>MAX(0,MIN(AG81,BX81-SUMPRODUCT(($T$2:$AK$2&lt;AG$2)*($T81:$AK81))))</f>
      </c>
      <c r="AZ81" s="0">
        <f>MAX(0,MIN(AH81,BX81-SUMPRODUCT(($T$2:$AK$2&lt;AH$2)*($T81:$AK81))))</f>
      </c>
      <c r="BA81" s="0">
        <f>MAX(0,MIN(AI81,BX81-SUMPRODUCT(($T$2:$AK$2&lt;AI$2)*($T81:$AK81))))</f>
      </c>
      <c r="BB81" s="0">
        <f>MAX(0,MIN(AJ81,BX81-SUMPRODUCT(($T$2:$AK$2&lt;AJ$2)*($T81:$AK81))))</f>
      </c>
      <c r="BC81" s="0">
        <f>MAX(0,MIN(AK81,BX81-SUMPRODUCT(($T$2:$AK$2&lt;AK$2)*($T81:$AK81))))</f>
      </c>
      <c r="BD81" s="0">
        <f>T81-AL81</f>
      </c>
      <c r="BE81" s="0">
        <f>U81-AM81</f>
      </c>
      <c r="BF81" s="0">
        <f>V81-AN81</f>
      </c>
      <c r="BG81" s="0">
        <f>W81-AO81</f>
      </c>
      <c r="BH81" s="0">
        <f>X81-AP81</f>
      </c>
      <c r="BI81" s="0">
        <f>Y81-AQ81</f>
      </c>
      <c r="BJ81" s="0">
        <f>Z81-AR81</f>
      </c>
      <c r="BK81" s="0">
        <f>AA81-AS81</f>
      </c>
      <c r="BL81" s="0">
        <f>AB81-AT81</f>
      </c>
      <c r="BM81" s="0">
        <f>AC81-AU81</f>
      </c>
      <c r="BN81" s="0">
        <f>AD81-AV81</f>
      </c>
      <c r="BO81" s="0">
        <f>AE81-AW81</f>
      </c>
      <c r="BP81" s="0">
        <f>AF81-AX81</f>
      </c>
      <c r="BQ81" s="0">
        <f>AG81-AY81</f>
      </c>
      <c r="BR81" s="0">
        <f>AH81-AZ81</f>
      </c>
      <c r="BS81" s="0">
        <f>AI81-BA81</f>
      </c>
      <c r="BT81" s="0">
        <f>AJ81-BB81</f>
      </c>
      <c r="BU81" s="0">
        <f>AK81-BC81</f>
      </c>
      <c r="BV81" s="0">
        <f>SUM(B81:S81)</f>
      </c>
      <c r="BW81" s="0">
        <f>SUM(T81:AK81)</f>
      </c>
      <c r="BX81" s="0">
        <f>MAX(0,(SUM(Calculator!$E$11:$E$28)+Calculator!$C$6)-BV81+BW81)</f>
      </c>
      <c r="BY81" s="0">
        <f>SUM(BD81:BU81)</f>
      </c>
      <c r="BZ81" s="0">
        <f>BV81-BY80</f>
      </c>
      <c r="CA81" s="0">
        <f>IF(A81&lt;=IF($CD$1=0,999,$CD$1),BY81,NA())</f>
      </c>
      <c r="CB81" s="0">
        <f>IF(A81&lt;=IF($CD$1=0,999,$CD$1),A81,NA())</f>
      </c>
    </row>
    <row r="82">
      <c r="A82" s="0">
        <v>79</v>
      </c>
      <c r="B82" s="0">
        <f>BD81*(1+Calculator!$D$11/100/12)</f>
      </c>
      <c r="C82" s="0">
        <f>BE81*(1+Calculator!$D$12/100/12)</f>
      </c>
      <c r="D82" s="0">
        <f>BF81*(1+Calculator!$D$13/100/12)</f>
      </c>
      <c r="E82" s="0">
        <f>BG81*(1+Calculator!$D$14/100/12)</f>
      </c>
      <c r="F82" s="0">
        <f>BH81*(1+Calculator!$D$15/100/12)</f>
      </c>
      <c r="G82" s="0">
        <f>BI81*(1+Calculator!$D$16/100/12)</f>
      </c>
      <c r="H82" s="0">
        <f>BJ81*(1+Calculator!$D$17/100/12)</f>
      </c>
      <c r="I82" s="0">
        <f>BK81*(1+Calculator!$D$18/100/12)</f>
      </c>
      <c r="J82" s="0">
        <f>BL81*(1+Calculator!$D$19/100/12)</f>
      </c>
      <c r="K82" s="0">
        <f>BM81*(1+Calculator!$D$20/100/12)</f>
      </c>
      <c r="L82" s="0">
        <f>BN81*(1+Calculator!$D$21/100/12)</f>
      </c>
      <c r="M82" s="0">
        <f>BO81*(1+Calculator!$D$22/100/12)</f>
      </c>
      <c r="N82" s="0">
        <f>BP81*(1+Calculator!$D$23/100/12)</f>
      </c>
      <c r="O82" s="0">
        <f>BQ81*(1+Calculator!$D$24/100/12)</f>
      </c>
      <c r="P82" s="0">
        <f>BR81*(1+Calculator!$D$25/100/12)</f>
      </c>
      <c r="Q82" s="0">
        <f>BS81*(1+Calculator!$D$26/100/12)</f>
      </c>
      <c r="R82" s="0">
        <f>BT81*(1+Calculator!$D$27/100/12)</f>
      </c>
      <c r="S82" s="0">
        <f>BU81*(1+Calculator!$D$28/100/12)</f>
      </c>
      <c r="T82" s="0">
        <f>MAX(0,B82-Calculator!$E$11)</f>
      </c>
      <c r="U82" s="0">
        <f>MAX(0,C82-Calculator!$E$12)</f>
      </c>
      <c r="V82" s="0">
        <f>MAX(0,D82-Calculator!$E$13)</f>
      </c>
      <c r="W82" s="0">
        <f>MAX(0,E82-Calculator!$E$14)</f>
      </c>
      <c r="X82" s="0">
        <f>MAX(0,F82-Calculator!$E$15)</f>
      </c>
      <c r="Y82" s="0">
        <f>MAX(0,G82-Calculator!$E$16)</f>
      </c>
      <c r="Z82" s="0">
        <f>MAX(0,H82-Calculator!$E$17)</f>
      </c>
      <c r="AA82" s="0">
        <f>MAX(0,I82-Calculator!$E$18)</f>
      </c>
      <c r="AB82" s="0">
        <f>MAX(0,J82-Calculator!$E$19)</f>
      </c>
      <c r="AC82" s="0">
        <f>MAX(0,K82-Calculator!$E$20)</f>
      </c>
      <c r="AD82" s="0">
        <f>MAX(0,L82-Calculator!$E$21)</f>
      </c>
      <c r="AE82" s="0">
        <f>MAX(0,M82-Calculator!$E$22)</f>
      </c>
      <c r="AF82" s="0">
        <f>MAX(0,N82-Calculator!$E$23)</f>
      </c>
      <c r="AG82" s="0">
        <f>MAX(0,O82-Calculator!$E$24)</f>
      </c>
      <c r="AH82" s="0">
        <f>MAX(0,P82-Calculator!$E$25)</f>
      </c>
      <c r="AI82" s="0">
        <f>MAX(0,Q82-Calculator!$E$26)</f>
      </c>
      <c r="AJ82" s="0">
        <f>MAX(0,R82-Calculator!$E$27)</f>
      </c>
      <c r="AK82" s="0">
        <f>MAX(0,S82-Calculator!$E$28)</f>
      </c>
      <c r="AL82" s="0">
        <f>MAX(0,MIN(T82,BX82-SUMPRODUCT(($T$2:$AK$2&lt;T$2)*($T82:$AK82))))</f>
      </c>
      <c r="AM82" s="0">
        <f>MAX(0,MIN(U82,BX82-SUMPRODUCT(($T$2:$AK$2&lt;U$2)*($T82:$AK82))))</f>
      </c>
      <c r="AN82" s="0">
        <f>MAX(0,MIN(V82,BX82-SUMPRODUCT(($T$2:$AK$2&lt;V$2)*($T82:$AK82))))</f>
      </c>
      <c r="AO82" s="0">
        <f>MAX(0,MIN(W82,BX82-SUMPRODUCT(($T$2:$AK$2&lt;W$2)*($T82:$AK82))))</f>
      </c>
      <c r="AP82" s="0">
        <f>MAX(0,MIN(X82,BX82-SUMPRODUCT(($T$2:$AK$2&lt;X$2)*($T82:$AK82))))</f>
      </c>
      <c r="AQ82" s="0">
        <f>MAX(0,MIN(Y82,BX82-SUMPRODUCT(($T$2:$AK$2&lt;Y$2)*($T82:$AK82))))</f>
      </c>
      <c r="AR82" s="0">
        <f>MAX(0,MIN(Z82,BX82-SUMPRODUCT(($T$2:$AK$2&lt;Z$2)*($T82:$AK82))))</f>
      </c>
      <c r="AS82" s="0">
        <f>MAX(0,MIN(AA82,BX82-SUMPRODUCT(($T$2:$AK$2&lt;AA$2)*($T82:$AK82))))</f>
      </c>
      <c r="AT82" s="0">
        <f>MAX(0,MIN(AB82,BX82-SUMPRODUCT(($T$2:$AK$2&lt;AB$2)*($T82:$AK82))))</f>
      </c>
      <c r="AU82" s="0">
        <f>MAX(0,MIN(AC82,BX82-SUMPRODUCT(($T$2:$AK$2&lt;AC$2)*($T82:$AK82))))</f>
      </c>
      <c r="AV82" s="0">
        <f>MAX(0,MIN(AD82,BX82-SUMPRODUCT(($T$2:$AK$2&lt;AD$2)*($T82:$AK82))))</f>
      </c>
      <c r="AW82" s="0">
        <f>MAX(0,MIN(AE82,BX82-SUMPRODUCT(($T$2:$AK$2&lt;AE$2)*($T82:$AK82))))</f>
      </c>
      <c r="AX82" s="0">
        <f>MAX(0,MIN(AF82,BX82-SUMPRODUCT(($T$2:$AK$2&lt;AF$2)*($T82:$AK82))))</f>
      </c>
      <c r="AY82" s="0">
        <f>MAX(0,MIN(AG82,BX82-SUMPRODUCT(($T$2:$AK$2&lt;AG$2)*($T82:$AK82))))</f>
      </c>
      <c r="AZ82" s="0">
        <f>MAX(0,MIN(AH82,BX82-SUMPRODUCT(($T$2:$AK$2&lt;AH$2)*($T82:$AK82))))</f>
      </c>
      <c r="BA82" s="0">
        <f>MAX(0,MIN(AI82,BX82-SUMPRODUCT(($T$2:$AK$2&lt;AI$2)*($T82:$AK82))))</f>
      </c>
      <c r="BB82" s="0">
        <f>MAX(0,MIN(AJ82,BX82-SUMPRODUCT(($T$2:$AK$2&lt;AJ$2)*($T82:$AK82))))</f>
      </c>
      <c r="BC82" s="0">
        <f>MAX(0,MIN(AK82,BX82-SUMPRODUCT(($T$2:$AK$2&lt;AK$2)*($T82:$AK82))))</f>
      </c>
      <c r="BD82" s="0">
        <f>T82-AL82</f>
      </c>
      <c r="BE82" s="0">
        <f>U82-AM82</f>
      </c>
      <c r="BF82" s="0">
        <f>V82-AN82</f>
      </c>
      <c r="BG82" s="0">
        <f>W82-AO82</f>
      </c>
      <c r="BH82" s="0">
        <f>X82-AP82</f>
      </c>
      <c r="BI82" s="0">
        <f>Y82-AQ82</f>
      </c>
      <c r="BJ82" s="0">
        <f>Z82-AR82</f>
      </c>
      <c r="BK82" s="0">
        <f>AA82-AS82</f>
      </c>
      <c r="BL82" s="0">
        <f>AB82-AT82</f>
      </c>
      <c r="BM82" s="0">
        <f>AC82-AU82</f>
      </c>
      <c r="BN82" s="0">
        <f>AD82-AV82</f>
      </c>
      <c r="BO82" s="0">
        <f>AE82-AW82</f>
      </c>
      <c r="BP82" s="0">
        <f>AF82-AX82</f>
      </c>
      <c r="BQ82" s="0">
        <f>AG82-AY82</f>
      </c>
      <c r="BR82" s="0">
        <f>AH82-AZ82</f>
      </c>
      <c r="BS82" s="0">
        <f>AI82-BA82</f>
      </c>
      <c r="BT82" s="0">
        <f>AJ82-BB82</f>
      </c>
      <c r="BU82" s="0">
        <f>AK82-BC82</f>
      </c>
      <c r="BV82" s="0">
        <f>SUM(B82:S82)</f>
      </c>
      <c r="BW82" s="0">
        <f>SUM(T82:AK82)</f>
      </c>
      <c r="BX82" s="0">
        <f>MAX(0,(SUM(Calculator!$E$11:$E$28)+Calculator!$C$6)-BV82+BW82)</f>
      </c>
      <c r="BY82" s="0">
        <f>SUM(BD82:BU82)</f>
      </c>
      <c r="BZ82" s="0">
        <f>BV82-BY81</f>
      </c>
      <c r="CA82" s="0">
        <f>IF(A82&lt;=IF($CD$1=0,999,$CD$1),BY82,NA())</f>
      </c>
      <c r="CB82" s="0">
        <f>IF(A82&lt;=IF($CD$1=0,999,$CD$1),A82,NA())</f>
      </c>
    </row>
    <row r="83">
      <c r="A83" s="0">
        <v>80</v>
      </c>
      <c r="B83" s="0">
        <f>BD82*(1+Calculator!$D$11/100/12)</f>
      </c>
      <c r="C83" s="0">
        <f>BE82*(1+Calculator!$D$12/100/12)</f>
      </c>
      <c r="D83" s="0">
        <f>BF82*(1+Calculator!$D$13/100/12)</f>
      </c>
      <c r="E83" s="0">
        <f>BG82*(1+Calculator!$D$14/100/12)</f>
      </c>
      <c r="F83" s="0">
        <f>BH82*(1+Calculator!$D$15/100/12)</f>
      </c>
      <c r="G83" s="0">
        <f>BI82*(1+Calculator!$D$16/100/12)</f>
      </c>
      <c r="H83" s="0">
        <f>BJ82*(1+Calculator!$D$17/100/12)</f>
      </c>
      <c r="I83" s="0">
        <f>BK82*(1+Calculator!$D$18/100/12)</f>
      </c>
      <c r="J83" s="0">
        <f>BL82*(1+Calculator!$D$19/100/12)</f>
      </c>
      <c r="K83" s="0">
        <f>BM82*(1+Calculator!$D$20/100/12)</f>
      </c>
      <c r="L83" s="0">
        <f>BN82*(1+Calculator!$D$21/100/12)</f>
      </c>
      <c r="M83" s="0">
        <f>BO82*(1+Calculator!$D$22/100/12)</f>
      </c>
      <c r="N83" s="0">
        <f>BP82*(1+Calculator!$D$23/100/12)</f>
      </c>
      <c r="O83" s="0">
        <f>BQ82*(1+Calculator!$D$24/100/12)</f>
      </c>
      <c r="P83" s="0">
        <f>BR82*(1+Calculator!$D$25/100/12)</f>
      </c>
      <c r="Q83" s="0">
        <f>BS82*(1+Calculator!$D$26/100/12)</f>
      </c>
      <c r="R83" s="0">
        <f>BT82*(1+Calculator!$D$27/100/12)</f>
      </c>
      <c r="S83" s="0">
        <f>BU82*(1+Calculator!$D$28/100/12)</f>
      </c>
      <c r="T83" s="0">
        <f>MAX(0,B83-Calculator!$E$11)</f>
      </c>
      <c r="U83" s="0">
        <f>MAX(0,C83-Calculator!$E$12)</f>
      </c>
      <c r="V83" s="0">
        <f>MAX(0,D83-Calculator!$E$13)</f>
      </c>
      <c r="W83" s="0">
        <f>MAX(0,E83-Calculator!$E$14)</f>
      </c>
      <c r="X83" s="0">
        <f>MAX(0,F83-Calculator!$E$15)</f>
      </c>
      <c r="Y83" s="0">
        <f>MAX(0,G83-Calculator!$E$16)</f>
      </c>
      <c r="Z83" s="0">
        <f>MAX(0,H83-Calculator!$E$17)</f>
      </c>
      <c r="AA83" s="0">
        <f>MAX(0,I83-Calculator!$E$18)</f>
      </c>
      <c r="AB83" s="0">
        <f>MAX(0,J83-Calculator!$E$19)</f>
      </c>
      <c r="AC83" s="0">
        <f>MAX(0,K83-Calculator!$E$20)</f>
      </c>
      <c r="AD83" s="0">
        <f>MAX(0,L83-Calculator!$E$21)</f>
      </c>
      <c r="AE83" s="0">
        <f>MAX(0,M83-Calculator!$E$22)</f>
      </c>
      <c r="AF83" s="0">
        <f>MAX(0,N83-Calculator!$E$23)</f>
      </c>
      <c r="AG83" s="0">
        <f>MAX(0,O83-Calculator!$E$24)</f>
      </c>
      <c r="AH83" s="0">
        <f>MAX(0,P83-Calculator!$E$25)</f>
      </c>
      <c r="AI83" s="0">
        <f>MAX(0,Q83-Calculator!$E$26)</f>
      </c>
      <c r="AJ83" s="0">
        <f>MAX(0,R83-Calculator!$E$27)</f>
      </c>
      <c r="AK83" s="0">
        <f>MAX(0,S83-Calculator!$E$28)</f>
      </c>
      <c r="AL83" s="0">
        <f>MAX(0,MIN(T83,BX83-SUMPRODUCT(($T$2:$AK$2&lt;T$2)*($T83:$AK83))))</f>
      </c>
      <c r="AM83" s="0">
        <f>MAX(0,MIN(U83,BX83-SUMPRODUCT(($T$2:$AK$2&lt;U$2)*($T83:$AK83))))</f>
      </c>
      <c r="AN83" s="0">
        <f>MAX(0,MIN(V83,BX83-SUMPRODUCT(($T$2:$AK$2&lt;V$2)*($T83:$AK83))))</f>
      </c>
      <c r="AO83" s="0">
        <f>MAX(0,MIN(W83,BX83-SUMPRODUCT(($T$2:$AK$2&lt;W$2)*($T83:$AK83))))</f>
      </c>
      <c r="AP83" s="0">
        <f>MAX(0,MIN(X83,BX83-SUMPRODUCT(($T$2:$AK$2&lt;X$2)*($T83:$AK83))))</f>
      </c>
      <c r="AQ83" s="0">
        <f>MAX(0,MIN(Y83,BX83-SUMPRODUCT(($T$2:$AK$2&lt;Y$2)*($T83:$AK83))))</f>
      </c>
      <c r="AR83" s="0">
        <f>MAX(0,MIN(Z83,BX83-SUMPRODUCT(($T$2:$AK$2&lt;Z$2)*($T83:$AK83))))</f>
      </c>
      <c r="AS83" s="0">
        <f>MAX(0,MIN(AA83,BX83-SUMPRODUCT(($T$2:$AK$2&lt;AA$2)*($T83:$AK83))))</f>
      </c>
      <c r="AT83" s="0">
        <f>MAX(0,MIN(AB83,BX83-SUMPRODUCT(($T$2:$AK$2&lt;AB$2)*($T83:$AK83))))</f>
      </c>
      <c r="AU83" s="0">
        <f>MAX(0,MIN(AC83,BX83-SUMPRODUCT(($T$2:$AK$2&lt;AC$2)*($T83:$AK83))))</f>
      </c>
      <c r="AV83" s="0">
        <f>MAX(0,MIN(AD83,BX83-SUMPRODUCT(($T$2:$AK$2&lt;AD$2)*($T83:$AK83))))</f>
      </c>
      <c r="AW83" s="0">
        <f>MAX(0,MIN(AE83,BX83-SUMPRODUCT(($T$2:$AK$2&lt;AE$2)*($T83:$AK83))))</f>
      </c>
      <c r="AX83" s="0">
        <f>MAX(0,MIN(AF83,BX83-SUMPRODUCT(($T$2:$AK$2&lt;AF$2)*($T83:$AK83))))</f>
      </c>
      <c r="AY83" s="0">
        <f>MAX(0,MIN(AG83,BX83-SUMPRODUCT(($T$2:$AK$2&lt;AG$2)*($T83:$AK83))))</f>
      </c>
      <c r="AZ83" s="0">
        <f>MAX(0,MIN(AH83,BX83-SUMPRODUCT(($T$2:$AK$2&lt;AH$2)*($T83:$AK83))))</f>
      </c>
      <c r="BA83" s="0">
        <f>MAX(0,MIN(AI83,BX83-SUMPRODUCT(($T$2:$AK$2&lt;AI$2)*($T83:$AK83))))</f>
      </c>
      <c r="BB83" s="0">
        <f>MAX(0,MIN(AJ83,BX83-SUMPRODUCT(($T$2:$AK$2&lt;AJ$2)*($T83:$AK83))))</f>
      </c>
      <c r="BC83" s="0">
        <f>MAX(0,MIN(AK83,BX83-SUMPRODUCT(($T$2:$AK$2&lt;AK$2)*($T83:$AK83))))</f>
      </c>
      <c r="BD83" s="0">
        <f>T83-AL83</f>
      </c>
      <c r="BE83" s="0">
        <f>U83-AM83</f>
      </c>
      <c r="BF83" s="0">
        <f>V83-AN83</f>
      </c>
      <c r="BG83" s="0">
        <f>W83-AO83</f>
      </c>
      <c r="BH83" s="0">
        <f>X83-AP83</f>
      </c>
      <c r="BI83" s="0">
        <f>Y83-AQ83</f>
      </c>
      <c r="BJ83" s="0">
        <f>Z83-AR83</f>
      </c>
      <c r="BK83" s="0">
        <f>AA83-AS83</f>
      </c>
      <c r="BL83" s="0">
        <f>AB83-AT83</f>
      </c>
      <c r="BM83" s="0">
        <f>AC83-AU83</f>
      </c>
      <c r="BN83" s="0">
        <f>AD83-AV83</f>
      </c>
      <c r="BO83" s="0">
        <f>AE83-AW83</f>
      </c>
      <c r="BP83" s="0">
        <f>AF83-AX83</f>
      </c>
      <c r="BQ83" s="0">
        <f>AG83-AY83</f>
      </c>
      <c r="BR83" s="0">
        <f>AH83-AZ83</f>
      </c>
      <c r="BS83" s="0">
        <f>AI83-BA83</f>
      </c>
      <c r="BT83" s="0">
        <f>AJ83-BB83</f>
      </c>
      <c r="BU83" s="0">
        <f>AK83-BC83</f>
      </c>
      <c r="BV83" s="0">
        <f>SUM(B83:S83)</f>
      </c>
      <c r="BW83" s="0">
        <f>SUM(T83:AK83)</f>
      </c>
      <c r="BX83" s="0">
        <f>MAX(0,(SUM(Calculator!$E$11:$E$28)+Calculator!$C$6)-BV83+BW83)</f>
      </c>
      <c r="BY83" s="0">
        <f>SUM(BD83:BU83)</f>
      </c>
      <c r="BZ83" s="0">
        <f>BV83-BY82</f>
      </c>
      <c r="CA83" s="0">
        <f>IF(A83&lt;=IF($CD$1=0,999,$CD$1),BY83,NA())</f>
      </c>
      <c r="CB83" s="0">
        <f>IF(A83&lt;=IF($CD$1=0,999,$CD$1),A83,NA())</f>
      </c>
    </row>
    <row r="84">
      <c r="A84" s="0">
        <v>81</v>
      </c>
      <c r="B84" s="0">
        <f>BD83*(1+Calculator!$D$11/100/12)</f>
      </c>
      <c r="C84" s="0">
        <f>BE83*(1+Calculator!$D$12/100/12)</f>
      </c>
      <c r="D84" s="0">
        <f>BF83*(1+Calculator!$D$13/100/12)</f>
      </c>
      <c r="E84" s="0">
        <f>BG83*(1+Calculator!$D$14/100/12)</f>
      </c>
      <c r="F84" s="0">
        <f>BH83*(1+Calculator!$D$15/100/12)</f>
      </c>
      <c r="G84" s="0">
        <f>BI83*(1+Calculator!$D$16/100/12)</f>
      </c>
      <c r="H84" s="0">
        <f>BJ83*(1+Calculator!$D$17/100/12)</f>
      </c>
      <c r="I84" s="0">
        <f>BK83*(1+Calculator!$D$18/100/12)</f>
      </c>
      <c r="J84" s="0">
        <f>BL83*(1+Calculator!$D$19/100/12)</f>
      </c>
      <c r="K84" s="0">
        <f>BM83*(1+Calculator!$D$20/100/12)</f>
      </c>
      <c r="L84" s="0">
        <f>BN83*(1+Calculator!$D$21/100/12)</f>
      </c>
      <c r="M84" s="0">
        <f>BO83*(1+Calculator!$D$22/100/12)</f>
      </c>
      <c r="N84" s="0">
        <f>BP83*(1+Calculator!$D$23/100/12)</f>
      </c>
      <c r="O84" s="0">
        <f>BQ83*(1+Calculator!$D$24/100/12)</f>
      </c>
      <c r="P84" s="0">
        <f>BR83*(1+Calculator!$D$25/100/12)</f>
      </c>
      <c r="Q84" s="0">
        <f>BS83*(1+Calculator!$D$26/100/12)</f>
      </c>
      <c r="R84" s="0">
        <f>BT83*(1+Calculator!$D$27/100/12)</f>
      </c>
      <c r="S84" s="0">
        <f>BU83*(1+Calculator!$D$28/100/12)</f>
      </c>
      <c r="T84" s="0">
        <f>MAX(0,B84-Calculator!$E$11)</f>
      </c>
      <c r="U84" s="0">
        <f>MAX(0,C84-Calculator!$E$12)</f>
      </c>
      <c r="V84" s="0">
        <f>MAX(0,D84-Calculator!$E$13)</f>
      </c>
      <c r="W84" s="0">
        <f>MAX(0,E84-Calculator!$E$14)</f>
      </c>
      <c r="X84" s="0">
        <f>MAX(0,F84-Calculator!$E$15)</f>
      </c>
      <c r="Y84" s="0">
        <f>MAX(0,G84-Calculator!$E$16)</f>
      </c>
      <c r="Z84" s="0">
        <f>MAX(0,H84-Calculator!$E$17)</f>
      </c>
      <c r="AA84" s="0">
        <f>MAX(0,I84-Calculator!$E$18)</f>
      </c>
      <c r="AB84" s="0">
        <f>MAX(0,J84-Calculator!$E$19)</f>
      </c>
      <c r="AC84" s="0">
        <f>MAX(0,K84-Calculator!$E$20)</f>
      </c>
      <c r="AD84" s="0">
        <f>MAX(0,L84-Calculator!$E$21)</f>
      </c>
      <c r="AE84" s="0">
        <f>MAX(0,M84-Calculator!$E$22)</f>
      </c>
      <c r="AF84" s="0">
        <f>MAX(0,N84-Calculator!$E$23)</f>
      </c>
      <c r="AG84" s="0">
        <f>MAX(0,O84-Calculator!$E$24)</f>
      </c>
      <c r="AH84" s="0">
        <f>MAX(0,P84-Calculator!$E$25)</f>
      </c>
      <c r="AI84" s="0">
        <f>MAX(0,Q84-Calculator!$E$26)</f>
      </c>
      <c r="AJ84" s="0">
        <f>MAX(0,R84-Calculator!$E$27)</f>
      </c>
      <c r="AK84" s="0">
        <f>MAX(0,S84-Calculator!$E$28)</f>
      </c>
      <c r="AL84" s="0">
        <f>MAX(0,MIN(T84,BX84-SUMPRODUCT(($T$2:$AK$2&lt;T$2)*($T84:$AK84))))</f>
      </c>
      <c r="AM84" s="0">
        <f>MAX(0,MIN(U84,BX84-SUMPRODUCT(($T$2:$AK$2&lt;U$2)*($T84:$AK84))))</f>
      </c>
      <c r="AN84" s="0">
        <f>MAX(0,MIN(V84,BX84-SUMPRODUCT(($T$2:$AK$2&lt;V$2)*($T84:$AK84))))</f>
      </c>
      <c r="AO84" s="0">
        <f>MAX(0,MIN(W84,BX84-SUMPRODUCT(($T$2:$AK$2&lt;W$2)*($T84:$AK84))))</f>
      </c>
      <c r="AP84" s="0">
        <f>MAX(0,MIN(X84,BX84-SUMPRODUCT(($T$2:$AK$2&lt;X$2)*($T84:$AK84))))</f>
      </c>
      <c r="AQ84" s="0">
        <f>MAX(0,MIN(Y84,BX84-SUMPRODUCT(($T$2:$AK$2&lt;Y$2)*($T84:$AK84))))</f>
      </c>
      <c r="AR84" s="0">
        <f>MAX(0,MIN(Z84,BX84-SUMPRODUCT(($T$2:$AK$2&lt;Z$2)*($T84:$AK84))))</f>
      </c>
      <c r="AS84" s="0">
        <f>MAX(0,MIN(AA84,BX84-SUMPRODUCT(($T$2:$AK$2&lt;AA$2)*($T84:$AK84))))</f>
      </c>
      <c r="AT84" s="0">
        <f>MAX(0,MIN(AB84,BX84-SUMPRODUCT(($T$2:$AK$2&lt;AB$2)*($T84:$AK84))))</f>
      </c>
      <c r="AU84" s="0">
        <f>MAX(0,MIN(AC84,BX84-SUMPRODUCT(($T$2:$AK$2&lt;AC$2)*($T84:$AK84))))</f>
      </c>
      <c r="AV84" s="0">
        <f>MAX(0,MIN(AD84,BX84-SUMPRODUCT(($T$2:$AK$2&lt;AD$2)*($T84:$AK84))))</f>
      </c>
      <c r="AW84" s="0">
        <f>MAX(0,MIN(AE84,BX84-SUMPRODUCT(($T$2:$AK$2&lt;AE$2)*($T84:$AK84))))</f>
      </c>
      <c r="AX84" s="0">
        <f>MAX(0,MIN(AF84,BX84-SUMPRODUCT(($T$2:$AK$2&lt;AF$2)*($T84:$AK84))))</f>
      </c>
      <c r="AY84" s="0">
        <f>MAX(0,MIN(AG84,BX84-SUMPRODUCT(($T$2:$AK$2&lt;AG$2)*($T84:$AK84))))</f>
      </c>
      <c r="AZ84" s="0">
        <f>MAX(0,MIN(AH84,BX84-SUMPRODUCT(($T$2:$AK$2&lt;AH$2)*($T84:$AK84))))</f>
      </c>
      <c r="BA84" s="0">
        <f>MAX(0,MIN(AI84,BX84-SUMPRODUCT(($T$2:$AK$2&lt;AI$2)*($T84:$AK84))))</f>
      </c>
      <c r="BB84" s="0">
        <f>MAX(0,MIN(AJ84,BX84-SUMPRODUCT(($T$2:$AK$2&lt;AJ$2)*($T84:$AK84))))</f>
      </c>
      <c r="BC84" s="0">
        <f>MAX(0,MIN(AK84,BX84-SUMPRODUCT(($T$2:$AK$2&lt;AK$2)*($T84:$AK84))))</f>
      </c>
      <c r="BD84" s="0">
        <f>T84-AL84</f>
      </c>
      <c r="BE84" s="0">
        <f>U84-AM84</f>
      </c>
      <c r="BF84" s="0">
        <f>V84-AN84</f>
      </c>
      <c r="BG84" s="0">
        <f>W84-AO84</f>
      </c>
      <c r="BH84" s="0">
        <f>X84-AP84</f>
      </c>
      <c r="BI84" s="0">
        <f>Y84-AQ84</f>
      </c>
      <c r="BJ84" s="0">
        <f>Z84-AR84</f>
      </c>
      <c r="BK84" s="0">
        <f>AA84-AS84</f>
      </c>
      <c r="BL84" s="0">
        <f>AB84-AT84</f>
      </c>
      <c r="BM84" s="0">
        <f>AC84-AU84</f>
      </c>
      <c r="BN84" s="0">
        <f>AD84-AV84</f>
      </c>
      <c r="BO84" s="0">
        <f>AE84-AW84</f>
      </c>
      <c r="BP84" s="0">
        <f>AF84-AX84</f>
      </c>
      <c r="BQ84" s="0">
        <f>AG84-AY84</f>
      </c>
      <c r="BR84" s="0">
        <f>AH84-AZ84</f>
      </c>
      <c r="BS84" s="0">
        <f>AI84-BA84</f>
      </c>
      <c r="BT84" s="0">
        <f>AJ84-BB84</f>
      </c>
      <c r="BU84" s="0">
        <f>AK84-BC84</f>
      </c>
      <c r="BV84" s="0">
        <f>SUM(B84:S84)</f>
      </c>
      <c r="BW84" s="0">
        <f>SUM(T84:AK84)</f>
      </c>
      <c r="BX84" s="0">
        <f>MAX(0,(SUM(Calculator!$E$11:$E$28)+Calculator!$C$6)-BV84+BW84)</f>
      </c>
      <c r="BY84" s="0">
        <f>SUM(BD84:BU84)</f>
      </c>
      <c r="BZ84" s="0">
        <f>BV84-BY83</f>
      </c>
      <c r="CA84" s="0">
        <f>IF(A84&lt;=IF($CD$1=0,999,$CD$1),BY84,NA())</f>
      </c>
      <c r="CB84" s="0">
        <f>IF(A84&lt;=IF($CD$1=0,999,$CD$1),A84,NA())</f>
      </c>
    </row>
    <row r="85">
      <c r="A85" s="0">
        <v>82</v>
      </c>
      <c r="B85" s="0">
        <f>BD84*(1+Calculator!$D$11/100/12)</f>
      </c>
      <c r="C85" s="0">
        <f>BE84*(1+Calculator!$D$12/100/12)</f>
      </c>
      <c r="D85" s="0">
        <f>BF84*(1+Calculator!$D$13/100/12)</f>
      </c>
      <c r="E85" s="0">
        <f>BG84*(1+Calculator!$D$14/100/12)</f>
      </c>
      <c r="F85" s="0">
        <f>BH84*(1+Calculator!$D$15/100/12)</f>
      </c>
      <c r="G85" s="0">
        <f>BI84*(1+Calculator!$D$16/100/12)</f>
      </c>
      <c r="H85" s="0">
        <f>BJ84*(1+Calculator!$D$17/100/12)</f>
      </c>
      <c r="I85" s="0">
        <f>BK84*(1+Calculator!$D$18/100/12)</f>
      </c>
      <c r="J85" s="0">
        <f>BL84*(1+Calculator!$D$19/100/12)</f>
      </c>
      <c r="K85" s="0">
        <f>BM84*(1+Calculator!$D$20/100/12)</f>
      </c>
      <c r="L85" s="0">
        <f>BN84*(1+Calculator!$D$21/100/12)</f>
      </c>
      <c r="M85" s="0">
        <f>BO84*(1+Calculator!$D$22/100/12)</f>
      </c>
      <c r="N85" s="0">
        <f>BP84*(1+Calculator!$D$23/100/12)</f>
      </c>
      <c r="O85" s="0">
        <f>BQ84*(1+Calculator!$D$24/100/12)</f>
      </c>
      <c r="P85" s="0">
        <f>BR84*(1+Calculator!$D$25/100/12)</f>
      </c>
      <c r="Q85" s="0">
        <f>BS84*(1+Calculator!$D$26/100/12)</f>
      </c>
      <c r="R85" s="0">
        <f>BT84*(1+Calculator!$D$27/100/12)</f>
      </c>
      <c r="S85" s="0">
        <f>BU84*(1+Calculator!$D$28/100/12)</f>
      </c>
      <c r="T85" s="0">
        <f>MAX(0,B85-Calculator!$E$11)</f>
      </c>
      <c r="U85" s="0">
        <f>MAX(0,C85-Calculator!$E$12)</f>
      </c>
      <c r="V85" s="0">
        <f>MAX(0,D85-Calculator!$E$13)</f>
      </c>
      <c r="W85" s="0">
        <f>MAX(0,E85-Calculator!$E$14)</f>
      </c>
      <c r="X85" s="0">
        <f>MAX(0,F85-Calculator!$E$15)</f>
      </c>
      <c r="Y85" s="0">
        <f>MAX(0,G85-Calculator!$E$16)</f>
      </c>
      <c r="Z85" s="0">
        <f>MAX(0,H85-Calculator!$E$17)</f>
      </c>
      <c r="AA85" s="0">
        <f>MAX(0,I85-Calculator!$E$18)</f>
      </c>
      <c r="AB85" s="0">
        <f>MAX(0,J85-Calculator!$E$19)</f>
      </c>
      <c r="AC85" s="0">
        <f>MAX(0,K85-Calculator!$E$20)</f>
      </c>
      <c r="AD85" s="0">
        <f>MAX(0,L85-Calculator!$E$21)</f>
      </c>
      <c r="AE85" s="0">
        <f>MAX(0,M85-Calculator!$E$22)</f>
      </c>
      <c r="AF85" s="0">
        <f>MAX(0,N85-Calculator!$E$23)</f>
      </c>
      <c r="AG85" s="0">
        <f>MAX(0,O85-Calculator!$E$24)</f>
      </c>
      <c r="AH85" s="0">
        <f>MAX(0,P85-Calculator!$E$25)</f>
      </c>
      <c r="AI85" s="0">
        <f>MAX(0,Q85-Calculator!$E$26)</f>
      </c>
      <c r="AJ85" s="0">
        <f>MAX(0,R85-Calculator!$E$27)</f>
      </c>
      <c r="AK85" s="0">
        <f>MAX(0,S85-Calculator!$E$28)</f>
      </c>
      <c r="AL85" s="0">
        <f>MAX(0,MIN(T85,BX85-SUMPRODUCT(($T$2:$AK$2&lt;T$2)*($T85:$AK85))))</f>
      </c>
      <c r="AM85" s="0">
        <f>MAX(0,MIN(U85,BX85-SUMPRODUCT(($T$2:$AK$2&lt;U$2)*($T85:$AK85))))</f>
      </c>
      <c r="AN85" s="0">
        <f>MAX(0,MIN(V85,BX85-SUMPRODUCT(($T$2:$AK$2&lt;V$2)*($T85:$AK85))))</f>
      </c>
      <c r="AO85" s="0">
        <f>MAX(0,MIN(W85,BX85-SUMPRODUCT(($T$2:$AK$2&lt;W$2)*($T85:$AK85))))</f>
      </c>
      <c r="AP85" s="0">
        <f>MAX(0,MIN(X85,BX85-SUMPRODUCT(($T$2:$AK$2&lt;X$2)*($T85:$AK85))))</f>
      </c>
      <c r="AQ85" s="0">
        <f>MAX(0,MIN(Y85,BX85-SUMPRODUCT(($T$2:$AK$2&lt;Y$2)*($T85:$AK85))))</f>
      </c>
      <c r="AR85" s="0">
        <f>MAX(0,MIN(Z85,BX85-SUMPRODUCT(($T$2:$AK$2&lt;Z$2)*($T85:$AK85))))</f>
      </c>
      <c r="AS85" s="0">
        <f>MAX(0,MIN(AA85,BX85-SUMPRODUCT(($T$2:$AK$2&lt;AA$2)*($T85:$AK85))))</f>
      </c>
      <c r="AT85" s="0">
        <f>MAX(0,MIN(AB85,BX85-SUMPRODUCT(($T$2:$AK$2&lt;AB$2)*($T85:$AK85))))</f>
      </c>
      <c r="AU85" s="0">
        <f>MAX(0,MIN(AC85,BX85-SUMPRODUCT(($T$2:$AK$2&lt;AC$2)*($T85:$AK85))))</f>
      </c>
      <c r="AV85" s="0">
        <f>MAX(0,MIN(AD85,BX85-SUMPRODUCT(($T$2:$AK$2&lt;AD$2)*($T85:$AK85))))</f>
      </c>
      <c r="AW85" s="0">
        <f>MAX(0,MIN(AE85,BX85-SUMPRODUCT(($T$2:$AK$2&lt;AE$2)*($T85:$AK85))))</f>
      </c>
      <c r="AX85" s="0">
        <f>MAX(0,MIN(AF85,BX85-SUMPRODUCT(($T$2:$AK$2&lt;AF$2)*($T85:$AK85))))</f>
      </c>
      <c r="AY85" s="0">
        <f>MAX(0,MIN(AG85,BX85-SUMPRODUCT(($T$2:$AK$2&lt;AG$2)*($T85:$AK85))))</f>
      </c>
      <c r="AZ85" s="0">
        <f>MAX(0,MIN(AH85,BX85-SUMPRODUCT(($T$2:$AK$2&lt;AH$2)*($T85:$AK85))))</f>
      </c>
      <c r="BA85" s="0">
        <f>MAX(0,MIN(AI85,BX85-SUMPRODUCT(($T$2:$AK$2&lt;AI$2)*($T85:$AK85))))</f>
      </c>
      <c r="BB85" s="0">
        <f>MAX(0,MIN(AJ85,BX85-SUMPRODUCT(($T$2:$AK$2&lt;AJ$2)*($T85:$AK85))))</f>
      </c>
      <c r="BC85" s="0">
        <f>MAX(0,MIN(AK85,BX85-SUMPRODUCT(($T$2:$AK$2&lt;AK$2)*($T85:$AK85))))</f>
      </c>
      <c r="BD85" s="0">
        <f>T85-AL85</f>
      </c>
      <c r="BE85" s="0">
        <f>U85-AM85</f>
      </c>
      <c r="BF85" s="0">
        <f>V85-AN85</f>
      </c>
      <c r="BG85" s="0">
        <f>W85-AO85</f>
      </c>
      <c r="BH85" s="0">
        <f>X85-AP85</f>
      </c>
      <c r="BI85" s="0">
        <f>Y85-AQ85</f>
      </c>
      <c r="BJ85" s="0">
        <f>Z85-AR85</f>
      </c>
      <c r="BK85" s="0">
        <f>AA85-AS85</f>
      </c>
      <c r="BL85" s="0">
        <f>AB85-AT85</f>
      </c>
      <c r="BM85" s="0">
        <f>AC85-AU85</f>
      </c>
      <c r="BN85" s="0">
        <f>AD85-AV85</f>
      </c>
      <c r="BO85" s="0">
        <f>AE85-AW85</f>
      </c>
      <c r="BP85" s="0">
        <f>AF85-AX85</f>
      </c>
      <c r="BQ85" s="0">
        <f>AG85-AY85</f>
      </c>
      <c r="BR85" s="0">
        <f>AH85-AZ85</f>
      </c>
      <c r="BS85" s="0">
        <f>AI85-BA85</f>
      </c>
      <c r="BT85" s="0">
        <f>AJ85-BB85</f>
      </c>
      <c r="BU85" s="0">
        <f>AK85-BC85</f>
      </c>
      <c r="BV85" s="0">
        <f>SUM(B85:S85)</f>
      </c>
      <c r="BW85" s="0">
        <f>SUM(T85:AK85)</f>
      </c>
      <c r="BX85" s="0">
        <f>MAX(0,(SUM(Calculator!$E$11:$E$28)+Calculator!$C$6)-BV85+BW85)</f>
      </c>
      <c r="BY85" s="0">
        <f>SUM(BD85:BU85)</f>
      </c>
      <c r="BZ85" s="0">
        <f>BV85-BY84</f>
      </c>
      <c r="CA85" s="0">
        <f>IF(A85&lt;=IF($CD$1=0,999,$CD$1),BY85,NA())</f>
      </c>
      <c r="CB85" s="0">
        <f>IF(A85&lt;=IF($CD$1=0,999,$CD$1),A85,NA())</f>
      </c>
    </row>
    <row r="86">
      <c r="A86" s="0">
        <v>83</v>
      </c>
      <c r="B86" s="0">
        <f>BD85*(1+Calculator!$D$11/100/12)</f>
      </c>
      <c r="C86" s="0">
        <f>BE85*(1+Calculator!$D$12/100/12)</f>
      </c>
      <c r="D86" s="0">
        <f>BF85*(1+Calculator!$D$13/100/12)</f>
      </c>
      <c r="E86" s="0">
        <f>BG85*(1+Calculator!$D$14/100/12)</f>
      </c>
      <c r="F86" s="0">
        <f>BH85*(1+Calculator!$D$15/100/12)</f>
      </c>
      <c r="G86" s="0">
        <f>BI85*(1+Calculator!$D$16/100/12)</f>
      </c>
      <c r="H86" s="0">
        <f>BJ85*(1+Calculator!$D$17/100/12)</f>
      </c>
      <c r="I86" s="0">
        <f>BK85*(1+Calculator!$D$18/100/12)</f>
      </c>
      <c r="J86" s="0">
        <f>BL85*(1+Calculator!$D$19/100/12)</f>
      </c>
      <c r="K86" s="0">
        <f>BM85*(1+Calculator!$D$20/100/12)</f>
      </c>
      <c r="L86" s="0">
        <f>BN85*(1+Calculator!$D$21/100/12)</f>
      </c>
      <c r="M86" s="0">
        <f>BO85*(1+Calculator!$D$22/100/12)</f>
      </c>
      <c r="N86" s="0">
        <f>BP85*(1+Calculator!$D$23/100/12)</f>
      </c>
      <c r="O86" s="0">
        <f>BQ85*(1+Calculator!$D$24/100/12)</f>
      </c>
      <c r="P86" s="0">
        <f>BR85*(1+Calculator!$D$25/100/12)</f>
      </c>
      <c r="Q86" s="0">
        <f>BS85*(1+Calculator!$D$26/100/12)</f>
      </c>
      <c r="R86" s="0">
        <f>BT85*(1+Calculator!$D$27/100/12)</f>
      </c>
      <c r="S86" s="0">
        <f>BU85*(1+Calculator!$D$28/100/12)</f>
      </c>
      <c r="T86" s="0">
        <f>MAX(0,B86-Calculator!$E$11)</f>
      </c>
      <c r="U86" s="0">
        <f>MAX(0,C86-Calculator!$E$12)</f>
      </c>
      <c r="V86" s="0">
        <f>MAX(0,D86-Calculator!$E$13)</f>
      </c>
      <c r="W86" s="0">
        <f>MAX(0,E86-Calculator!$E$14)</f>
      </c>
      <c r="X86" s="0">
        <f>MAX(0,F86-Calculator!$E$15)</f>
      </c>
      <c r="Y86" s="0">
        <f>MAX(0,G86-Calculator!$E$16)</f>
      </c>
      <c r="Z86" s="0">
        <f>MAX(0,H86-Calculator!$E$17)</f>
      </c>
      <c r="AA86" s="0">
        <f>MAX(0,I86-Calculator!$E$18)</f>
      </c>
      <c r="AB86" s="0">
        <f>MAX(0,J86-Calculator!$E$19)</f>
      </c>
      <c r="AC86" s="0">
        <f>MAX(0,K86-Calculator!$E$20)</f>
      </c>
      <c r="AD86" s="0">
        <f>MAX(0,L86-Calculator!$E$21)</f>
      </c>
      <c r="AE86" s="0">
        <f>MAX(0,M86-Calculator!$E$22)</f>
      </c>
      <c r="AF86" s="0">
        <f>MAX(0,N86-Calculator!$E$23)</f>
      </c>
      <c r="AG86" s="0">
        <f>MAX(0,O86-Calculator!$E$24)</f>
      </c>
      <c r="AH86" s="0">
        <f>MAX(0,P86-Calculator!$E$25)</f>
      </c>
      <c r="AI86" s="0">
        <f>MAX(0,Q86-Calculator!$E$26)</f>
      </c>
      <c r="AJ86" s="0">
        <f>MAX(0,R86-Calculator!$E$27)</f>
      </c>
      <c r="AK86" s="0">
        <f>MAX(0,S86-Calculator!$E$28)</f>
      </c>
      <c r="AL86" s="0">
        <f>MAX(0,MIN(T86,BX86-SUMPRODUCT(($T$2:$AK$2&lt;T$2)*($T86:$AK86))))</f>
      </c>
      <c r="AM86" s="0">
        <f>MAX(0,MIN(U86,BX86-SUMPRODUCT(($T$2:$AK$2&lt;U$2)*($T86:$AK86))))</f>
      </c>
      <c r="AN86" s="0">
        <f>MAX(0,MIN(V86,BX86-SUMPRODUCT(($T$2:$AK$2&lt;V$2)*($T86:$AK86))))</f>
      </c>
      <c r="AO86" s="0">
        <f>MAX(0,MIN(W86,BX86-SUMPRODUCT(($T$2:$AK$2&lt;W$2)*($T86:$AK86))))</f>
      </c>
      <c r="AP86" s="0">
        <f>MAX(0,MIN(X86,BX86-SUMPRODUCT(($T$2:$AK$2&lt;X$2)*($T86:$AK86))))</f>
      </c>
      <c r="AQ86" s="0">
        <f>MAX(0,MIN(Y86,BX86-SUMPRODUCT(($T$2:$AK$2&lt;Y$2)*($T86:$AK86))))</f>
      </c>
      <c r="AR86" s="0">
        <f>MAX(0,MIN(Z86,BX86-SUMPRODUCT(($T$2:$AK$2&lt;Z$2)*($T86:$AK86))))</f>
      </c>
      <c r="AS86" s="0">
        <f>MAX(0,MIN(AA86,BX86-SUMPRODUCT(($T$2:$AK$2&lt;AA$2)*($T86:$AK86))))</f>
      </c>
      <c r="AT86" s="0">
        <f>MAX(0,MIN(AB86,BX86-SUMPRODUCT(($T$2:$AK$2&lt;AB$2)*($T86:$AK86))))</f>
      </c>
      <c r="AU86" s="0">
        <f>MAX(0,MIN(AC86,BX86-SUMPRODUCT(($T$2:$AK$2&lt;AC$2)*($T86:$AK86))))</f>
      </c>
      <c r="AV86" s="0">
        <f>MAX(0,MIN(AD86,BX86-SUMPRODUCT(($T$2:$AK$2&lt;AD$2)*($T86:$AK86))))</f>
      </c>
      <c r="AW86" s="0">
        <f>MAX(0,MIN(AE86,BX86-SUMPRODUCT(($T$2:$AK$2&lt;AE$2)*($T86:$AK86))))</f>
      </c>
      <c r="AX86" s="0">
        <f>MAX(0,MIN(AF86,BX86-SUMPRODUCT(($T$2:$AK$2&lt;AF$2)*($T86:$AK86))))</f>
      </c>
      <c r="AY86" s="0">
        <f>MAX(0,MIN(AG86,BX86-SUMPRODUCT(($T$2:$AK$2&lt;AG$2)*($T86:$AK86))))</f>
      </c>
      <c r="AZ86" s="0">
        <f>MAX(0,MIN(AH86,BX86-SUMPRODUCT(($T$2:$AK$2&lt;AH$2)*($T86:$AK86))))</f>
      </c>
      <c r="BA86" s="0">
        <f>MAX(0,MIN(AI86,BX86-SUMPRODUCT(($T$2:$AK$2&lt;AI$2)*($T86:$AK86))))</f>
      </c>
      <c r="BB86" s="0">
        <f>MAX(0,MIN(AJ86,BX86-SUMPRODUCT(($T$2:$AK$2&lt;AJ$2)*($T86:$AK86))))</f>
      </c>
      <c r="BC86" s="0">
        <f>MAX(0,MIN(AK86,BX86-SUMPRODUCT(($T$2:$AK$2&lt;AK$2)*($T86:$AK86))))</f>
      </c>
      <c r="BD86" s="0">
        <f>T86-AL86</f>
      </c>
      <c r="BE86" s="0">
        <f>U86-AM86</f>
      </c>
      <c r="BF86" s="0">
        <f>V86-AN86</f>
      </c>
      <c r="BG86" s="0">
        <f>W86-AO86</f>
      </c>
      <c r="BH86" s="0">
        <f>X86-AP86</f>
      </c>
      <c r="BI86" s="0">
        <f>Y86-AQ86</f>
      </c>
      <c r="BJ86" s="0">
        <f>Z86-AR86</f>
      </c>
      <c r="BK86" s="0">
        <f>AA86-AS86</f>
      </c>
      <c r="BL86" s="0">
        <f>AB86-AT86</f>
      </c>
      <c r="BM86" s="0">
        <f>AC86-AU86</f>
      </c>
      <c r="BN86" s="0">
        <f>AD86-AV86</f>
      </c>
      <c r="BO86" s="0">
        <f>AE86-AW86</f>
      </c>
      <c r="BP86" s="0">
        <f>AF86-AX86</f>
      </c>
      <c r="BQ86" s="0">
        <f>AG86-AY86</f>
      </c>
      <c r="BR86" s="0">
        <f>AH86-AZ86</f>
      </c>
      <c r="BS86" s="0">
        <f>AI86-BA86</f>
      </c>
      <c r="BT86" s="0">
        <f>AJ86-BB86</f>
      </c>
      <c r="BU86" s="0">
        <f>AK86-BC86</f>
      </c>
      <c r="BV86" s="0">
        <f>SUM(B86:S86)</f>
      </c>
      <c r="BW86" s="0">
        <f>SUM(T86:AK86)</f>
      </c>
      <c r="BX86" s="0">
        <f>MAX(0,(SUM(Calculator!$E$11:$E$28)+Calculator!$C$6)-BV86+BW86)</f>
      </c>
      <c r="BY86" s="0">
        <f>SUM(BD86:BU86)</f>
      </c>
      <c r="BZ86" s="0">
        <f>BV86-BY85</f>
      </c>
      <c r="CA86" s="0">
        <f>IF(A86&lt;=IF($CD$1=0,999,$CD$1),BY86,NA())</f>
      </c>
      <c r="CB86" s="0">
        <f>IF(A86&lt;=IF($CD$1=0,999,$CD$1),A86,NA())</f>
      </c>
    </row>
    <row r="87">
      <c r="A87" s="0">
        <v>84</v>
      </c>
      <c r="B87" s="0">
        <f>BD86*(1+Calculator!$D$11/100/12)</f>
      </c>
      <c r="C87" s="0">
        <f>BE86*(1+Calculator!$D$12/100/12)</f>
      </c>
      <c r="D87" s="0">
        <f>BF86*(1+Calculator!$D$13/100/12)</f>
      </c>
      <c r="E87" s="0">
        <f>BG86*(1+Calculator!$D$14/100/12)</f>
      </c>
      <c r="F87" s="0">
        <f>BH86*(1+Calculator!$D$15/100/12)</f>
      </c>
      <c r="G87" s="0">
        <f>BI86*(1+Calculator!$D$16/100/12)</f>
      </c>
      <c r="H87" s="0">
        <f>BJ86*(1+Calculator!$D$17/100/12)</f>
      </c>
      <c r="I87" s="0">
        <f>BK86*(1+Calculator!$D$18/100/12)</f>
      </c>
      <c r="J87" s="0">
        <f>BL86*(1+Calculator!$D$19/100/12)</f>
      </c>
      <c r="K87" s="0">
        <f>BM86*(1+Calculator!$D$20/100/12)</f>
      </c>
      <c r="L87" s="0">
        <f>BN86*(1+Calculator!$D$21/100/12)</f>
      </c>
      <c r="M87" s="0">
        <f>BO86*(1+Calculator!$D$22/100/12)</f>
      </c>
      <c r="N87" s="0">
        <f>BP86*(1+Calculator!$D$23/100/12)</f>
      </c>
      <c r="O87" s="0">
        <f>BQ86*(1+Calculator!$D$24/100/12)</f>
      </c>
      <c r="P87" s="0">
        <f>BR86*(1+Calculator!$D$25/100/12)</f>
      </c>
      <c r="Q87" s="0">
        <f>BS86*(1+Calculator!$D$26/100/12)</f>
      </c>
      <c r="R87" s="0">
        <f>BT86*(1+Calculator!$D$27/100/12)</f>
      </c>
      <c r="S87" s="0">
        <f>BU86*(1+Calculator!$D$28/100/12)</f>
      </c>
      <c r="T87" s="0">
        <f>MAX(0,B87-Calculator!$E$11)</f>
      </c>
      <c r="U87" s="0">
        <f>MAX(0,C87-Calculator!$E$12)</f>
      </c>
      <c r="V87" s="0">
        <f>MAX(0,D87-Calculator!$E$13)</f>
      </c>
      <c r="W87" s="0">
        <f>MAX(0,E87-Calculator!$E$14)</f>
      </c>
      <c r="X87" s="0">
        <f>MAX(0,F87-Calculator!$E$15)</f>
      </c>
      <c r="Y87" s="0">
        <f>MAX(0,G87-Calculator!$E$16)</f>
      </c>
      <c r="Z87" s="0">
        <f>MAX(0,H87-Calculator!$E$17)</f>
      </c>
      <c r="AA87" s="0">
        <f>MAX(0,I87-Calculator!$E$18)</f>
      </c>
      <c r="AB87" s="0">
        <f>MAX(0,J87-Calculator!$E$19)</f>
      </c>
      <c r="AC87" s="0">
        <f>MAX(0,K87-Calculator!$E$20)</f>
      </c>
      <c r="AD87" s="0">
        <f>MAX(0,L87-Calculator!$E$21)</f>
      </c>
      <c r="AE87" s="0">
        <f>MAX(0,M87-Calculator!$E$22)</f>
      </c>
      <c r="AF87" s="0">
        <f>MAX(0,N87-Calculator!$E$23)</f>
      </c>
      <c r="AG87" s="0">
        <f>MAX(0,O87-Calculator!$E$24)</f>
      </c>
      <c r="AH87" s="0">
        <f>MAX(0,P87-Calculator!$E$25)</f>
      </c>
      <c r="AI87" s="0">
        <f>MAX(0,Q87-Calculator!$E$26)</f>
      </c>
      <c r="AJ87" s="0">
        <f>MAX(0,R87-Calculator!$E$27)</f>
      </c>
      <c r="AK87" s="0">
        <f>MAX(0,S87-Calculator!$E$28)</f>
      </c>
      <c r="AL87" s="0">
        <f>MAX(0,MIN(T87,BX87-SUMPRODUCT(($T$2:$AK$2&lt;T$2)*($T87:$AK87))))</f>
      </c>
      <c r="AM87" s="0">
        <f>MAX(0,MIN(U87,BX87-SUMPRODUCT(($T$2:$AK$2&lt;U$2)*($T87:$AK87))))</f>
      </c>
      <c r="AN87" s="0">
        <f>MAX(0,MIN(V87,BX87-SUMPRODUCT(($T$2:$AK$2&lt;V$2)*($T87:$AK87))))</f>
      </c>
      <c r="AO87" s="0">
        <f>MAX(0,MIN(W87,BX87-SUMPRODUCT(($T$2:$AK$2&lt;W$2)*($T87:$AK87))))</f>
      </c>
      <c r="AP87" s="0">
        <f>MAX(0,MIN(X87,BX87-SUMPRODUCT(($T$2:$AK$2&lt;X$2)*($T87:$AK87))))</f>
      </c>
      <c r="AQ87" s="0">
        <f>MAX(0,MIN(Y87,BX87-SUMPRODUCT(($T$2:$AK$2&lt;Y$2)*($T87:$AK87))))</f>
      </c>
      <c r="AR87" s="0">
        <f>MAX(0,MIN(Z87,BX87-SUMPRODUCT(($T$2:$AK$2&lt;Z$2)*($T87:$AK87))))</f>
      </c>
      <c r="AS87" s="0">
        <f>MAX(0,MIN(AA87,BX87-SUMPRODUCT(($T$2:$AK$2&lt;AA$2)*($T87:$AK87))))</f>
      </c>
      <c r="AT87" s="0">
        <f>MAX(0,MIN(AB87,BX87-SUMPRODUCT(($T$2:$AK$2&lt;AB$2)*($T87:$AK87))))</f>
      </c>
      <c r="AU87" s="0">
        <f>MAX(0,MIN(AC87,BX87-SUMPRODUCT(($T$2:$AK$2&lt;AC$2)*($T87:$AK87))))</f>
      </c>
      <c r="AV87" s="0">
        <f>MAX(0,MIN(AD87,BX87-SUMPRODUCT(($T$2:$AK$2&lt;AD$2)*($T87:$AK87))))</f>
      </c>
      <c r="AW87" s="0">
        <f>MAX(0,MIN(AE87,BX87-SUMPRODUCT(($T$2:$AK$2&lt;AE$2)*($T87:$AK87))))</f>
      </c>
      <c r="AX87" s="0">
        <f>MAX(0,MIN(AF87,BX87-SUMPRODUCT(($T$2:$AK$2&lt;AF$2)*($T87:$AK87))))</f>
      </c>
      <c r="AY87" s="0">
        <f>MAX(0,MIN(AG87,BX87-SUMPRODUCT(($T$2:$AK$2&lt;AG$2)*($T87:$AK87))))</f>
      </c>
      <c r="AZ87" s="0">
        <f>MAX(0,MIN(AH87,BX87-SUMPRODUCT(($T$2:$AK$2&lt;AH$2)*($T87:$AK87))))</f>
      </c>
      <c r="BA87" s="0">
        <f>MAX(0,MIN(AI87,BX87-SUMPRODUCT(($T$2:$AK$2&lt;AI$2)*($T87:$AK87))))</f>
      </c>
      <c r="BB87" s="0">
        <f>MAX(0,MIN(AJ87,BX87-SUMPRODUCT(($T$2:$AK$2&lt;AJ$2)*($T87:$AK87))))</f>
      </c>
      <c r="BC87" s="0">
        <f>MAX(0,MIN(AK87,BX87-SUMPRODUCT(($T$2:$AK$2&lt;AK$2)*($T87:$AK87))))</f>
      </c>
      <c r="BD87" s="0">
        <f>T87-AL87</f>
      </c>
      <c r="BE87" s="0">
        <f>U87-AM87</f>
      </c>
      <c r="BF87" s="0">
        <f>V87-AN87</f>
      </c>
      <c r="BG87" s="0">
        <f>W87-AO87</f>
      </c>
      <c r="BH87" s="0">
        <f>X87-AP87</f>
      </c>
      <c r="BI87" s="0">
        <f>Y87-AQ87</f>
      </c>
      <c r="BJ87" s="0">
        <f>Z87-AR87</f>
      </c>
      <c r="BK87" s="0">
        <f>AA87-AS87</f>
      </c>
      <c r="BL87" s="0">
        <f>AB87-AT87</f>
      </c>
      <c r="BM87" s="0">
        <f>AC87-AU87</f>
      </c>
      <c r="BN87" s="0">
        <f>AD87-AV87</f>
      </c>
      <c r="BO87" s="0">
        <f>AE87-AW87</f>
      </c>
      <c r="BP87" s="0">
        <f>AF87-AX87</f>
      </c>
      <c r="BQ87" s="0">
        <f>AG87-AY87</f>
      </c>
      <c r="BR87" s="0">
        <f>AH87-AZ87</f>
      </c>
      <c r="BS87" s="0">
        <f>AI87-BA87</f>
      </c>
      <c r="BT87" s="0">
        <f>AJ87-BB87</f>
      </c>
      <c r="BU87" s="0">
        <f>AK87-BC87</f>
      </c>
      <c r="BV87" s="0">
        <f>SUM(B87:S87)</f>
      </c>
      <c r="BW87" s="0">
        <f>SUM(T87:AK87)</f>
      </c>
      <c r="BX87" s="0">
        <f>MAX(0,(SUM(Calculator!$E$11:$E$28)+Calculator!$C$6)-BV87+BW87)</f>
      </c>
      <c r="BY87" s="0">
        <f>SUM(BD87:BU87)</f>
      </c>
      <c r="BZ87" s="0">
        <f>BV87-BY86</f>
      </c>
      <c r="CA87" s="0">
        <f>IF(A87&lt;=IF($CD$1=0,999,$CD$1),BY87,NA())</f>
      </c>
      <c r="CB87" s="0">
        <f>IF(A87&lt;=IF($CD$1=0,999,$CD$1),A87,NA())</f>
      </c>
    </row>
    <row r="88">
      <c r="A88" s="0">
        <v>85</v>
      </c>
      <c r="B88" s="0">
        <f>BD87*(1+Calculator!$D$11/100/12)</f>
      </c>
      <c r="C88" s="0">
        <f>BE87*(1+Calculator!$D$12/100/12)</f>
      </c>
      <c r="D88" s="0">
        <f>BF87*(1+Calculator!$D$13/100/12)</f>
      </c>
      <c r="E88" s="0">
        <f>BG87*(1+Calculator!$D$14/100/12)</f>
      </c>
      <c r="F88" s="0">
        <f>BH87*(1+Calculator!$D$15/100/12)</f>
      </c>
      <c r="G88" s="0">
        <f>BI87*(1+Calculator!$D$16/100/12)</f>
      </c>
      <c r="H88" s="0">
        <f>BJ87*(1+Calculator!$D$17/100/12)</f>
      </c>
      <c r="I88" s="0">
        <f>BK87*(1+Calculator!$D$18/100/12)</f>
      </c>
      <c r="J88" s="0">
        <f>BL87*(1+Calculator!$D$19/100/12)</f>
      </c>
      <c r="K88" s="0">
        <f>BM87*(1+Calculator!$D$20/100/12)</f>
      </c>
      <c r="L88" s="0">
        <f>BN87*(1+Calculator!$D$21/100/12)</f>
      </c>
      <c r="M88" s="0">
        <f>BO87*(1+Calculator!$D$22/100/12)</f>
      </c>
      <c r="N88" s="0">
        <f>BP87*(1+Calculator!$D$23/100/12)</f>
      </c>
      <c r="O88" s="0">
        <f>BQ87*(1+Calculator!$D$24/100/12)</f>
      </c>
      <c r="P88" s="0">
        <f>BR87*(1+Calculator!$D$25/100/12)</f>
      </c>
      <c r="Q88" s="0">
        <f>BS87*(1+Calculator!$D$26/100/12)</f>
      </c>
      <c r="R88" s="0">
        <f>BT87*(1+Calculator!$D$27/100/12)</f>
      </c>
      <c r="S88" s="0">
        <f>BU87*(1+Calculator!$D$28/100/12)</f>
      </c>
      <c r="T88" s="0">
        <f>MAX(0,B88-Calculator!$E$11)</f>
      </c>
      <c r="U88" s="0">
        <f>MAX(0,C88-Calculator!$E$12)</f>
      </c>
      <c r="V88" s="0">
        <f>MAX(0,D88-Calculator!$E$13)</f>
      </c>
      <c r="W88" s="0">
        <f>MAX(0,E88-Calculator!$E$14)</f>
      </c>
      <c r="X88" s="0">
        <f>MAX(0,F88-Calculator!$E$15)</f>
      </c>
      <c r="Y88" s="0">
        <f>MAX(0,G88-Calculator!$E$16)</f>
      </c>
      <c r="Z88" s="0">
        <f>MAX(0,H88-Calculator!$E$17)</f>
      </c>
      <c r="AA88" s="0">
        <f>MAX(0,I88-Calculator!$E$18)</f>
      </c>
      <c r="AB88" s="0">
        <f>MAX(0,J88-Calculator!$E$19)</f>
      </c>
      <c r="AC88" s="0">
        <f>MAX(0,K88-Calculator!$E$20)</f>
      </c>
      <c r="AD88" s="0">
        <f>MAX(0,L88-Calculator!$E$21)</f>
      </c>
      <c r="AE88" s="0">
        <f>MAX(0,M88-Calculator!$E$22)</f>
      </c>
      <c r="AF88" s="0">
        <f>MAX(0,N88-Calculator!$E$23)</f>
      </c>
      <c r="AG88" s="0">
        <f>MAX(0,O88-Calculator!$E$24)</f>
      </c>
      <c r="AH88" s="0">
        <f>MAX(0,P88-Calculator!$E$25)</f>
      </c>
      <c r="AI88" s="0">
        <f>MAX(0,Q88-Calculator!$E$26)</f>
      </c>
      <c r="AJ88" s="0">
        <f>MAX(0,R88-Calculator!$E$27)</f>
      </c>
      <c r="AK88" s="0">
        <f>MAX(0,S88-Calculator!$E$28)</f>
      </c>
      <c r="AL88" s="0">
        <f>MAX(0,MIN(T88,BX88-SUMPRODUCT(($T$2:$AK$2&lt;T$2)*($T88:$AK88))))</f>
      </c>
      <c r="AM88" s="0">
        <f>MAX(0,MIN(U88,BX88-SUMPRODUCT(($T$2:$AK$2&lt;U$2)*($T88:$AK88))))</f>
      </c>
      <c r="AN88" s="0">
        <f>MAX(0,MIN(V88,BX88-SUMPRODUCT(($T$2:$AK$2&lt;V$2)*($T88:$AK88))))</f>
      </c>
      <c r="AO88" s="0">
        <f>MAX(0,MIN(W88,BX88-SUMPRODUCT(($T$2:$AK$2&lt;W$2)*($T88:$AK88))))</f>
      </c>
      <c r="AP88" s="0">
        <f>MAX(0,MIN(X88,BX88-SUMPRODUCT(($T$2:$AK$2&lt;X$2)*($T88:$AK88))))</f>
      </c>
      <c r="AQ88" s="0">
        <f>MAX(0,MIN(Y88,BX88-SUMPRODUCT(($T$2:$AK$2&lt;Y$2)*($T88:$AK88))))</f>
      </c>
      <c r="AR88" s="0">
        <f>MAX(0,MIN(Z88,BX88-SUMPRODUCT(($T$2:$AK$2&lt;Z$2)*($T88:$AK88))))</f>
      </c>
      <c r="AS88" s="0">
        <f>MAX(0,MIN(AA88,BX88-SUMPRODUCT(($T$2:$AK$2&lt;AA$2)*($T88:$AK88))))</f>
      </c>
      <c r="AT88" s="0">
        <f>MAX(0,MIN(AB88,BX88-SUMPRODUCT(($T$2:$AK$2&lt;AB$2)*($T88:$AK88))))</f>
      </c>
      <c r="AU88" s="0">
        <f>MAX(0,MIN(AC88,BX88-SUMPRODUCT(($T$2:$AK$2&lt;AC$2)*($T88:$AK88))))</f>
      </c>
      <c r="AV88" s="0">
        <f>MAX(0,MIN(AD88,BX88-SUMPRODUCT(($T$2:$AK$2&lt;AD$2)*($T88:$AK88))))</f>
      </c>
      <c r="AW88" s="0">
        <f>MAX(0,MIN(AE88,BX88-SUMPRODUCT(($T$2:$AK$2&lt;AE$2)*($T88:$AK88))))</f>
      </c>
      <c r="AX88" s="0">
        <f>MAX(0,MIN(AF88,BX88-SUMPRODUCT(($T$2:$AK$2&lt;AF$2)*($T88:$AK88))))</f>
      </c>
      <c r="AY88" s="0">
        <f>MAX(0,MIN(AG88,BX88-SUMPRODUCT(($T$2:$AK$2&lt;AG$2)*($T88:$AK88))))</f>
      </c>
      <c r="AZ88" s="0">
        <f>MAX(0,MIN(AH88,BX88-SUMPRODUCT(($T$2:$AK$2&lt;AH$2)*($T88:$AK88))))</f>
      </c>
      <c r="BA88" s="0">
        <f>MAX(0,MIN(AI88,BX88-SUMPRODUCT(($T$2:$AK$2&lt;AI$2)*($T88:$AK88))))</f>
      </c>
      <c r="BB88" s="0">
        <f>MAX(0,MIN(AJ88,BX88-SUMPRODUCT(($T$2:$AK$2&lt;AJ$2)*($T88:$AK88))))</f>
      </c>
      <c r="BC88" s="0">
        <f>MAX(0,MIN(AK88,BX88-SUMPRODUCT(($T$2:$AK$2&lt;AK$2)*($T88:$AK88))))</f>
      </c>
      <c r="BD88" s="0">
        <f>T88-AL88</f>
      </c>
      <c r="BE88" s="0">
        <f>U88-AM88</f>
      </c>
      <c r="BF88" s="0">
        <f>V88-AN88</f>
      </c>
      <c r="BG88" s="0">
        <f>W88-AO88</f>
      </c>
      <c r="BH88" s="0">
        <f>X88-AP88</f>
      </c>
      <c r="BI88" s="0">
        <f>Y88-AQ88</f>
      </c>
      <c r="BJ88" s="0">
        <f>Z88-AR88</f>
      </c>
      <c r="BK88" s="0">
        <f>AA88-AS88</f>
      </c>
      <c r="BL88" s="0">
        <f>AB88-AT88</f>
      </c>
      <c r="BM88" s="0">
        <f>AC88-AU88</f>
      </c>
      <c r="BN88" s="0">
        <f>AD88-AV88</f>
      </c>
      <c r="BO88" s="0">
        <f>AE88-AW88</f>
      </c>
      <c r="BP88" s="0">
        <f>AF88-AX88</f>
      </c>
      <c r="BQ88" s="0">
        <f>AG88-AY88</f>
      </c>
      <c r="BR88" s="0">
        <f>AH88-AZ88</f>
      </c>
      <c r="BS88" s="0">
        <f>AI88-BA88</f>
      </c>
      <c r="BT88" s="0">
        <f>AJ88-BB88</f>
      </c>
      <c r="BU88" s="0">
        <f>AK88-BC88</f>
      </c>
      <c r="BV88" s="0">
        <f>SUM(B88:S88)</f>
      </c>
      <c r="BW88" s="0">
        <f>SUM(T88:AK88)</f>
      </c>
      <c r="BX88" s="0">
        <f>MAX(0,(SUM(Calculator!$E$11:$E$28)+Calculator!$C$6)-BV88+BW88)</f>
      </c>
      <c r="BY88" s="0">
        <f>SUM(BD88:BU88)</f>
      </c>
      <c r="BZ88" s="0">
        <f>BV88-BY87</f>
      </c>
      <c r="CA88" s="0">
        <f>IF(A88&lt;=IF($CD$1=0,999,$CD$1),BY88,NA())</f>
      </c>
      <c r="CB88" s="0">
        <f>IF(A88&lt;=IF($CD$1=0,999,$CD$1),A88,NA())</f>
      </c>
    </row>
    <row r="89">
      <c r="A89" s="0">
        <v>86</v>
      </c>
      <c r="B89" s="0">
        <f>BD88*(1+Calculator!$D$11/100/12)</f>
      </c>
      <c r="C89" s="0">
        <f>BE88*(1+Calculator!$D$12/100/12)</f>
      </c>
      <c r="D89" s="0">
        <f>BF88*(1+Calculator!$D$13/100/12)</f>
      </c>
      <c r="E89" s="0">
        <f>BG88*(1+Calculator!$D$14/100/12)</f>
      </c>
      <c r="F89" s="0">
        <f>BH88*(1+Calculator!$D$15/100/12)</f>
      </c>
      <c r="G89" s="0">
        <f>BI88*(1+Calculator!$D$16/100/12)</f>
      </c>
      <c r="H89" s="0">
        <f>BJ88*(1+Calculator!$D$17/100/12)</f>
      </c>
      <c r="I89" s="0">
        <f>BK88*(1+Calculator!$D$18/100/12)</f>
      </c>
      <c r="J89" s="0">
        <f>BL88*(1+Calculator!$D$19/100/12)</f>
      </c>
      <c r="K89" s="0">
        <f>BM88*(1+Calculator!$D$20/100/12)</f>
      </c>
      <c r="L89" s="0">
        <f>BN88*(1+Calculator!$D$21/100/12)</f>
      </c>
      <c r="M89" s="0">
        <f>BO88*(1+Calculator!$D$22/100/12)</f>
      </c>
      <c r="N89" s="0">
        <f>BP88*(1+Calculator!$D$23/100/12)</f>
      </c>
      <c r="O89" s="0">
        <f>BQ88*(1+Calculator!$D$24/100/12)</f>
      </c>
      <c r="P89" s="0">
        <f>BR88*(1+Calculator!$D$25/100/12)</f>
      </c>
      <c r="Q89" s="0">
        <f>BS88*(1+Calculator!$D$26/100/12)</f>
      </c>
      <c r="R89" s="0">
        <f>BT88*(1+Calculator!$D$27/100/12)</f>
      </c>
      <c r="S89" s="0">
        <f>BU88*(1+Calculator!$D$28/100/12)</f>
      </c>
      <c r="T89" s="0">
        <f>MAX(0,B89-Calculator!$E$11)</f>
      </c>
      <c r="U89" s="0">
        <f>MAX(0,C89-Calculator!$E$12)</f>
      </c>
      <c r="V89" s="0">
        <f>MAX(0,D89-Calculator!$E$13)</f>
      </c>
      <c r="W89" s="0">
        <f>MAX(0,E89-Calculator!$E$14)</f>
      </c>
      <c r="X89" s="0">
        <f>MAX(0,F89-Calculator!$E$15)</f>
      </c>
      <c r="Y89" s="0">
        <f>MAX(0,G89-Calculator!$E$16)</f>
      </c>
      <c r="Z89" s="0">
        <f>MAX(0,H89-Calculator!$E$17)</f>
      </c>
      <c r="AA89" s="0">
        <f>MAX(0,I89-Calculator!$E$18)</f>
      </c>
      <c r="AB89" s="0">
        <f>MAX(0,J89-Calculator!$E$19)</f>
      </c>
      <c r="AC89" s="0">
        <f>MAX(0,K89-Calculator!$E$20)</f>
      </c>
      <c r="AD89" s="0">
        <f>MAX(0,L89-Calculator!$E$21)</f>
      </c>
      <c r="AE89" s="0">
        <f>MAX(0,M89-Calculator!$E$22)</f>
      </c>
      <c r="AF89" s="0">
        <f>MAX(0,N89-Calculator!$E$23)</f>
      </c>
      <c r="AG89" s="0">
        <f>MAX(0,O89-Calculator!$E$24)</f>
      </c>
      <c r="AH89" s="0">
        <f>MAX(0,P89-Calculator!$E$25)</f>
      </c>
      <c r="AI89" s="0">
        <f>MAX(0,Q89-Calculator!$E$26)</f>
      </c>
      <c r="AJ89" s="0">
        <f>MAX(0,R89-Calculator!$E$27)</f>
      </c>
      <c r="AK89" s="0">
        <f>MAX(0,S89-Calculator!$E$28)</f>
      </c>
      <c r="AL89" s="0">
        <f>MAX(0,MIN(T89,BX89-SUMPRODUCT(($T$2:$AK$2&lt;T$2)*($T89:$AK89))))</f>
      </c>
      <c r="AM89" s="0">
        <f>MAX(0,MIN(U89,BX89-SUMPRODUCT(($T$2:$AK$2&lt;U$2)*($T89:$AK89))))</f>
      </c>
      <c r="AN89" s="0">
        <f>MAX(0,MIN(V89,BX89-SUMPRODUCT(($T$2:$AK$2&lt;V$2)*($T89:$AK89))))</f>
      </c>
      <c r="AO89" s="0">
        <f>MAX(0,MIN(W89,BX89-SUMPRODUCT(($T$2:$AK$2&lt;W$2)*($T89:$AK89))))</f>
      </c>
      <c r="AP89" s="0">
        <f>MAX(0,MIN(X89,BX89-SUMPRODUCT(($T$2:$AK$2&lt;X$2)*($T89:$AK89))))</f>
      </c>
      <c r="AQ89" s="0">
        <f>MAX(0,MIN(Y89,BX89-SUMPRODUCT(($T$2:$AK$2&lt;Y$2)*($T89:$AK89))))</f>
      </c>
      <c r="AR89" s="0">
        <f>MAX(0,MIN(Z89,BX89-SUMPRODUCT(($T$2:$AK$2&lt;Z$2)*($T89:$AK89))))</f>
      </c>
      <c r="AS89" s="0">
        <f>MAX(0,MIN(AA89,BX89-SUMPRODUCT(($T$2:$AK$2&lt;AA$2)*($T89:$AK89))))</f>
      </c>
      <c r="AT89" s="0">
        <f>MAX(0,MIN(AB89,BX89-SUMPRODUCT(($T$2:$AK$2&lt;AB$2)*($T89:$AK89))))</f>
      </c>
      <c r="AU89" s="0">
        <f>MAX(0,MIN(AC89,BX89-SUMPRODUCT(($T$2:$AK$2&lt;AC$2)*($T89:$AK89))))</f>
      </c>
      <c r="AV89" s="0">
        <f>MAX(0,MIN(AD89,BX89-SUMPRODUCT(($T$2:$AK$2&lt;AD$2)*($T89:$AK89))))</f>
      </c>
      <c r="AW89" s="0">
        <f>MAX(0,MIN(AE89,BX89-SUMPRODUCT(($T$2:$AK$2&lt;AE$2)*($T89:$AK89))))</f>
      </c>
      <c r="AX89" s="0">
        <f>MAX(0,MIN(AF89,BX89-SUMPRODUCT(($T$2:$AK$2&lt;AF$2)*($T89:$AK89))))</f>
      </c>
      <c r="AY89" s="0">
        <f>MAX(0,MIN(AG89,BX89-SUMPRODUCT(($T$2:$AK$2&lt;AG$2)*($T89:$AK89))))</f>
      </c>
      <c r="AZ89" s="0">
        <f>MAX(0,MIN(AH89,BX89-SUMPRODUCT(($T$2:$AK$2&lt;AH$2)*($T89:$AK89))))</f>
      </c>
      <c r="BA89" s="0">
        <f>MAX(0,MIN(AI89,BX89-SUMPRODUCT(($T$2:$AK$2&lt;AI$2)*($T89:$AK89))))</f>
      </c>
      <c r="BB89" s="0">
        <f>MAX(0,MIN(AJ89,BX89-SUMPRODUCT(($T$2:$AK$2&lt;AJ$2)*($T89:$AK89))))</f>
      </c>
      <c r="BC89" s="0">
        <f>MAX(0,MIN(AK89,BX89-SUMPRODUCT(($T$2:$AK$2&lt;AK$2)*($T89:$AK89))))</f>
      </c>
      <c r="BD89" s="0">
        <f>T89-AL89</f>
      </c>
      <c r="BE89" s="0">
        <f>U89-AM89</f>
      </c>
      <c r="BF89" s="0">
        <f>V89-AN89</f>
      </c>
      <c r="BG89" s="0">
        <f>W89-AO89</f>
      </c>
      <c r="BH89" s="0">
        <f>X89-AP89</f>
      </c>
      <c r="BI89" s="0">
        <f>Y89-AQ89</f>
      </c>
      <c r="BJ89" s="0">
        <f>Z89-AR89</f>
      </c>
      <c r="BK89" s="0">
        <f>AA89-AS89</f>
      </c>
      <c r="BL89" s="0">
        <f>AB89-AT89</f>
      </c>
      <c r="BM89" s="0">
        <f>AC89-AU89</f>
      </c>
      <c r="BN89" s="0">
        <f>AD89-AV89</f>
      </c>
      <c r="BO89" s="0">
        <f>AE89-AW89</f>
      </c>
      <c r="BP89" s="0">
        <f>AF89-AX89</f>
      </c>
      <c r="BQ89" s="0">
        <f>AG89-AY89</f>
      </c>
      <c r="BR89" s="0">
        <f>AH89-AZ89</f>
      </c>
      <c r="BS89" s="0">
        <f>AI89-BA89</f>
      </c>
      <c r="BT89" s="0">
        <f>AJ89-BB89</f>
      </c>
      <c r="BU89" s="0">
        <f>AK89-BC89</f>
      </c>
      <c r="BV89" s="0">
        <f>SUM(B89:S89)</f>
      </c>
      <c r="BW89" s="0">
        <f>SUM(T89:AK89)</f>
      </c>
      <c r="BX89" s="0">
        <f>MAX(0,(SUM(Calculator!$E$11:$E$28)+Calculator!$C$6)-BV89+BW89)</f>
      </c>
      <c r="BY89" s="0">
        <f>SUM(BD89:BU89)</f>
      </c>
      <c r="BZ89" s="0">
        <f>BV89-BY88</f>
      </c>
      <c r="CA89" s="0">
        <f>IF(A89&lt;=IF($CD$1=0,999,$CD$1),BY89,NA())</f>
      </c>
      <c r="CB89" s="0">
        <f>IF(A89&lt;=IF($CD$1=0,999,$CD$1),A89,NA())</f>
      </c>
    </row>
    <row r="90">
      <c r="A90" s="0">
        <v>87</v>
      </c>
      <c r="B90" s="0">
        <f>BD89*(1+Calculator!$D$11/100/12)</f>
      </c>
      <c r="C90" s="0">
        <f>BE89*(1+Calculator!$D$12/100/12)</f>
      </c>
      <c r="D90" s="0">
        <f>BF89*(1+Calculator!$D$13/100/12)</f>
      </c>
      <c r="E90" s="0">
        <f>BG89*(1+Calculator!$D$14/100/12)</f>
      </c>
      <c r="F90" s="0">
        <f>BH89*(1+Calculator!$D$15/100/12)</f>
      </c>
      <c r="G90" s="0">
        <f>BI89*(1+Calculator!$D$16/100/12)</f>
      </c>
      <c r="H90" s="0">
        <f>BJ89*(1+Calculator!$D$17/100/12)</f>
      </c>
      <c r="I90" s="0">
        <f>BK89*(1+Calculator!$D$18/100/12)</f>
      </c>
      <c r="J90" s="0">
        <f>BL89*(1+Calculator!$D$19/100/12)</f>
      </c>
      <c r="K90" s="0">
        <f>BM89*(1+Calculator!$D$20/100/12)</f>
      </c>
      <c r="L90" s="0">
        <f>BN89*(1+Calculator!$D$21/100/12)</f>
      </c>
      <c r="M90" s="0">
        <f>BO89*(1+Calculator!$D$22/100/12)</f>
      </c>
      <c r="N90" s="0">
        <f>BP89*(1+Calculator!$D$23/100/12)</f>
      </c>
      <c r="O90" s="0">
        <f>BQ89*(1+Calculator!$D$24/100/12)</f>
      </c>
      <c r="P90" s="0">
        <f>BR89*(1+Calculator!$D$25/100/12)</f>
      </c>
      <c r="Q90" s="0">
        <f>BS89*(1+Calculator!$D$26/100/12)</f>
      </c>
      <c r="R90" s="0">
        <f>BT89*(1+Calculator!$D$27/100/12)</f>
      </c>
      <c r="S90" s="0">
        <f>BU89*(1+Calculator!$D$28/100/12)</f>
      </c>
      <c r="T90" s="0">
        <f>MAX(0,B90-Calculator!$E$11)</f>
      </c>
      <c r="U90" s="0">
        <f>MAX(0,C90-Calculator!$E$12)</f>
      </c>
      <c r="V90" s="0">
        <f>MAX(0,D90-Calculator!$E$13)</f>
      </c>
      <c r="W90" s="0">
        <f>MAX(0,E90-Calculator!$E$14)</f>
      </c>
      <c r="X90" s="0">
        <f>MAX(0,F90-Calculator!$E$15)</f>
      </c>
      <c r="Y90" s="0">
        <f>MAX(0,G90-Calculator!$E$16)</f>
      </c>
      <c r="Z90" s="0">
        <f>MAX(0,H90-Calculator!$E$17)</f>
      </c>
      <c r="AA90" s="0">
        <f>MAX(0,I90-Calculator!$E$18)</f>
      </c>
      <c r="AB90" s="0">
        <f>MAX(0,J90-Calculator!$E$19)</f>
      </c>
      <c r="AC90" s="0">
        <f>MAX(0,K90-Calculator!$E$20)</f>
      </c>
      <c r="AD90" s="0">
        <f>MAX(0,L90-Calculator!$E$21)</f>
      </c>
      <c r="AE90" s="0">
        <f>MAX(0,M90-Calculator!$E$22)</f>
      </c>
      <c r="AF90" s="0">
        <f>MAX(0,N90-Calculator!$E$23)</f>
      </c>
      <c r="AG90" s="0">
        <f>MAX(0,O90-Calculator!$E$24)</f>
      </c>
      <c r="AH90" s="0">
        <f>MAX(0,P90-Calculator!$E$25)</f>
      </c>
      <c r="AI90" s="0">
        <f>MAX(0,Q90-Calculator!$E$26)</f>
      </c>
      <c r="AJ90" s="0">
        <f>MAX(0,R90-Calculator!$E$27)</f>
      </c>
      <c r="AK90" s="0">
        <f>MAX(0,S90-Calculator!$E$28)</f>
      </c>
      <c r="AL90" s="0">
        <f>MAX(0,MIN(T90,BX90-SUMPRODUCT(($T$2:$AK$2&lt;T$2)*($T90:$AK90))))</f>
      </c>
      <c r="AM90" s="0">
        <f>MAX(0,MIN(U90,BX90-SUMPRODUCT(($T$2:$AK$2&lt;U$2)*($T90:$AK90))))</f>
      </c>
      <c r="AN90" s="0">
        <f>MAX(0,MIN(V90,BX90-SUMPRODUCT(($T$2:$AK$2&lt;V$2)*($T90:$AK90))))</f>
      </c>
      <c r="AO90" s="0">
        <f>MAX(0,MIN(W90,BX90-SUMPRODUCT(($T$2:$AK$2&lt;W$2)*($T90:$AK90))))</f>
      </c>
      <c r="AP90" s="0">
        <f>MAX(0,MIN(X90,BX90-SUMPRODUCT(($T$2:$AK$2&lt;X$2)*($T90:$AK90))))</f>
      </c>
      <c r="AQ90" s="0">
        <f>MAX(0,MIN(Y90,BX90-SUMPRODUCT(($T$2:$AK$2&lt;Y$2)*($T90:$AK90))))</f>
      </c>
      <c r="AR90" s="0">
        <f>MAX(0,MIN(Z90,BX90-SUMPRODUCT(($T$2:$AK$2&lt;Z$2)*($T90:$AK90))))</f>
      </c>
      <c r="AS90" s="0">
        <f>MAX(0,MIN(AA90,BX90-SUMPRODUCT(($T$2:$AK$2&lt;AA$2)*($T90:$AK90))))</f>
      </c>
      <c r="AT90" s="0">
        <f>MAX(0,MIN(AB90,BX90-SUMPRODUCT(($T$2:$AK$2&lt;AB$2)*($T90:$AK90))))</f>
      </c>
      <c r="AU90" s="0">
        <f>MAX(0,MIN(AC90,BX90-SUMPRODUCT(($T$2:$AK$2&lt;AC$2)*($T90:$AK90))))</f>
      </c>
      <c r="AV90" s="0">
        <f>MAX(0,MIN(AD90,BX90-SUMPRODUCT(($T$2:$AK$2&lt;AD$2)*($T90:$AK90))))</f>
      </c>
      <c r="AW90" s="0">
        <f>MAX(0,MIN(AE90,BX90-SUMPRODUCT(($T$2:$AK$2&lt;AE$2)*($T90:$AK90))))</f>
      </c>
      <c r="AX90" s="0">
        <f>MAX(0,MIN(AF90,BX90-SUMPRODUCT(($T$2:$AK$2&lt;AF$2)*($T90:$AK90))))</f>
      </c>
      <c r="AY90" s="0">
        <f>MAX(0,MIN(AG90,BX90-SUMPRODUCT(($T$2:$AK$2&lt;AG$2)*($T90:$AK90))))</f>
      </c>
      <c r="AZ90" s="0">
        <f>MAX(0,MIN(AH90,BX90-SUMPRODUCT(($T$2:$AK$2&lt;AH$2)*($T90:$AK90))))</f>
      </c>
      <c r="BA90" s="0">
        <f>MAX(0,MIN(AI90,BX90-SUMPRODUCT(($T$2:$AK$2&lt;AI$2)*($T90:$AK90))))</f>
      </c>
      <c r="BB90" s="0">
        <f>MAX(0,MIN(AJ90,BX90-SUMPRODUCT(($T$2:$AK$2&lt;AJ$2)*($T90:$AK90))))</f>
      </c>
      <c r="BC90" s="0">
        <f>MAX(0,MIN(AK90,BX90-SUMPRODUCT(($T$2:$AK$2&lt;AK$2)*($T90:$AK90))))</f>
      </c>
      <c r="BD90" s="0">
        <f>T90-AL90</f>
      </c>
      <c r="BE90" s="0">
        <f>U90-AM90</f>
      </c>
      <c r="BF90" s="0">
        <f>V90-AN90</f>
      </c>
      <c r="BG90" s="0">
        <f>W90-AO90</f>
      </c>
      <c r="BH90" s="0">
        <f>X90-AP90</f>
      </c>
      <c r="BI90" s="0">
        <f>Y90-AQ90</f>
      </c>
      <c r="BJ90" s="0">
        <f>Z90-AR90</f>
      </c>
      <c r="BK90" s="0">
        <f>AA90-AS90</f>
      </c>
      <c r="BL90" s="0">
        <f>AB90-AT90</f>
      </c>
      <c r="BM90" s="0">
        <f>AC90-AU90</f>
      </c>
      <c r="BN90" s="0">
        <f>AD90-AV90</f>
      </c>
      <c r="BO90" s="0">
        <f>AE90-AW90</f>
      </c>
      <c r="BP90" s="0">
        <f>AF90-AX90</f>
      </c>
      <c r="BQ90" s="0">
        <f>AG90-AY90</f>
      </c>
      <c r="BR90" s="0">
        <f>AH90-AZ90</f>
      </c>
      <c r="BS90" s="0">
        <f>AI90-BA90</f>
      </c>
      <c r="BT90" s="0">
        <f>AJ90-BB90</f>
      </c>
      <c r="BU90" s="0">
        <f>AK90-BC90</f>
      </c>
      <c r="BV90" s="0">
        <f>SUM(B90:S90)</f>
      </c>
      <c r="BW90" s="0">
        <f>SUM(T90:AK90)</f>
      </c>
      <c r="BX90" s="0">
        <f>MAX(0,(SUM(Calculator!$E$11:$E$28)+Calculator!$C$6)-BV90+BW90)</f>
      </c>
      <c r="BY90" s="0">
        <f>SUM(BD90:BU90)</f>
      </c>
      <c r="BZ90" s="0">
        <f>BV90-BY89</f>
      </c>
      <c r="CA90" s="0">
        <f>IF(A90&lt;=IF($CD$1=0,999,$CD$1),BY90,NA())</f>
      </c>
      <c r="CB90" s="0">
        <f>IF(A90&lt;=IF($CD$1=0,999,$CD$1),A90,NA())</f>
      </c>
    </row>
    <row r="91">
      <c r="A91" s="0">
        <v>88</v>
      </c>
      <c r="B91" s="0">
        <f>BD90*(1+Calculator!$D$11/100/12)</f>
      </c>
      <c r="C91" s="0">
        <f>BE90*(1+Calculator!$D$12/100/12)</f>
      </c>
      <c r="D91" s="0">
        <f>BF90*(1+Calculator!$D$13/100/12)</f>
      </c>
      <c r="E91" s="0">
        <f>BG90*(1+Calculator!$D$14/100/12)</f>
      </c>
      <c r="F91" s="0">
        <f>BH90*(1+Calculator!$D$15/100/12)</f>
      </c>
      <c r="G91" s="0">
        <f>BI90*(1+Calculator!$D$16/100/12)</f>
      </c>
      <c r="H91" s="0">
        <f>BJ90*(1+Calculator!$D$17/100/12)</f>
      </c>
      <c r="I91" s="0">
        <f>BK90*(1+Calculator!$D$18/100/12)</f>
      </c>
      <c r="J91" s="0">
        <f>BL90*(1+Calculator!$D$19/100/12)</f>
      </c>
      <c r="K91" s="0">
        <f>BM90*(1+Calculator!$D$20/100/12)</f>
      </c>
      <c r="L91" s="0">
        <f>BN90*(1+Calculator!$D$21/100/12)</f>
      </c>
      <c r="M91" s="0">
        <f>BO90*(1+Calculator!$D$22/100/12)</f>
      </c>
      <c r="N91" s="0">
        <f>BP90*(1+Calculator!$D$23/100/12)</f>
      </c>
      <c r="O91" s="0">
        <f>BQ90*(1+Calculator!$D$24/100/12)</f>
      </c>
      <c r="P91" s="0">
        <f>BR90*(1+Calculator!$D$25/100/12)</f>
      </c>
      <c r="Q91" s="0">
        <f>BS90*(1+Calculator!$D$26/100/12)</f>
      </c>
      <c r="R91" s="0">
        <f>BT90*(1+Calculator!$D$27/100/12)</f>
      </c>
      <c r="S91" s="0">
        <f>BU90*(1+Calculator!$D$28/100/12)</f>
      </c>
      <c r="T91" s="0">
        <f>MAX(0,B91-Calculator!$E$11)</f>
      </c>
      <c r="U91" s="0">
        <f>MAX(0,C91-Calculator!$E$12)</f>
      </c>
      <c r="V91" s="0">
        <f>MAX(0,D91-Calculator!$E$13)</f>
      </c>
      <c r="W91" s="0">
        <f>MAX(0,E91-Calculator!$E$14)</f>
      </c>
      <c r="X91" s="0">
        <f>MAX(0,F91-Calculator!$E$15)</f>
      </c>
      <c r="Y91" s="0">
        <f>MAX(0,G91-Calculator!$E$16)</f>
      </c>
      <c r="Z91" s="0">
        <f>MAX(0,H91-Calculator!$E$17)</f>
      </c>
      <c r="AA91" s="0">
        <f>MAX(0,I91-Calculator!$E$18)</f>
      </c>
      <c r="AB91" s="0">
        <f>MAX(0,J91-Calculator!$E$19)</f>
      </c>
      <c r="AC91" s="0">
        <f>MAX(0,K91-Calculator!$E$20)</f>
      </c>
      <c r="AD91" s="0">
        <f>MAX(0,L91-Calculator!$E$21)</f>
      </c>
      <c r="AE91" s="0">
        <f>MAX(0,M91-Calculator!$E$22)</f>
      </c>
      <c r="AF91" s="0">
        <f>MAX(0,N91-Calculator!$E$23)</f>
      </c>
      <c r="AG91" s="0">
        <f>MAX(0,O91-Calculator!$E$24)</f>
      </c>
      <c r="AH91" s="0">
        <f>MAX(0,P91-Calculator!$E$25)</f>
      </c>
      <c r="AI91" s="0">
        <f>MAX(0,Q91-Calculator!$E$26)</f>
      </c>
      <c r="AJ91" s="0">
        <f>MAX(0,R91-Calculator!$E$27)</f>
      </c>
      <c r="AK91" s="0">
        <f>MAX(0,S91-Calculator!$E$28)</f>
      </c>
      <c r="AL91" s="0">
        <f>MAX(0,MIN(T91,BX91-SUMPRODUCT(($T$2:$AK$2&lt;T$2)*($T91:$AK91))))</f>
      </c>
      <c r="AM91" s="0">
        <f>MAX(0,MIN(U91,BX91-SUMPRODUCT(($T$2:$AK$2&lt;U$2)*($T91:$AK91))))</f>
      </c>
      <c r="AN91" s="0">
        <f>MAX(0,MIN(V91,BX91-SUMPRODUCT(($T$2:$AK$2&lt;V$2)*($T91:$AK91))))</f>
      </c>
      <c r="AO91" s="0">
        <f>MAX(0,MIN(W91,BX91-SUMPRODUCT(($T$2:$AK$2&lt;W$2)*($T91:$AK91))))</f>
      </c>
      <c r="AP91" s="0">
        <f>MAX(0,MIN(X91,BX91-SUMPRODUCT(($T$2:$AK$2&lt;X$2)*($T91:$AK91))))</f>
      </c>
      <c r="AQ91" s="0">
        <f>MAX(0,MIN(Y91,BX91-SUMPRODUCT(($T$2:$AK$2&lt;Y$2)*($T91:$AK91))))</f>
      </c>
      <c r="AR91" s="0">
        <f>MAX(0,MIN(Z91,BX91-SUMPRODUCT(($T$2:$AK$2&lt;Z$2)*($T91:$AK91))))</f>
      </c>
      <c r="AS91" s="0">
        <f>MAX(0,MIN(AA91,BX91-SUMPRODUCT(($T$2:$AK$2&lt;AA$2)*($T91:$AK91))))</f>
      </c>
      <c r="AT91" s="0">
        <f>MAX(0,MIN(AB91,BX91-SUMPRODUCT(($T$2:$AK$2&lt;AB$2)*($T91:$AK91))))</f>
      </c>
      <c r="AU91" s="0">
        <f>MAX(0,MIN(AC91,BX91-SUMPRODUCT(($T$2:$AK$2&lt;AC$2)*($T91:$AK91))))</f>
      </c>
      <c r="AV91" s="0">
        <f>MAX(0,MIN(AD91,BX91-SUMPRODUCT(($T$2:$AK$2&lt;AD$2)*($T91:$AK91))))</f>
      </c>
      <c r="AW91" s="0">
        <f>MAX(0,MIN(AE91,BX91-SUMPRODUCT(($T$2:$AK$2&lt;AE$2)*($T91:$AK91))))</f>
      </c>
      <c r="AX91" s="0">
        <f>MAX(0,MIN(AF91,BX91-SUMPRODUCT(($T$2:$AK$2&lt;AF$2)*($T91:$AK91))))</f>
      </c>
      <c r="AY91" s="0">
        <f>MAX(0,MIN(AG91,BX91-SUMPRODUCT(($T$2:$AK$2&lt;AG$2)*($T91:$AK91))))</f>
      </c>
      <c r="AZ91" s="0">
        <f>MAX(0,MIN(AH91,BX91-SUMPRODUCT(($T$2:$AK$2&lt;AH$2)*($T91:$AK91))))</f>
      </c>
      <c r="BA91" s="0">
        <f>MAX(0,MIN(AI91,BX91-SUMPRODUCT(($T$2:$AK$2&lt;AI$2)*($T91:$AK91))))</f>
      </c>
      <c r="BB91" s="0">
        <f>MAX(0,MIN(AJ91,BX91-SUMPRODUCT(($T$2:$AK$2&lt;AJ$2)*($T91:$AK91))))</f>
      </c>
      <c r="BC91" s="0">
        <f>MAX(0,MIN(AK91,BX91-SUMPRODUCT(($T$2:$AK$2&lt;AK$2)*($T91:$AK91))))</f>
      </c>
      <c r="BD91" s="0">
        <f>T91-AL91</f>
      </c>
      <c r="BE91" s="0">
        <f>U91-AM91</f>
      </c>
      <c r="BF91" s="0">
        <f>V91-AN91</f>
      </c>
      <c r="BG91" s="0">
        <f>W91-AO91</f>
      </c>
      <c r="BH91" s="0">
        <f>X91-AP91</f>
      </c>
      <c r="BI91" s="0">
        <f>Y91-AQ91</f>
      </c>
      <c r="BJ91" s="0">
        <f>Z91-AR91</f>
      </c>
      <c r="BK91" s="0">
        <f>AA91-AS91</f>
      </c>
      <c r="BL91" s="0">
        <f>AB91-AT91</f>
      </c>
      <c r="BM91" s="0">
        <f>AC91-AU91</f>
      </c>
      <c r="BN91" s="0">
        <f>AD91-AV91</f>
      </c>
      <c r="BO91" s="0">
        <f>AE91-AW91</f>
      </c>
      <c r="BP91" s="0">
        <f>AF91-AX91</f>
      </c>
      <c r="BQ91" s="0">
        <f>AG91-AY91</f>
      </c>
      <c r="BR91" s="0">
        <f>AH91-AZ91</f>
      </c>
      <c r="BS91" s="0">
        <f>AI91-BA91</f>
      </c>
      <c r="BT91" s="0">
        <f>AJ91-BB91</f>
      </c>
      <c r="BU91" s="0">
        <f>AK91-BC91</f>
      </c>
      <c r="BV91" s="0">
        <f>SUM(B91:S91)</f>
      </c>
      <c r="BW91" s="0">
        <f>SUM(T91:AK91)</f>
      </c>
      <c r="BX91" s="0">
        <f>MAX(0,(SUM(Calculator!$E$11:$E$28)+Calculator!$C$6)-BV91+BW91)</f>
      </c>
      <c r="BY91" s="0">
        <f>SUM(BD91:BU91)</f>
      </c>
      <c r="BZ91" s="0">
        <f>BV91-BY90</f>
      </c>
      <c r="CA91" s="0">
        <f>IF(A91&lt;=IF($CD$1=0,999,$CD$1),BY91,NA())</f>
      </c>
      <c r="CB91" s="0">
        <f>IF(A91&lt;=IF($CD$1=0,999,$CD$1),A91,NA())</f>
      </c>
    </row>
    <row r="92">
      <c r="A92" s="0">
        <v>89</v>
      </c>
      <c r="B92" s="0">
        <f>BD91*(1+Calculator!$D$11/100/12)</f>
      </c>
      <c r="C92" s="0">
        <f>BE91*(1+Calculator!$D$12/100/12)</f>
      </c>
      <c r="D92" s="0">
        <f>BF91*(1+Calculator!$D$13/100/12)</f>
      </c>
      <c r="E92" s="0">
        <f>BG91*(1+Calculator!$D$14/100/12)</f>
      </c>
      <c r="F92" s="0">
        <f>BH91*(1+Calculator!$D$15/100/12)</f>
      </c>
      <c r="G92" s="0">
        <f>BI91*(1+Calculator!$D$16/100/12)</f>
      </c>
      <c r="H92" s="0">
        <f>BJ91*(1+Calculator!$D$17/100/12)</f>
      </c>
      <c r="I92" s="0">
        <f>BK91*(1+Calculator!$D$18/100/12)</f>
      </c>
      <c r="J92" s="0">
        <f>BL91*(1+Calculator!$D$19/100/12)</f>
      </c>
      <c r="K92" s="0">
        <f>BM91*(1+Calculator!$D$20/100/12)</f>
      </c>
      <c r="L92" s="0">
        <f>BN91*(1+Calculator!$D$21/100/12)</f>
      </c>
      <c r="M92" s="0">
        <f>BO91*(1+Calculator!$D$22/100/12)</f>
      </c>
      <c r="N92" s="0">
        <f>BP91*(1+Calculator!$D$23/100/12)</f>
      </c>
      <c r="O92" s="0">
        <f>BQ91*(1+Calculator!$D$24/100/12)</f>
      </c>
      <c r="P92" s="0">
        <f>BR91*(1+Calculator!$D$25/100/12)</f>
      </c>
      <c r="Q92" s="0">
        <f>BS91*(1+Calculator!$D$26/100/12)</f>
      </c>
      <c r="R92" s="0">
        <f>BT91*(1+Calculator!$D$27/100/12)</f>
      </c>
      <c r="S92" s="0">
        <f>BU91*(1+Calculator!$D$28/100/12)</f>
      </c>
      <c r="T92" s="0">
        <f>MAX(0,B92-Calculator!$E$11)</f>
      </c>
      <c r="U92" s="0">
        <f>MAX(0,C92-Calculator!$E$12)</f>
      </c>
      <c r="V92" s="0">
        <f>MAX(0,D92-Calculator!$E$13)</f>
      </c>
      <c r="W92" s="0">
        <f>MAX(0,E92-Calculator!$E$14)</f>
      </c>
      <c r="X92" s="0">
        <f>MAX(0,F92-Calculator!$E$15)</f>
      </c>
      <c r="Y92" s="0">
        <f>MAX(0,G92-Calculator!$E$16)</f>
      </c>
      <c r="Z92" s="0">
        <f>MAX(0,H92-Calculator!$E$17)</f>
      </c>
      <c r="AA92" s="0">
        <f>MAX(0,I92-Calculator!$E$18)</f>
      </c>
      <c r="AB92" s="0">
        <f>MAX(0,J92-Calculator!$E$19)</f>
      </c>
      <c r="AC92" s="0">
        <f>MAX(0,K92-Calculator!$E$20)</f>
      </c>
      <c r="AD92" s="0">
        <f>MAX(0,L92-Calculator!$E$21)</f>
      </c>
      <c r="AE92" s="0">
        <f>MAX(0,M92-Calculator!$E$22)</f>
      </c>
      <c r="AF92" s="0">
        <f>MAX(0,N92-Calculator!$E$23)</f>
      </c>
      <c r="AG92" s="0">
        <f>MAX(0,O92-Calculator!$E$24)</f>
      </c>
      <c r="AH92" s="0">
        <f>MAX(0,P92-Calculator!$E$25)</f>
      </c>
      <c r="AI92" s="0">
        <f>MAX(0,Q92-Calculator!$E$26)</f>
      </c>
      <c r="AJ92" s="0">
        <f>MAX(0,R92-Calculator!$E$27)</f>
      </c>
      <c r="AK92" s="0">
        <f>MAX(0,S92-Calculator!$E$28)</f>
      </c>
      <c r="AL92" s="0">
        <f>MAX(0,MIN(T92,BX92-SUMPRODUCT(($T$2:$AK$2&lt;T$2)*($T92:$AK92))))</f>
      </c>
      <c r="AM92" s="0">
        <f>MAX(0,MIN(U92,BX92-SUMPRODUCT(($T$2:$AK$2&lt;U$2)*($T92:$AK92))))</f>
      </c>
      <c r="AN92" s="0">
        <f>MAX(0,MIN(V92,BX92-SUMPRODUCT(($T$2:$AK$2&lt;V$2)*($T92:$AK92))))</f>
      </c>
      <c r="AO92" s="0">
        <f>MAX(0,MIN(W92,BX92-SUMPRODUCT(($T$2:$AK$2&lt;W$2)*($T92:$AK92))))</f>
      </c>
      <c r="AP92" s="0">
        <f>MAX(0,MIN(X92,BX92-SUMPRODUCT(($T$2:$AK$2&lt;X$2)*($T92:$AK92))))</f>
      </c>
      <c r="AQ92" s="0">
        <f>MAX(0,MIN(Y92,BX92-SUMPRODUCT(($T$2:$AK$2&lt;Y$2)*($T92:$AK92))))</f>
      </c>
      <c r="AR92" s="0">
        <f>MAX(0,MIN(Z92,BX92-SUMPRODUCT(($T$2:$AK$2&lt;Z$2)*($T92:$AK92))))</f>
      </c>
      <c r="AS92" s="0">
        <f>MAX(0,MIN(AA92,BX92-SUMPRODUCT(($T$2:$AK$2&lt;AA$2)*($T92:$AK92))))</f>
      </c>
      <c r="AT92" s="0">
        <f>MAX(0,MIN(AB92,BX92-SUMPRODUCT(($T$2:$AK$2&lt;AB$2)*($T92:$AK92))))</f>
      </c>
      <c r="AU92" s="0">
        <f>MAX(0,MIN(AC92,BX92-SUMPRODUCT(($T$2:$AK$2&lt;AC$2)*($T92:$AK92))))</f>
      </c>
      <c r="AV92" s="0">
        <f>MAX(0,MIN(AD92,BX92-SUMPRODUCT(($T$2:$AK$2&lt;AD$2)*($T92:$AK92))))</f>
      </c>
      <c r="AW92" s="0">
        <f>MAX(0,MIN(AE92,BX92-SUMPRODUCT(($T$2:$AK$2&lt;AE$2)*($T92:$AK92))))</f>
      </c>
      <c r="AX92" s="0">
        <f>MAX(0,MIN(AF92,BX92-SUMPRODUCT(($T$2:$AK$2&lt;AF$2)*($T92:$AK92))))</f>
      </c>
      <c r="AY92" s="0">
        <f>MAX(0,MIN(AG92,BX92-SUMPRODUCT(($T$2:$AK$2&lt;AG$2)*($T92:$AK92))))</f>
      </c>
      <c r="AZ92" s="0">
        <f>MAX(0,MIN(AH92,BX92-SUMPRODUCT(($T$2:$AK$2&lt;AH$2)*($T92:$AK92))))</f>
      </c>
      <c r="BA92" s="0">
        <f>MAX(0,MIN(AI92,BX92-SUMPRODUCT(($T$2:$AK$2&lt;AI$2)*($T92:$AK92))))</f>
      </c>
      <c r="BB92" s="0">
        <f>MAX(0,MIN(AJ92,BX92-SUMPRODUCT(($T$2:$AK$2&lt;AJ$2)*($T92:$AK92))))</f>
      </c>
      <c r="BC92" s="0">
        <f>MAX(0,MIN(AK92,BX92-SUMPRODUCT(($T$2:$AK$2&lt;AK$2)*($T92:$AK92))))</f>
      </c>
      <c r="BD92" s="0">
        <f>T92-AL92</f>
      </c>
      <c r="BE92" s="0">
        <f>U92-AM92</f>
      </c>
      <c r="BF92" s="0">
        <f>V92-AN92</f>
      </c>
      <c r="BG92" s="0">
        <f>W92-AO92</f>
      </c>
      <c r="BH92" s="0">
        <f>X92-AP92</f>
      </c>
      <c r="BI92" s="0">
        <f>Y92-AQ92</f>
      </c>
      <c r="BJ92" s="0">
        <f>Z92-AR92</f>
      </c>
      <c r="BK92" s="0">
        <f>AA92-AS92</f>
      </c>
      <c r="BL92" s="0">
        <f>AB92-AT92</f>
      </c>
      <c r="BM92" s="0">
        <f>AC92-AU92</f>
      </c>
      <c r="BN92" s="0">
        <f>AD92-AV92</f>
      </c>
      <c r="BO92" s="0">
        <f>AE92-AW92</f>
      </c>
      <c r="BP92" s="0">
        <f>AF92-AX92</f>
      </c>
      <c r="BQ92" s="0">
        <f>AG92-AY92</f>
      </c>
      <c r="BR92" s="0">
        <f>AH92-AZ92</f>
      </c>
      <c r="BS92" s="0">
        <f>AI92-BA92</f>
      </c>
      <c r="BT92" s="0">
        <f>AJ92-BB92</f>
      </c>
      <c r="BU92" s="0">
        <f>AK92-BC92</f>
      </c>
      <c r="BV92" s="0">
        <f>SUM(B92:S92)</f>
      </c>
      <c r="BW92" s="0">
        <f>SUM(T92:AK92)</f>
      </c>
      <c r="BX92" s="0">
        <f>MAX(0,(SUM(Calculator!$E$11:$E$28)+Calculator!$C$6)-BV92+BW92)</f>
      </c>
      <c r="BY92" s="0">
        <f>SUM(BD92:BU92)</f>
      </c>
      <c r="BZ92" s="0">
        <f>BV92-BY91</f>
      </c>
      <c r="CA92" s="0">
        <f>IF(A92&lt;=IF($CD$1=0,999,$CD$1),BY92,NA())</f>
      </c>
      <c r="CB92" s="0">
        <f>IF(A92&lt;=IF($CD$1=0,999,$CD$1),A92,NA())</f>
      </c>
    </row>
    <row r="93">
      <c r="A93" s="0">
        <v>90</v>
      </c>
      <c r="B93" s="0">
        <f>BD92*(1+Calculator!$D$11/100/12)</f>
      </c>
      <c r="C93" s="0">
        <f>BE92*(1+Calculator!$D$12/100/12)</f>
      </c>
      <c r="D93" s="0">
        <f>BF92*(1+Calculator!$D$13/100/12)</f>
      </c>
      <c r="E93" s="0">
        <f>BG92*(1+Calculator!$D$14/100/12)</f>
      </c>
      <c r="F93" s="0">
        <f>BH92*(1+Calculator!$D$15/100/12)</f>
      </c>
      <c r="G93" s="0">
        <f>BI92*(1+Calculator!$D$16/100/12)</f>
      </c>
      <c r="H93" s="0">
        <f>BJ92*(1+Calculator!$D$17/100/12)</f>
      </c>
      <c r="I93" s="0">
        <f>BK92*(1+Calculator!$D$18/100/12)</f>
      </c>
      <c r="J93" s="0">
        <f>BL92*(1+Calculator!$D$19/100/12)</f>
      </c>
      <c r="K93" s="0">
        <f>BM92*(1+Calculator!$D$20/100/12)</f>
      </c>
      <c r="L93" s="0">
        <f>BN92*(1+Calculator!$D$21/100/12)</f>
      </c>
      <c r="M93" s="0">
        <f>BO92*(1+Calculator!$D$22/100/12)</f>
      </c>
      <c r="N93" s="0">
        <f>BP92*(1+Calculator!$D$23/100/12)</f>
      </c>
      <c r="O93" s="0">
        <f>BQ92*(1+Calculator!$D$24/100/12)</f>
      </c>
      <c r="P93" s="0">
        <f>BR92*(1+Calculator!$D$25/100/12)</f>
      </c>
      <c r="Q93" s="0">
        <f>BS92*(1+Calculator!$D$26/100/12)</f>
      </c>
      <c r="R93" s="0">
        <f>BT92*(1+Calculator!$D$27/100/12)</f>
      </c>
      <c r="S93" s="0">
        <f>BU92*(1+Calculator!$D$28/100/12)</f>
      </c>
      <c r="T93" s="0">
        <f>MAX(0,B93-Calculator!$E$11)</f>
      </c>
      <c r="U93" s="0">
        <f>MAX(0,C93-Calculator!$E$12)</f>
      </c>
      <c r="V93" s="0">
        <f>MAX(0,D93-Calculator!$E$13)</f>
      </c>
      <c r="W93" s="0">
        <f>MAX(0,E93-Calculator!$E$14)</f>
      </c>
      <c r="X93" s="0">
        <f>MAX(0,F93-Calculator!$E$15)</f>
      </c>
      <c r="Y93" s="0">
        <f>MAX(0,G93-Calculator!$E$16)</f>
      </c>
      <c r="Z93" s="0">
        <f>MAX(0,H93-Calculator!$E$17)</f>
      </c>
      <c r="AA93" s="0">
        <f>MAX(0,I93-Calculator!$E$18)</f>
      </c>
      <c r="AB93" s="0">
        <f>MAX(0,J93-Calculator!$E$19)</f>
      </c>
      <c r="AC93" s="0">
        <f>MAX(0,K93-Calculator!$E$20)</f>
      </c>
      <c r="AD93" s="0">
        <f>MAX(0,L93-Calculator!$E$21)</f>
      </c>
      <c r="AE93" s="0">
        <f>MAX(0,M93-Calculator!$E$22)</f>
      </c>
      <c r="AF93" s="0">
        <f>MAX(0,N93-Calculator!$E$23)</f>
      </c>
      <c r="AG93" s="0">
        <f>MAX(0,O93-Calculator!$E$24)</f>
      </c>
      <c r="AH93" s="0">
        <f>MAX(0,P93-Calculator!$E$25)</f>
      </c>
      <c r="AI93" s="0">
        <f>MAX(0,Q93-Calculator!$E$26)</f>
      </c>
      <c r="AJ93" s="0">
        <f>MAX(0,R93-Calculator!$E$27)</f>
      </c>
      <c r="AK93" s="0">
        <f>MAX(0,S93-Calculator!$E$28)</f>
      </c>
      <c r="AL93" s="0">
        <f>MAX(0,MIN(T93,BX93-SUMPRODUCT(($T$2:$AK$2&lt;T$2)*($T93:$AK93))))</f>
      </c>
      <c r="AM93" s="0">
        <f>MAX(0,MIN(U93,BX93-SUMPRODUCT(($T$2:$AK$2&lt;U$2)*($T93:$AK93))))</f>
      </c>
      <c r="AN93" s="0">
        <f>MAX(0,MIN(V93,BX93-SUMPRODUCT(($T$2:$AK$2&lt;V$2)*($T93:$AK93))))</f>
      </c>
      <c r="AO93" s="0">
        <f>MAX(0,MIN(W93,BX93-SUMPRODUCT(($T$2:$AK$2&lt;W$2)*($T93:$AK93))))</f>
      </c>
      <c r="AP93" s="0">
        <f>MAX(0,MIN(X93,BX93-SUMPRODUCT(($T$2:$AK$2&lt;X$2)*($T93:$AK93))))</f>
      </c>
      <c r="AQ93" s="0">
        <f>MAX(0,MIN(Y93,BX93-SUMPRODUCT(($T$2:$AK$2&lt;Y$2)*($T93:$AK93))))</f>
      </c>
      <c r="AR93" s="0">
        <f>MAX(0,MIN(Z93,BX93-SUMPRODUCT(($T$2:$AK$2&lt;Z$2)*($T93:$AK93))))</f>
      </c>
      <c r="AS93" s="0">
        <f>MAX(0,MIN(AA93,BX93-SUMPRODUCT(($T$2:$AK$2&lt;AA$2)*($T93:$AK93))))</f>
      </c>
      <c r="AT93" s="0">
        <f>MAX(0,MIN(AB93,BX93-SUMPRODUCT(($T$2:$AK$2&lt;AB$2)*($T93:$AK93))))</f>
      </c>
      <c r="AU93" s="0">
        <f>MAX(0,MIN(AC93,BX93-SUMPRODUCT(($T$2:$AK$2&lt;AC$2)*($T93:$AK93))))</f>
      </c>
      <c r="AV93" s="0">
        <f>MAX(0,MIN(AD93,BX93-SUMPRODUCT(($T$2:$AK$2&lt;AD$2)*($T93:$AK93))))</f>
      </c>
      <c r="AW93" s="0">
        <f>MAX(0,MIN(AE93,BX93-SUMPRODUCT(($T$2:$AK$2&lt;AE$2)*($T93:$AK93))))</f>
      </c>
      <c r="AX93" s="0">
        <f>MAX(0,MIN(AF93,BX93-SUMPRODUCT(($T$2:$AK$2&lt;AF$2)*($T93:$AK93))))</f>
      </c>
      <c r="AY93" s="0">
        <f>MAX(0,MIN(AG93,BX93-SUMPRODUCT(($T$2:$AK$2&lt;AG$2)*($T93:$AK93))))</f>
      </c>
      <c r="AZ93" s="0">
        <f>MAX(0,MIN(AH93,BX93-SUMPRODUCT(($T$2:$AK$2&lt;AH$2)*($T93:$AK93))))</f>
      </c>
      <c r="BA93" s="0">
        <f>MAX(0,MIN(AI93,BX93-SUMPRODUCT(($T$2:$AK$2&lt;AI$2)*($T93:$AK93))))</f>
      </c>
      <c r="BB93" s="0">
        <f>MAX(0,MIN(AJ93,BX93-SUMPRODUCT(($T$2:$AK$2&lt;AJ$2)*($T93:$AK93))))</f>
      </c>
      <c r="BC93" s="0">
        <f>MAX(0,MIN(AK93,BX93-SUMPRODUCT(($T$2:$AK$2&lt;AK$2)*($T93:$AK93))))</f>
      </c>
      <c r="BD93" s="0">
        <f>T93-AL93</f>
      </c>
      <c r="BE93" s="0">
        <f>U93-AM93</f>
      </c>
      <c r="BF93" s="0">
        <f>V93-AN93</f>
      </c>
      <c r="BG93" s="0">
        <f>W93-AO93</f>
      </c>
      <c r="BH93" s="0">
        <f>X93-AP93</f>
      </c>
      <c r="BI93" s="0">
        <f>Y93-AQ93</f>
      </c>
      <c r="BJ93" s="0">
        <f>Z93-AR93</f>
      </c>
      <c r="BK93" s="0">
        <f>AA93-AS93</f>
      </c>
      <c r="BL93" s="0">
        <f>AB93-AT93</f>
      </c>
      <c r="BM93" s="0">
        <f>AC93-AU93</f>
      </c>
      <c r="BN93" s="0">
        <f>AD93-AV93</f>
      </c>
      <c r="BO93" s="0">
        <f>AE93-AW93</f>
      </c>
      <c r="BP93" s="0">
        <f>AF93-AX93</f>
      </c>
      <c r="BQ93" s="0">
        <f>AG93-AY93</f>
      </c>
      <c r="BR93" s="0">
        <f>AH93-AZ93</f>
      </c>
      <c r="BS93" s="0">
        <f>AI93-BA93</f>
      </c>
      <c r="BT93" s="0">
        <f>AJ93-BB93</f>
      </c>
      <c r="BU93" s="0">
        <f>AK93-BC93</f>
      </c>
      <c r="BV93" s="0">
        <f>SUM(B93:S93)</f>
      </c>
      <c r="BW93" s="0">
        <f>SUM(T93:AK93)</f>
      </c>
      <c r="BX93" s="0">
        <f>MAX(0,(SUM(Calculator!$E$11:$E$28)+Calculator!$C$6)-BV93+BW93)</f>
      </c>
      <c r="BY93" s="0">
        <f>SUM(BD93:BU93)</f>
      </c>
      <c r="BZ93" s="0">
        <f>BV93-BY92</f>
      </c>
      <c r="CA93" s="0">
        <f>IF(A93&lt;=IF($CD$1=0,999,$CD$1),BY93,NA())</f>
      </c>
      <c r="CB93" s="0">
        <f>IF(A93&lt;=IF($CD$1=0,999,$CD$1),A93,NA())</f>
      </c>
    </row>
    <row r="94">
      <c r="A94" s="0">
        <v>91</v>
      </c>
      <c r="B94" s="0">
        <f>BD93*(1+Calculator!$D$11/100/12)</f>
      </c>
      <c r="C94" s="0">
        <f>BE93*(1+Calculator!$D$12/100/12)</f>
      </c>
      <c r="D94" s="0">
        <f>BF93*(1+Calculator!$D$13/100/12)</f>
      </c>
      <c r="E94" s="0">
        <f>BG93*(1+Calculator!$D$14/100/12)</f>
      </c>
      <c r="F94" s="0">
        <f>BH93*(1+Calculator!$D$15/100/12)</f>
      </c>
      <c r="G94" s="0">
        <f>BI93*(1+Calculator!$D$16/100/12)</f>
      </c>
      <c r="H94" s="0">
        <f>BJ93*(1+Calculator!$D$17/100/12)</f>
      </c>
      <c r="I94" s="0">
        <f>BK93*(1+Calculator!$D$18/100/12)</f>
      </c>
      <c r="J94" s="0">
        <f>BL93*(1+Calculator!$D$19/100/12)</f>
      </c>
      <c r="K94" s="0">
        <f>BM93*(1+Calculator!$D$20/100/12)</f>
      </c>
      <c r="L94" s="0">
        <f>BN93*(1+Calculator!$D$21/100/12)</f>
      </c>
      <c r="M94" s="0">
        <f>BO93*(1+Calculator!$D$22/100/12)</f>
      </c>
      <c r="N94" s="0">
        <f>BP93*(1+Calculator!$D$23/100/12)</f>
      </c>
      <c r="O94" s="0">
        <f>BQ93*(1+Calculator!$D$24/100/12)</f>
      </c>
      <c r="P94" s="0">
        <f>BR93*(1+Calculator!$D$25/100/12)</f>
      </c>
      <c r="Q94" s="0">
        <f>BS93*(1+Calculator!$D$26/100/12)</f>
      </c>
      <c r="R94" s="0">
        <f>BT93*(1+Calculator!$D$27/100/12)</f>
      </c>
      <c r="S94" s="0">
        <f>BU93*(1+Calculator!$D$28/100/12)</f>
      </c>
      <c r="T94" s="0">
        <f>MAX(0,B94-Calculator!$E$11)</f>
      </c>
      <c r="U94" s="0">
        <f>MAX(0,C94-Calculator!$E$12)</f>
      </c>
      <c r="V94" s="0">
        <f>MAX(0,D94-Calculator!$E$13)</f>
      </c>
      <c r="W94" s="0">
        <f>MAX(0,E94-Calculator!$E$14)</f>
      </c>
      <c r="X94" s="0">
        <f>MAX(0,F94-Calculator!$E$15)</f>
      </c>
      <c r="Y94" s="0">
        <f>MAX(0,G94-Calculator!$E$16)</f>
      </c>
      <c r="Z94" s="0">
        <f>MAX(0,H94-Calculator!$E$17)</f>
      </c>
      <c r="AA94" s="0">
        <f>MAX(0,I94-Calculator!$E$18)</f>
      </c>
      <c r="AB94" s="0">
        <f>MAX(0,J94-Calculator!$E$19)</f>
      </c>
      <c r="AC94" s="0">
        <f>MAX(0,K94-Calculator!$E$20)</f>
      </c>
      <c r="AD94" s="0">
        <f>MAX(0,L94-Calculator!$E$21)</f>
      </c>
      <c r="AE94" s="0">
        <f>MAX(0,M94-Calculator!$E$22)</f>
      </c>
      <c r="AF94" s="0">
        <f>MAX(0,N94-Calculator!$E$23)</f>
      </c>
      <c r="AG94" s="0">
        <f>MAX(0,O94-Calculator!$E$24)</f>
      </c>
      <c r="AH94" s="0">
        <f>MAX(0,P94-Calculator!$E$25)</f>
      </c>
      <c r="AI94" s="0">
        <f>MAX(0,Q94-Calculator!$E$26)</f>
      </c>
      <c r="AJ94" s="0">
        <f>MAX(0,R94-Calculator!$E$27)</f>
      </c>
      <c r="AK94" s="0">
        <f>MAX(0,S94-Calculator!$E$28)</f>
      </c>
      <c r="AL94" s="0">
        <f>MAX(0,MIN(T94,BX94-SUMPRODUCT(($T$2:$AK$2&lt;T$2)*($T94:$AK94))))</f>
      </c>
      <c r="AM94" s="0">
        <f>MAX(0,MIN(U94,BX94-SUMPRODUCT(($T$2:$AK$2&lt;U$2)*($T94:$AK94))))</f>
      </c>
      <c r="AN94" s="0">
        <f>MAX(0,MIN(V94,BX94-SUMPRODUCT(($T$2:$AK$2&lt;V$2)*($T94:$AK94))))</f>
      </c>
      <c r="AO94" s="0">
        <f>MAX(0,MIN(W94,BX94-SUMPRODUCT(($T$2:$AK$2&lt;W$2)*($T94:$AK94))))</f>
      </c>
      <c r="AP94" s="0">
        <f>MAX(0,MIN(X94,BX94-SUMPRODUCT(($T$2:$AK$2&lt;X$2)*($T94:$AK94))))</f>
      </c>
      <c r="AQ94" s="0">
        <f>MAX(0,MIN(Y94,BX94-SUMPRODUCT(($T$2:$AK$2&lt;Y$2)*($T94:$AK94))))</f>
      </c>
      <c r="AR94" s="0">
        <f>MAX(0,MIN(Z94,BX94-SUMPRODUCT(($T$2:$AK$2&lt;Z$2)*($T94:$AK94))))</f>
      </c>
      <c r="AS94" s="0">
        <f>MAX(0,MIN(AA94,BX94-SUMPRODUCT(($T$2:$AK$2&lt;AA$2)*($T94:$AK94))))</f>
      </c>
      <c r="AT94" s="0">
        <f>MAX(0,MIN(AB94,BX94-SUMPRODUCT(($T$2:$AK$2&lt;AB$2)*($T94:$AK94))))</f>
      </c>
      <c r="AU94" s="0">
        <f>MAX(0,MIN(AC94,BX94-SUMPRODUCT(($T$2:$AK$2&lt;AC$2)*($T94:$AK94))))</f>
      </c>
      <c r="AV94" s="0">
        <f>MAX(0,MIN(AD94,BX94-SUMPRODUCT(($T$2:$AK$2&lt;AD$2)*($T94:$AK94))))</f>
      </c>
      <c r="AW94" s="0">
        <f>MAX(0,MIN(AE94,BX94-SUMPRODUCT(($T$2:$AK$2&lt;AE$2)*($T94:$AK94))))</f>
      </c>
      <c r="AX94" s="0">
        <f>MAX(0,MIN(AF94,BX94-SUMPRODUCT(($T$2:$AK$2&lt;AF$2)*($T94:$AK94))))</f>
      </c>
      <c r="AY94" s="0">
        <f>MAX(0,MIN(AG94,BX94-SUMPRODUCT(($T$2:$AK$2&lt;AG$2)*($T94:$AK94))))</f>
      </c>
      <c r="AZ94" s="0">
        <f>MAX(0,MIN(AH94,BX94-SUMPRODUCT(($T$2:$AK$2&lt;AH$2)*($T94:$AK94))))</f>
      </c>
      <c r="BA94" s="0">
        <f>MAX(0,MIN(AI94,BX94-SUMPRODUCT(($T$2:$AK$2&lt;AI$2)*($T94:$AK94))))</f>
      </c>
      <c r="BB94" s="0">
        <f>MAX(0,MIN(AJ94,BX94-SUMPRODUCT(($T$2:$AK$2&lt;AJ$2)*($T94:$AK94))))</f>
      </c>
      <c r="BC94" s="0">
        <f>MAX(0,MIN(AK94,BX94-SUMPRODUCT(($T$2:$AK$2&lt;AK$2)*($T94:$AK94))))</f>
      </c>
      <c r="BD94" s="0">
        <f>T94-AL94</f>
      </c>
      <c r="BE94" s="0">
        <f>U94-AM94</f>
      </c>
      <c r="BF94" s="0">
        <f>V94-AN94</f>
      </c>
      <c r="BG94" s="0">
        <f>W94-AO94</f>
      </c>
      <c r="BH94" s="0">
        <f>X94-AP94</f>
      </c>
      <c r="BI94" s="0">
        <f>Y94-AQ94</f>
      </c>
      <c r="BJ94" s="0">
        <f>Z94-AR94</f>
      </c>
      <c r="BK94" s="0">
        <f>AA94-AS94</f>
      </c>
      <c r="BL94" s="0">
        <f>AB94-AT94</f>
      </c>
      <c r="BM94" s="0">
        <f>AC94-AU94</f>
      </c>
      <c r="BN94" s="0">
        <f>AD94-AV94</f>
      </c>
      <c r="BO94" s="0">
        <f>AE94-AW94</f>
      </c>
      <c r="BP94" s="0">
        <f>AF94-AX94</f>
      </c>
      <c r="BQ94" s="0">
        <f>AG94-AY94</f>
      </c>
      <c r="BR94" s="0">
        <f>AH94-AZ94</f>
      </c>
      <c r="BS94" s="0">
        <f>AI94-BA94</f>
      </c>
      <c r="BT94" s="0">
        <f>AJ94-BB94</f>
      </c>
      <c r="BU94" s="0">
        <f>AK94-BC94</f>
      </c>
      <c r="BV94" s="0">
        <f>SUM(B94:S94)</f>
      </c>
      <c r="BW94" s="0">
        <f>SUM(T94:AK94)</f>
      </c>
      <c r="BX94" s="0">
        <f>MAX(0,(SUM(Calculator!$E$11:$E$28)+Calculator!$C$6)-BV94+BW94)</f>
      </c>
      <c r="BY94" s="0">
        <f>SUM(BD94:BU94)</f>
      </c>
      <c r="BZ94" s="0">
        <f>BV94-BY93</f>
      </c>
      <c r="CA94" s="0">
        <f>IF(A94&lt;=IF($CD$1=0,999,$CD$1),BY94,NA())</f>
      </c>
      <c r="CB94" s="0">
        <f>IF(A94&lt;=IF($CD$1=0,999,$CD$1),A94,NA())</f>
      </c>
    </row>
    <row r="95">
      <c r="A95" s="0">
        <v>92</v>
      </c>
      <c r="B95" s="0">
        <f>BD94*(1+Calculator!$D$11/100/12)</f>
      </c>
      <c r="C95" s="0">
        <f>BE94*(1+Calculator!$D$12/100/12)</f>
      </c>
      <c r="D95" s="0">
        <f>BF94*(1+Calculator!$D$13/100/12)</f>
      </c>
      <c r="E95" s="0">
        <f>BG94*(1+Calculator!$D$14/100/12)</f>
      </c>
      <c r="F95" s="0">
        <f>BH94*(1+Calculator!$D$15/100/12)</f>
      </c>
      <c r="G95" s="0">
        <f>BI94*(1+Calculator!$D$16/100/12)</f>
      </c>
      <c r="H95" s="0">
        <f>BJ94*(1+Calculator!$D$17/100/12)</f>
      </c>
      <c r="I95" s="0">
        <f>BK94*(1+Calculator!$D$18/100/12)</f>
      </c>
      <c r="J95" s="0">
        <f>BL94*(1+Calculator!$D$19/100/12)</f>
      </c>
      <c r="K95" s="0">
        <f>BM94*(1+Calculator!$D$20/100/12)</f>
      </c>
      <c r="L95" s="0">
        <f>BN94*(1+Calculator!$D$21/100/12)</f>
      </c>
      <c r="M95" s="0">
        <f>BO94*(1+Calculator!$D$22/100/12)</f>
      </c>
      <c r="N95" s="0">
        <f>BP94*(1+Calculator!$D$23/100/12)</f>
      </c>
      <c r="O95" s="0">
        <f>BQ94*(1+Calculator!$D$24/100/12)</f>
      </c>
      <c r="P95" s="0">
        <f>BR94*(1+Calculator!$D$25/100/12)</f>
      </c>
      <c r="Q95" s="0">
        <f>BS94*(1+Calculator!$D$26/100/12)</f>
      </c>
      <c r="R95" s="0">
        <f>BT94*(1+Calculator!$D$27/100/12)</f>
      </c>
      <c r="S95" s="0">
        <f>BU94*(1+Calculator!$D$28/100/12)</f>
      </c>
      <c r="T95" s="0">
        <f>MAX(0,B95-Calculator!$E$11)</f>
      </c>
      <c r="U95" s="0">
        <f>MAX(0,C95-Calculator!$E$12)</f>
      </c>
      <c r="V95" s="0">
        <f>MAX(0,D95-Calculator!$E$13)</f>
      </c>
      <c r="W95" s="0">
        <f>MAX(0,E95-Calculator!$E$14)</f>
      </c>
      <c r="X95" s="0">
        <f>MAX(0,F95-Calculator!$E$15)</f>
      </c>
      <c r="Y95" s="0">
        <f>MAX(0,G95-Calculator!$E$16)</f>
      </c>
      <c r="Z95" s="0">
        <f>MAX(0,H95-Calculator!$E$17)</f>
      </c>
      <c r="AA95" s="0">
        <f>MAX(0,I95-Calculator!$E$18)</f>
      </c>
      <c r="AB95" s="0">
        <f>MAX(0,J95-Calculator!$E$19)</f>
      </c>
      <c r="AC95" s="0">
        <f>MAX(0,K95-Calculator!$E$20)</f>
      </c>
      <c r="AD95" s="0">
        <f>MAX(0,L95-Calculator!$E$21)</f>
      </c>
      <c r="AE95" s="0">
        <f>MAX(0,M95-Calculator!$E$22)</f>
      </c>
      <c r="AF95" s="0">
        <f>MAX(0,N95-Calculator!$E$23)</f>
      </c>
      <c r="AG95" s="0">
        <f>MAX(0,O95-Calculator!$E$24)</f>
      </c>
      <c r="AH95" s="0">
        <f>MAX(0,P95-Calculator!$E$25)</f>
      </c>
      <c r="AI95" s="0">
        <f>MAX(0,Q95-Calculator!$E$26)</f>
      </c>
      <c r="AJ95" s="0">
        <f>MAX(0,R95-Calculator!$E$27)</f>
      </c>
      <c r="AK95" s="0">
        <f>MAX(0,S95-Calculator!$E$28)</f>
      </c>
      <c r="AL95" s="0">
        <f>MAX(0,MIN(T95,BX95-SUMPRODUCT(($T$2:$AK$2&lt;T$2)*($T95:$AK95))))</f>
      </c>
      <c r="AM95" s="0">
        <f>MAX(0,MIN(U95,BX95-SUMPRODUCT(($T$2:$AK$2&lt;U$2)*($T95:$AK95))))</f>
      </c>
      <c r="AN95" s="0">
        <f>MAX(0,MIN(V95,BX95-SUMPRODUCT(($T$2:$AK$2&lt;V$2)*($T95:$AK95))))</f>
      </c>
      <c r="AO95" s="0">
        <f>MAX(0,MIN(W95,BX95-SUMPRODUCT(($T$2:$AK$2&lt;W$2)*($T95:$AK95))))</f>
      </c>
      <c r="AP95" s="0">
        <f>MAX(0,MIN(X95,BX95-SUMPRODUCT(($T$2:$AK$2&lt;X$2)*($T95:$AK95))))</f>
      </c>
      <c r="AQ95" s="0">
        <f>MAX(0,MIN(Y95,BX95-SUMPRODUCT(($T$2:$AK$2&lt;Y$2)*($T95:$AK95))))</f>
      </c>
      <c r="AR95" s="0">
        <f>MAX(0,MIN(Z95,BX95-SUMPRODUCT(($T$2:$AK$2&lt;Z$2)*($T95:$AK95))))</f>
      </c>
      <c r="AS95" s="0">
        <f>MAX(0,MIN(AA95,BX95-SUMPRODUCT(($T$2:$AK$2&lt;AA$2)*($T95:$AK95))))</f>
      </c>
      <c r="AT95" s="0">
        <f>MAX(0,MIN(AB95,BX95-SUMPRODUCT(($T$2:$AK$2&lt;AB$2)*($T95:$AK95))))</f>
      </c>
      <c r="AU95" s="0">
        <f>MAX(0,MIN(AC95,BX95-SUMPRODUCT(($T$2:$AK$2&lt;AC$2)*($T95:$AK95))))</f>
      </c>
      <c r="AV95" s="0">
        <f>MAX(0,MIN(AD95,BX95-SUMPRODUCT(($T$2:$AK$2&lt;AD$2)*($T95:$AK95))))</f>
      </c>
      <c r="AW95" s="0">
        <f>MAX(0,MIN(AE95,BX95-SUMPRODUCT(($T$2:$AK$2&lt;AE$2)*($T95:$AK95))))</f>
      </c>
      <c r="AX95" s="0">
        <f>MAX(0,MIN(AF95,BX95-SUMPRODUCT(($T$2:$AK$2&lt;AF$2)*($T95:$AK95))))</f>
      </c>
      <c r="AY95" s="0">
        <f>MAX(0,MIN(AG95,BX95-SUMPRODUCT(($T$2:$AK$2&lt;AG$2)*($T95:$AK95))))</f>
      </c>
      <c r="AZ95" s="0">
        <f>MAX(0,MIN(AH95,BX95-SUMPRODUCT(($T$2:$AK$2&lt;AH$2)*($T95:$AK95))))</f>
      </c>
      <c r="BA95" s="0">
        <f>MAX(0,MIN(AI95,BX95-SUMPRODUCT(($T$2:$AK$2&lt;AI$2)*($T95:$AK95))))</f>
      </c>
      <c r="BB95" s="0">
        <f>MAX(0,MIN(AJ95,BX95-SUMPRODUCT(($T$2:$AK$2&lt;AJ$2)*($T95:$AK95))))</f>
      </c>
      <c r="BC95" s="0">
        <f>MAX(0,MIN(AK95,BX95-SUMPRODUCT(($T$2:$AK$2&lt;AK$2)*($T95:$AK95))))</f>
      </c>
      <c r="BD95" s="0">
        <f>T95-AL95</f>
      </c>
      <c r="BE95" s="0">
        <f>U95-AM95</f>
      </c>
      <c r="BF95" s="0">
        <f>V95-AN95</f>
      </c>
      <c r="BG95" s="0">
        <f>W95-AO95</f>
      </c>
      <c r="BH95" s="0">
        <f>X95-AP95</f>
      </c>
      <c r="BI95" s="0">
        <f>Y95-AQ95</f>
      </c>
      <c r="BJ95" s="0">
        <f>Z95-AR95</f>
      </c>
      <c r="BK95" s="0">
        <f>AA95-AS95</f>
      </c>
      <c r="BL95" s="0">
        <f>AB95-AT95</f>
      </c>
      <c r="BM95" s="0">
        <f>AC95-AU95</f>
      </c>
      <c r="BN95" s="0">
        <f>AD95-AV95</f>
      </c>
      <c r="BO95" s="0">
        <f>AE95-AW95</f>
      </c>
      <c r="BP95" s="0">
        <f>AF95-AX95</f>
      </c>
      <c r="BQ95" s="0">
        <f>AG95-AY95</f>
      </c>
      <c r="BR95" s="0">
        <f>AH95-AZ95</f>
      </c>
      <c r="BS95" s="0">
        <f>AI95-BA95</f>
      </c>
      <c r="BT95" s="0">
        <f>AJ95-BB95</f>
      </c>
      <c r="BU95" s="0">
        <f>AK95-BC95</f>
      </c>
      <c r="BV95" s="0">
        <f>SUM(B95:S95)</f>
      </c>
      <c r="BW95" s="0">
        <f>SUM(T95:AK95)</f>
      </c>
      <c r="BX95" s="0">
        <f>MAX(0,(SUM(Calculator!$E$11:$E$28)+Calculator!$C$6)-BV95+BW95)</f>
      </c>
      <c r="BY95" s="0">
        <f>SUM(BD95:BU95)</f>
      </c>
      <c r="BZ95" s="0">
        <f>BV95-BY94</f>
      </c>
      <c r="CA95" s="0">
        <f>IF(A95&lt;=IF($CD$1=0,999,$CD$1),BY95,NA())</f>
      </c>
      <c r="CB95" s="0">
        <f>IF(A95&lt;=IF($CD$1=0,999,$CD$1),A95,NA())</f>
      </c>
    </row>
    <row r="96">
      <c r="A96" s="0">
        <v>93</v>
      </c>
      <c r="B96" s="0">
        <f>BD95*(1+Calculator!$D$11/100/12)</f>
      </c>
      <c r="C96" s="0">
        <f>BE95*(1+Calculator!$D$12/100/12)</f>
      </c>
      <c r="D96" s="0">
        <f>BF95*(1+Calculator!$D$13/100/12)</f>
      </c>
      <c r="E96" s="0">
        <f>BG95*(1+Calculator!$D$14/100/12)</f>
      </c>
      <c r="F96" s="0">
        <f>BH95*(1+Calculator!$D$15/100/12)</f>
      </c>
      <c r="G96" s="0">
        <f>BI95*(1+Calculator!$D$16/100/12)</f>
      </c>
      <c r="H96" s="0">
        <f>BJ95*(1+Calculator!$D$17/100/12)</f>
      </c>
      <c r="I96" s="0">
        <f>BK95*(1+Calculator!$D$18/100/12)</f>
      </c>
      <c r="J96" s="0">
        <f>BL95*(1+Calculator!$D$19/100/12)</f>
      </c>
      <c r="K96" s="0">
        <f>BM95*(1+Calculator!$D$20/100/12)</f>
      </c>
      <c r="L96" s="0">
        <f>BN95*(1+Calculator!$D$21/100/12)</f>
      </c>
      <c r="M96" s="0">
        <f>BO95*(1+Calculator!$D$22/100/12)</f>
      </c>
      <c r="N96" s="0">
        <f>BP95*(1+Calculator!$D$23/100/12)</f>
      </c>
      <c r="O96" s="0">
        <f>BQ95*(1+Calculator!$D$24/100/12)</f>
      </c>
      <c r="P96" s="0">
        <f>BR95*(1+Calculator!$D$25/100/12)</f>
      </c>
      <c r="Q96" s="0">
        <f>BS95*(1+Calculator!$D$26/100/12)</f>
      </c>
      <c r="R96" s="0">
        <f>BT95*(1+Calculator!$D$27/100/12)</f>
      </c>
      <c r="S96" s="0">
        <f>BU95*(1+Calculator!$D$28/100/12)</f>
      </c>
      <c r="T96" s="0">
        <f>MAX(0,B96-Calculator!$E$11)</f>
      </c>
      <c r="U96" s="0">
        <f>MAX(0,C96-Calculator!$E$12)</f>
      </c>
      <c r="V96" s="0">
        <f>MAX(0,D96-Calculator!$E$13)</f>
      </c>
      <c r="W96" s="0">
        <f>MAX(0,E96-Calculator!$E$14)</f>
      </c>
      <c r="X96" s="0">
        <f>MAX(0,F96-Calculator!$E$15)</f>
      </c>
      <c r="Y96" s="0">
        <f>MAX(0,G96-Calculator!$E$16)</f>
      </c>
      <c r="Z96" s="0">
        <f>MAX(0,H96-Calculator!$E$17)</f>
      </c>
      <c r="AA96" s="0">
        <f>MAX(0,I96-Calculator!$E$18)</f>
      </c>
      <c r="AB96" s="0">
        <f>MAX(0,J96-Calculator!$E$19)</f>
      </c>
      <c r="AC96" s="0">
        <f>MAX(0,K96-Calculator!$E$20)</f>
      </c>
      <c r="AD96" s="0">
        <f>MAX(0,L96-Calculator!$E$21)</f>
      </c>
      <c r="AE96" s="0">
        <f>MAX(0,M96-Calculator!$E$22)</f>
      </c>
      <c r="AF96" s="0">
        <f>MAX(0,N96-Calculator!$E$23)</f>
      </c>
      <c r="AG96" s="0">
        <f>MAX(0,O96-Calculator!$E$24)</f>
      </c>
      <c r="AH96" s="0">
        <f>MAX(0,P96-Calculator!$E$25)</f>
      </c>
      <c r="AI96" s="0">
        <f>MAX(0,Q96-Calculator!$E$26)</f>
      </c>
      <c r="AJ96" s="0">
        <f>MAX(0,R96-Calculator!$E$27)</f>
      </c>
      <c r="AK96" s="0">
        <f>MAX(0,S96-Calculator!$E$28)</f>
      </c>
      <c r="AL96" s="0">
        <f>MAX(0,MIN(T96,BX96-SUMPRODUCT(($T$2:$AK$2&lt;T$2)*($T96:$AK96))))</f>
      </c>
      <c r="AM96" s="0">
        <f>MAX(0,MIN(U96,BX96-SUMPRODUCT(($T$2:$AK$2&lt;U$2)*($T96:$AK96))))</f>
      </c>
      <c r="AN96" s="0">
        <f>MAX(0,MIN(V96,BX96-SUMPRODUCT(($T$2:$AK$2&lt;V$2)*($T96:$AK96))))</f>
      </c>
      <c r="AO96" s="0">
        <f>MAX(0,MIN(W96,BX96-SUMPRODUCT(($T$2:$AK$2&lt;W$2)*($T96:$AK96))))</f>
      </c>
      <c r="AP96" s="0">
        <f>MAX(0,MIN(X96,BX96-SUMPRODUCT(($T$2:$AK$2&lt;X$2)*($T96:$AK96))))</f>
      </c>
      <c r="AQ96" s="0">
        <f>MAX(0,MIN(Y96,BX96-SUMPRODUCT(($T$2:$AK$2&lt;Y$2)*($T96:$AK96))))</f>
      </c>
      <c r="AR96" s="0">
        <f>MAX(0,MIN(Z96,BX96-SUMPRODUCT(($T$2:$AK$2&lt;Z$2)*($T96:$AK96))))</f>
      </c>
      <c r="AS96" s="0">
        <f>MAX(0,MIN(AA96,BX96-SUMPRODUCT(($T$2:$AK$2&lt;AA$2)*($T96:$AK96))))</f>
      </c>
      <c r="AT96" s="0">
        <f>MAX(0,MIN(AB96,BX96-SUMPRODUCT(($T$2:$AK$2&lt;AB$2)*($T96:$AK96))))</f>
      </c>
      <c r="AU96" s="0">
        <f>MAX(0,MIN(AC96,BX96-SUMPRODUCT(($T$2:$AK$2&lt;AC$2)*($T96:$AK96))))</f>
      </c>
      <c r="AV96" s="0">
        <f>MAX(0,MIN(AD96,BX96-SUMPRODUCT(($T$2:$AK$2&lt;AD$2)*($T96:$AK96))))</f>
      </c>
      <c r="AW96" s="0">
        <f>MAX(0,MIN(AE96,BX96-SUMPRODUCT(($T$2:$AK$2&lt;AE$2)*($T96:$AK96))))</f>
      </c>
      <c r="AX96" s="0">
        <f>MAX(0,MIN(AF96,BX96-SUMPRODUCT(($T$2:$AK$2&lt;AF$2)*($T96:$AK96))))</f>
      </c>
      <c r="AY96" s="0">
        <f>MAX(0,MIN(AG96,BX96-SUMPRODUCT(($T$2:$AK$2&lt;AG$2)*($T96:$AK96))))</f>
      </c>
      <c r="AZ96" s="0">
        <f>MAX(0,MIN(AH96,BX96-SUMPRODUCT(($T$2:$AK$2&lt;AH$2)*($T96:$AK96))))</f>
      </c>
      <c r="BA96" s="0">
        <f>MAX(0,MIN(AI96,BX96-SUMPRODUCT(($T$2:$AK$2&lt;AI$2)*($T96:$AK96))))</f>
      </c>
      <c r="BB96" s="0">
        <f>MAX(0,MIN(AJ96,BX96-SUMPRODUCT(($T$2:$AK$2&lt;AJ$2)*($T96:$AK96))))</f>
      </c>
      <c r="BC96" s="0">
        <f>MAX(0,MIN(AK96,BX96-SUMPRODUCT(($T$2:$AK$2&lt;AK$2)*($T96:$AK96))))</f>
      </c>
      <c r="BD96" s="0">
        <f>T96-AL96</f>
      </c>
      <c r="BE96" s="0">
        <f>U96-AM96</f>
      </c>
      <c r="BF96" s="0">
        <f>V96-AN96</f>
      </c>
      <c r="BG96" s="0">
        <f>W96-AO96</f>
      </c>
      <c r="BH96" s="0">
        <f>X96-AP96</f>
      </c>
      <c r="BI96" s="0">
        <f>Y96-AQ96</f>
      </c>
      <c r="BJ96" s="0">
        <f>Z96-AR96</f>
      </c>
      <c r="BK96" s="0">
        <f>AA96-AS96</f>
      </c>
      <c r="BL96" s="0">
        <f>AB96-AT96</f>
      </c>
      <c r="BM96" s="0">
        <f>AC96-AU96</f>
      </c>
      <c r="BN96" s="0">
        <f>AD96-AV96</f>
      </c>
      <c r="BO96" s="0">
        <f>AE96-AW96</f>
      </c>
      <c r="BP96" s="0">
        <f>AF96-AX96</f>
      </c>
      <c r="BQ96" s="0">
        <f>AG96-AY96</f>
      </c>
      <c r="BR96" s="0">
        <f>AH96-AZ96</f>
      </c>
      <c r="BS96" s="0">
        <f>AI96-BA96</f>
      </c>
      <c r="BT96" s="0">
        <f>AJ96-BB96</f>
      </c>
      <c r="BU96" s="0">
        <f>AK96-BC96</f>
      </c>
      <c r="BV96" s="0">
        <f>SUM(B96:S96)</f>
      </c>
      <c r="BW96" s="0">
        <f>SUM(T96:AK96)</f>
      </c>
      <c r="BX96" s="0">
        <f>MAX(0,(SUM(Calculator!$E$11:$E$28)+Calculator!$C$6)-BV96+BW96)</f>
      </c>
      <c r="BY96" s="0">
        <f>SUM(BD96:BU96)</f>
      </c>
      <c r="BZ96" s="0">
        <f>BV96-BY95</f>
      </c>
      <c r="CA96" s="0">
        <f>IF(A96&lt;=IF($CD$1=0,999,$CD$1),BY96,NA())</f>
      </c>
      <c r="CB96" s="0">
        <f>IF(A96&lt;=IF($CD$1=0,999,$CD$1),A96,NA())</f>
      </c>
    </row>
    <row r="97">
      <c r="A97" s="0">
        <v>94</v>
      </c>
      <c r="B97" s="0">
        <f>BD96*(1+Calculator!$D$11/100/12)</f>
      </c>
      <c r="C97" s="0">
        <f>BE96*(1+Calculator!$D$12/100/12)</f>
      </c>
      <c r="D97" s="0">
        <f>BF96*(1+Calculator!$D$13/100/12)</f>
      </c>
      <c r="E97" s="0">
        <f>BG96*(1+Calculator!$D$14/100/12)</f>
      </c>
      <c r="F97" s="0">
        <f>BH96*(1+Calculator!$D$15/100/12)</f>
      </c>
      <c r="G97" s="0">
        <f>BI96*(1+Calculator!$D$16/100/12)</f>
      </c>
      <c r="H97" s="0">
        <f>BJ96*(1+Calculator!$D$17/100/12)</f>
      </c>
      <c r="I97" s="0">
        <f>BK96*(1+Calculator!$D$18/100/12)</f>
      </c>
      <c r="J97" s="0">
        <f>BL96*(1+Calculator!$D$19/100/12)</f>
      </c>
      <c r="K97" s="0">
        <f>BM96*(1+Calculator!$D$20/100/12)</f>
      </c>
      <c r="L97" s="0">
        <f>BN96*(1+Calculator!$D$21/100/12)</f>
      </c>
      <c r="M97" s="0">
        <f>BO96*(1+Calculator!$D$22/100/12)</f>
      </c>
      <c r="N97" s="0">
        <f>BP96*(1+Calculator!$D$23/100/12)</f>
      </c>
      <c r="O97" s="0">
        <f>BQ96*(1+Calculator!$D$24/100/12)</f>
      </c>
      <c r="P97" s="0">
        <f>BR96*(1+Calculator!$D$25/100/12)</f>
      </c>
      <c r="Q97" s="0">
        <f>BS96*(1+Calculator!$D$26/100/12)</f>
      </c>
      <c r="R97" s="0">
        <f>BT96*(1+Calculator!$D$27/100/12)</f>
      </c>
      <c r="S97" s="0">
        <f>BU96*(1+Calculator!$D$28/100/12)</f>
      </c>
      <c r="T97" s="0">
        <f>MAX(0,B97-Calculator!$E$11)</f>
      </c>
      <c r="U97" s="0">
        <f>MAX(0,C97-Calculator!$E$12)</f>
      </c>
      <c r="V97" s="0">
        <f>MAX(0,D97-Calculator!$E$13)</f>
      </c>
      <c r="W97" s="0">
        <f>MAX(0,E97-Calculator!$E$14)</f>
      </c>
      <c r="X97" s="0">
        <f>MAX(0,F97-Calculator!$E$15)</f>
      </c>
      <c r="Y97" s="0">
        <f>MAX(0,G97-Calculator!$E$16)</f>
      </c>
      <c r="Z97" s="0">
        <f>MAX(0,H97-Calculator!$E$17)</f>
      </c>
      <c r="AA97" s="0">
        <f>MAX(0,I97-Calculator!$E$18)</f>
      </c>
      <c r="AB97" s="0">
        <f>MAX(0,J97-Calculator!$E$19)</f>
      </c>
      <c r="AC97" s="0">
        <f>MAX(0,K97-Calculator!$E$20)</f>
      </c>
      <c r="AD97" s="0">
        <f>MAX(0,L97-Calculator!$E$21)</f>
      </c>
      <c r="AE97" s="0">
        <f>MAX(0,M97-Calculator!$E$22)</f>
      </c>
      <c r="AF97" s="0">
        <f>MAX(0,N97-Calculator!$E$23)</f>
      </c>
      <c r="AG97" s="0">
        <f>MAX(0,O97-Calculator!$E$24)</f>
      </c>
      <c r="AH97" s="0">
        <f>MAX(0,P97-Calculator!$E$25)</f>
      </c>
      <c r="AI97" s="0">
        <f>MAX(0,Q97-Calculator!$E$26)</f>
      </c>
      <c r="AJ97" s="0">
        <f>MAX(0,R97-Calculator!$E$27)</f>
      </c>
      <c r="AK97" s="0">
        <f>MAX(0,S97-Calculator!$E$28)</f>
      </c>
      <c r="AL97" s="0">
        <f>MAX(0,MIN(T97,BX97-SUMPRODUCT(($T$2:$AK$2&lt;T$2)*($T97:$AK97))))</f>
      </c>
      <c r="AM97" s="0">
        <f>MAX(0,MIN(U97,BX97-SUMPRODUCT(($T$2:$AK$2&lt;U$2)*($T97:$AK97))))</f>
      </c>
      <c r="AN97" s="0">
        <f>MAX(0,MIN(V97,BX97-SUMPRODUCT(($T$2:$AK$2&lt;V$2)*($T97:$AK97))))</f>
      </c>
      <c r="AO97" s="0">
        <f>MAX(0,MIN(W97,BX97-SUMPRODUCT(($T$2:$AK$2&lt;W$2)*($T97:$AK97))))</f>
      </c>
      <c r="AP97" s="0">
        <f>MAX(0,MIN(X97,BX97-SUMPRODUCT(($T$2:$AK$2&lt;X$2)*($T97:$AK97))))</f>
      </c>
      <c r="AQ97" s="0">
        <f>MAX(0,MIN(Y97,BX97-SUMPRODUCT(($T$2:$AK$2&lt;Y$2)*($T97:$AK97))))</f>
      </c>
      <c r="AR97" s="0">
        <f>MAX(0,MIN(Z97,BX97-SUMPRODUCT(($T$2:$AK$2&lt;Z$2)*($T97:$AK97))))</f>
      </c>
      <c r="AS97" s="0">
        <f>MAX(0,MIN(AA97,BX97-SUMPRODUCT(($T$2:$AK$2&lt;AA$2)*($T97:$AK97))))</f>
      </c>
      <c r="AT97" s="0">
        <f>MAX(0,MIN(AB97,BX97-SUMPRODUCT(($T$2:$AK$2&lt;AB$2)*($T97:$AK97))))</f>
      </c>
      <c r="AU97" s="0">
        <f>MAX(0,MIN(AC97,BX97-SUMPRODUCT(($T$2:$AK$2&lt;AC$2)*($T97:$AK97))))</f>
      </c>
      <c r="AV97" s="0">
        <f>MAX(0,MIN(AD97,BX97-SUMPRODUCT(($T$2:$AK$2&lt;AD$2)*($T97:$AK97))))</f>
      </c>
      <c r="AW97" s="0">
        <f>MAX(0,MIN(AE97,BX97-SUMPRODUCT(($T$2:$AK$2&lt;AE$2)*($T97:$AK97))))</f>
      </c>
      <c r="AX97" s="0">
        <f>MAX(0,MIN(AF97,BX97-SUMPRODUCT(($T$2:$AK$2&lt;AF$2)*($T97:$AK97))))</f>
      </c>
      <c r="AY97" s="0">
        <f>MAX(0,MIN(AG97,BX97-SUMPRODUCT(($T$2:$AK$2&lt;AG$2)*($T97:$AK97))))</f>
      </c>
      <c r="AZ97" s="0">
        <f>MAX(0,MIN(AH97,BX97-SUMPRODUCT(($T$2:$AK$2&lt;AH$2)*($T97:$AK97))))</f>
      </c>
      <c r="BA97" s="0">
        <f>MAX(0,MIN(AI97,BX97-SUMPRODUCT(($T$2:$AK$2&lt;AI$2)*($T97:$AK97))))</f>
      </c>
      <c r="BB97" s="0">
        <f>MAX(0,MIN(AJ97,BX97-SUMPRODUCT(($T$2:$AK$2&lt;AJ$2)*($T97:$AK97))))</f>
      </c>
      <c r="BC97" s="0">
        <f>MAX(0,MIN(AK97,BX97-SUMPRODUCT(($T$2:$AK$2&lt;AK$2)*($T97:$AK97))))</f>
      </c>
      <c r="BD97" s="0">
        <f>T97-AL97</f>
      </c>
      <c r="BE97" s="0">
        <f>U97-AM97</f>
      </c>
      <c r="BF97" s="0">
        <f>V97-AN97</f>
      </c>
      <c r="BG97" s="0">
        <f>W97-AO97</f>
      </c>
      <c r="BH97" s="0">
        <f>X97-AP97</f>
      </c>
      <c r="BI97" s="0">
        <f>Y97-AQ97</f>
      </c>
      <c r="BJ97" s="0">
        <f>Z97-AR97</f>
      </c>
      <c r="BK97" s="0">
        <f>AA97-AS97</f>
      </c>
      <c r="BL97" s="0">
        <f>AB97-AT97</f>
      </c>
      <c r="BM97" s="0">
        <f>AC97-AU97</f>
      </c>
      <c r="BN97" s="0">
        <f>AD97-AV97</f>
      </c>
      <c r="BO97" s="0">
        <f>AE97-AW97</f>
      </c>
      <c r="BP97" s="0">
        <f>AF97-AX97</f>
      </c>
      <c r="BQ97" s="0">
        <f>AG97-AY97</f>
      </c>
      <c r="BR97" s="0">
        <f>AH97-AZ97</f>
      </c>
      <c r="BS97" s="0">
        <f>AI97-BA97</f>
      </c>
      <c r="BT97" s="0">
        <f>AJ97-BB97</f>
      </c>
      <c r="BU97" s="0">
        <f>AK97-BC97</f>
      </c>
      <c r="BV97" s="0">
        <f>SUM(B97:S97)</f>
      </c>
      <c r="BW97" s="0">
        <f>SUM(T97:AK97)</f>
      </c>
      <c r="BX97" s="0">
        <f>MAX(0,(SUM(Calculator!$E$11:$E$28)+Calculator!$C$6)-BV97+BW97)</f>
      </c>
      <c r="BY97" s="0">
        <f>SUM(BD97:BU97)</f>
      </c>
      <c r="BZ97" s="0">
        <f>BV97-BY96</f>
      </c>
      <c r="CA97" s="0">
        <f>IF(A97&lt;=IF($CD$1=0,999,$CD$1),BY97,NA())</f>
      </c>
      <c r="CB97" s="0">
        <f>IF(A97&lt;=IF($CD$1=0,999,$CD$1),A97,NA())</f>
      </c>
    </row>
    <row r="98">
      <c r="A98" s="0">
        <v>95</v>
      </c>
      <c r="B98" s="0">
        <f>BD97*(1+Calculator!$D$11/100/12)</f>
      </c>
      <c r="C98" s="0">
        <f>BE97*(1+Calculator!$D$12/100/12)</f>
      </c>
      <c r="D98" s="0">
        <f>BF97*(1+Calculator!$D$13/100/12)</f>
      </c>
      <c r="E98" s="0">
        <f>BG97*(1+Calculator!$D$14/100/12)</f>
      </c>
      <c r="F98" s="0">
        <f>BH97*(1+Calculator!$D$15/100/12)</f>
      </c>
      <c r="G98" s="0">
        <f>BI97*(1+Calculator!$D$16/100/12)</f>
      </c>
      <c r="H98" s="0">
        <f>BJ97*(1+Calculator!$D$17/100/12)</f>
      </c>
      <c r="I98" s="0">
        <f>BK97*(1+Calculator!$D$18/100/12)</f>
      </c>
      <c r="J98" s="0">
        <f>BL97*(1+Calculator!$D$19/100/12)</f>
      </c>
      <c r="K98" s="0">
        <f>BM97*(1+Calculator!$D$20/100/12)</f>
      </c>
      <c r="L98" s="0">
        <f>BN97*(1+Calculator!$D$21/100/12)</f>
      </c>
      <c r="M98" s="0">
        <f>BO97*(1+Calculator!$D$22/100/12)</f>
      </c>
      <c r="N98" s="0">
        <f>BP97*(1+Calculator!$D$23/100/12)</f>
      </c>
      <c r="O98" s="0">
        <f>BQ97*(1+Calculator!$D$24/100/12)</f>
      </c>
      <c r="P98" s="0">
        <f>BR97*(1+Calculator!$D$25/100/12)</f>
      </c>
      <c r="Q98" s="0">
        <f>BS97*(1+Calculator!$D$26/100/12)</f>
      </c>
      <c r="R98" s="0">
        <f>BT97*(1+Calculator!$D$27/100/12)</f>
      </c>
      <c r="S98" s="0">
        <f>BU97*(1+Calculator!$D$28/100/12)</f>
      </c>
      <c r="T98" s="0">
        <f>MAX(0,B98-Calculator!$E$11)</f>
      </c>
      <c r="U98" s="0">
        <f>MAX(0,C98-Calculator!$E$12)</f>
      </c>
      <c r="V98" s="0">
        <f>MAX(0,D98-Calculator!$E$13)</f>
      </c>
      <c r="W98" s="0">
        <f>MAX(0,E98-Calculator!$E$14)</f>
      </c>
      <c r="X98" s="0">
        <f>MAX(0,F98-Calculator!$E$15)</f>
      </c>
      <c r="Y98" s="0">
        <f>MAX(0,G98-Calculator!$E$16)</f>
      </c>
      <c r="Z98" s="0">
        <f>MAX(0,H98-Calculator!$E$17)</f>
      </c>
      <c r="AA98" s="0">
        <f>MAX(0,I98-Calculator!$E$18)</f>
      </c>
      <c r="AB98" s="0">
        <f>MAX(0,J98-Calculator!$E$19)</f>
      </c>
      <c r="AC98" s="0">
        <f>MAX(0,K98-Calculator!$E$20)</f>
      </c>
      <c r="AD98" s="0">
        <f>MAX(0,L98-Calculator!$E$21)</f>
      </c>
      <c r="AE98" s="0">
        <f>MAX(0,M98-Calculator!$E$22)</f>
      </c>
      <c r="AF98" s="0">
        <f>MAX(0,N98-Calculator!$E$23)</f>
      </c>
      <c r="AG98" s="0">
        <f>MAX(0,O98-Calculator!$E$24)</f>
      </c>
      <c r="AH98" s="0">
        <f>MAX(0,P98-Calculator!$E$25)</f>
      </c>
      <c r="AI98" s="0">
        <f>MAX(0,Q98-Calculator!$E$26)</f>
      </c>
      <c r="AJ98" s="0">
        <f>MAX(0,R98-Calculator!$E$27)</f>
      </c>
      <c r="AK98" s="0">
        <f>MAX(0,S98-Calculator!$E$28)</f>
      </c>
      <c r="AL98" s="0">
        <f>MAX(0,MIN(T98,BX98-SUMPRODUCT(($T$2:$AK$2&lt;T$2)*($T98:$AK98))))</f>
      </c>
      <c r="AM98" s="0">
        <f>MAX(0,MIN(U98,BX98-SUMPRODUCT(($T$2:$AK$2&lt;U$2)*($T98:$AK98))))</f>
      </c>
      <c r="AN98" s="0">
        <f>MAX(0,MIN(V98,BX98-SUMPRODUCT(($T$2:$AK$2&lt;V$2)*($T98:$AK98))))</f>
      </c>
      <c r="AO98" s="0">
        <f>MAX(0,MIN(W98,BX98-SUMPRODUCT(($T$2:$AK$2&lt;W$2)*($T98:$AK98))))</f>
      </c>
      <c r="AP98" s="0">
        <f>MAX(0,MIN(X98,BX98-SUMPRODUCT(($T$2:$AK$2&lt;X$2)*($T98:$AK98))))</f>
      </c>
      <c r="AQ98" s="0">
        <f>MAX(0,MIN(Y98,BX98-SUMPRODUCT(($T$2:$AK$2&lt;Y$2)*($T98:$AK98))))</f>
      </c>
      <c r="AR98" s="0">
        <f>MAX(0,MIN(Z98,BX98-SUMPRODUCT(($T$2:$AK$2&lt;Z$2)*($T98:$AK98))))</f>
      </c>
      <c r="AS98" s="0">
        <f>MAX(0,MIN(AA98,BX98-SUMPRODUCT(($T$2:$AK$2&lt;AA$2)*($T98:$AK98))))</f>
      </c>
      <c r="AT98" s="0">
        <f>MAX(0,MIN(AB98,BX98-SUMPRODUCT(($T$2:$AK$2&lt;AB$2)*($T98:$AK98))))</f>
      </c>
      <c r="AU98" s="0">
        <f>MAX(0,MIN(AC98,BX98-SUMPRODUCT(($T$2:$AK$2&lt;AC$2)*($T98:$AK98))))</f>
      </c>
      <c r="AV98" s="0">
        <f>MAX(0,MIN(AD98,BX98-SUMPRODUCT(($T$2:$AK$2&lt;AD$2)*($T98:$AK98))))</f>
      </c>
      <c r="AW98" s="0">
        <f>MAX(0,MIN(AE98,BX98-SUMPRODUCT(($T$2:$AK$2&lt;AE$2)*($T98:$AK98))))</f>
      </c>
      <c r="AX98" s="0">
        <f>MAX(0,MIN(AF98,BX98-SUMPRODUCT(($T$2:$AK$2&lt;AF$2)*($T98:$AK98))))</f>
      </c>
      <c r="AY98" s="0">
        <f>MAX(0,MIN(AG98,BX98-SUMPRODUCT(($T$2:$AK$2&lt;AG$2)*($T98:$AK98))))</f>
      </c>
      <c r="AZ98" s="0">
        <f>MAX(0,MIN(AH98,BX98-SUMPRODUCT(($T$2:$AK$2&lt;AH$2)*($T98:$AK98))))</f>
      </c>
      <c r="BA98" s="0">
        <f>MAX(0,MIN(AI98,BX98-SUMPRODUCT(($T$2:$AK$2&lt;AI$2)*($T98:$AK98))))</f>
      </c>
      <c r="BB98" s="0">
        <f>MAX(0,MIN(AJ98,BX98-SUMPRODUCT(($T$2:$AK$2&lt;AJ$2)*($T98:$AK98))))</f>
      </c>
      <c r="BC98" s="0">
        <f>MAX(0,MIN(AK98,BX98-SUMPRODUCT(($T$2:$AK$2&lt;AK$2)*($T98:$AK98))))</f>
      </c>
      <c r="BD98" s="0">
        <f>T98-AL98</f>
      </c>
      <c r="BE98" s="0">
        <f>U98-AM98</f>
      </c>
      <c r="BF98" s="0">
        <f>V98-AN98</f>
      </c>
      <c r="BG98" s="0">
        <f>W98-AO98</f>
      </c>
      <c r="BH98" s="0">
        <f>X98-AP98</f>
      </c>
      <c r="BI98" s="0">
        <f>Y98-AQ98</f>
      </c>
      <c r="BJ98" s="0">
        <f>Z98-AR98</f>
      </c>
      <c r="BK98" s="0">
        <f>AA98-AS98</f>
      </c>
      <c r="BL98" s="0">
        <f>AB98-AT98</f>
      </c>
      <c r="BM98" s="0">
        <f>AC98-AU98</f>
      </c>
      <c r="BN98" s="0">
        <f>AD98-AV98</f>
      </c>
      <c r="BO98" s="0">
        <f>AE98-AW98</f>
      </c>
      <c r="BP98" s="0">
        <f>AF98-AX98</f>
      </c>
      <c r="BQ98" s="0">
        <f>AG98-AY98</f>
      </c>
      <c r="BR98" s="0">
        <f>AH98-AZ98</f>
      </c>
      <c r="BS98" s="0">
        <f>AI98-BA98</f>
      </c>
      <c r="BT98" s="0">
        <f>AJ98-BB98</f>
      </c>
      <c r="BU98" s="0">
        <f>AK98-BC98</f>
      </c>
      <c r="BV98" s="0">
        <f>SUM(B98:S98)</f>
      </c>
      <c r="BW98" s="0">
        <f>SUM(T98:AK98)</f>
      </c>
      <c r="BX98" s="0">
        <f>MAX(0,(SUM(Calculator!$E$11:$E$28)+Calculator!$C$6)-BV98+BW98)</f>
      </c>
      <c r="BY98" s="0">
        <f>SUM(BD98:BU98)</f>
      </c>
      <c r="BZ98" s="0">
        <f>BV98-BY97</f>
      </c>
      <c r="CA98" s="0">
        <f>IF(A98&lt;=IF($CD$1=0,999,$CD$1),BY98,NA())</f>
      </c>
      <c r="CB98" s="0">
        <f>IF(A98&lt;=IF($CD$1=0,999,$CD$1),A98,NA())</f>
      </c>
    </row>
    <row r="99">
      <c r="A99" s="0">
        <v>96</v>
      </c>
      <c r="B99" s="0">
        <f>BD98*(1+Calculator!$D$11/100/12)</f>
      </c>
      <c r="C99" s="0">
        <f>BE98*(1+Calculator!$D$12/100/12)</f>
      </c>
      <c r="D99" s="0">
        <f>BF98*(1+Calculator!$D$13/100/12)</f>
      </c>
      <c r="E99" s="0">
        <f>BG98*(1+Calculator!$D$14/100/12)</f>
      </c>
      <c r="F99" s="0">
        <f>BH98*(1+Calculator!$D$15/100/12)</f>
      </c>
      <c r="G99" s="0">
        <f>BI98*(1+Calculator!$D$16/100/12)</f>
      </c>
      <c r="H99" s="0">
        <f>BJ98*(1+Calculator!$D$17/100/12)</f>
      </c>
      <c r="I99" s="0">
        <f>BK98*(1+Calculator!$D$18/100/12)</f>
      </c>
      <c r="J99" s="0">
        <f>BL98*(1+Calculator!$D$19/100/12)</f>
      </c>
      <c r="K99" s="0">
        <f>BM98*(1+Calculator!$D$20/100/12)</f>
      </c>
      <c r="L99" s="0">
        <f>BN98*(1+Calculator!$D$21/100/12)</f>
      </c>
      <c r="M99" s="0">
        <f>BO98*(1+Calculator!$D$22/100/12)</f>
      </c>
      <c r="N99" s="0">
        <f>BP98*(1+Calculator!$D$23/100/12)</f>
      </c>
      <c r="O99" s="0">
        <f>BQ98*(1+Calculator!$D$24/100/12)</f>
      </c>
      <c r="P99" s="0">
        <f>BR98*(1+Calculator!$D$25/100/12)</f>
      </c>
      <c r="Q99" s="0">
        <f>BS98*(1+Calculator!$D$26/100/12)</f>
      </c>
      <c r="R99" s="0">
        <f>BT98*(1+Calculator!$D$27/100/12)</f>
      </c>
      <c r="S99" s="0">
        <f>BU98*(1+Calculator!$D$28/100/12)</f>
      </c>
      <c r="T99" s="0">
        <f>MAX(0,B99-Calculator!$E$11)</f>
      </c>
      <c r="U99" s="0">
        <f>MAX(0,C99-Calculator!$E$12)</f>
      </c>
      <c r="V99" s="0">
        <f>MAX(0,D99-Calculator!$E$13)</f>
      </c>
      <c r="W99" s="0">
        <f>MAX(0,E99-Calculator!$E$14)</f>
      </c>
      <c r="X99" s="0">
        <f>MAX(0,F99-Calculator!$E$15)</f>
      </c>
      <c r="Y99" s="0">
        <f>MAX(0,G99-Calculator!$E$16)</f>
      </c>
      <c r="Z99" s="0">
        <f>MAX(0,H99-Calculator!$E$17)</f>
      </c>
      <c r="AA99" s="0">
        <f>MAX(0,I99-Calculator!$E$18)</f>
      </c>
      <c r="AB99" s="0">
        <f>MAX(0,J99-Calculator!$E$19)</f>
      </c>
      <c r="AC99" s="0">
        <f>MAX(0,K99-Calculator!$E$20)</f>
      </c>
      <c r="AD99" s="0">
        <f>MAX(0,L99-Calculator!$E$21)</f>
      </c>
      <c r="AE99" s="0">
        <f>MAX(0,M99-Calculator!$E$22)</f>
      </c>
      <c r="AF99" s="0">
        <f>MAX(0,N99-Calculator!$E$23)</f>
      </c>
      <c r="AG99" s="0">
        <f>MAX(0,O99-Calculator!$E$24)</f>
      </c>
      <c r="AH99" s="0">
        <f>MAX(0,P99-Calculator!$E$25)</f>
      </c>
      <c r="AI99" s="0">
        <f>MAX(0,Q99-Calculator!$E$26)</f>
      </c>
      <c r="AJ99" s="0">
        <f>MAX(0,R99-Calculator!$E$27)</f>
      </c>
      <c r="AK99" s="0">
        <f>MAX(0,S99-Calculator!$E$28)</f>
      </c>
      <c r="AL99" s="0">
        <f>MAX(0,MIN(T99,BX99-SUMPRODUCT(($T$2:$AK$2&lt;T$2)*($T99:$AK99))))</f>
      </c>
      <c r="AM99" s="0">
        <f>MAX(0,MIN(U99,BX99-SUMPRODUCT(($T$2:$AK$2&lt;U$2)*($T99:$AK99))))</f>
      </c>
      <c r="AN99" s="0">
        <f>MAX(0,MIN(V99,BX99-SUMPRODUCT(($T$2:$AK$2&lt;V$2)*($T99:$AK99))))</f>
      </c>
      <c r="AO99" s="0">
        <f>MAX(0,MIN(W99,BX99-SUMPRODUCT(($T$2:$AK$2&lt;W$2)*($T99:$AK99))))</f>
      </c>
      <c r="AP99" s="0">
        <f>MAX(0,MIN(X99,BX99-SUMPRODUCT(($T$2:$AK$2&lt;X$2)*($T99:$AK99))))</f>
      </c>
      <c r="AQ99" s="0">
        <f>MAX(0,MIN(Y99,BX99-SUMPRODUCT(($T$2:$AK$2&lt;Y$2)*($T99:$AK99))))</f>
      </c>
      <c r="AR99" s="0">
        <f>MAX(0,MIN(Z99,BX99-SUMPRODUCT(($T$2:$AK$2&lt;Z$2)*($T99:$AK99))))</f>
      </c>
      <c r="AS99" s="0">
        <f>MAX(0,MIN(AA99,BX99-SUMPRODUCT(($T$2:$AK$2&lt;AA$2)*($T99:$AK99))))</f>
      </c>
      <c r="AT99" s="0">
        <f>MAX(0,MIN(AB99,BX99-SUMPRODUCT(($T$2:$AK$2&lt;AB$2)*($T99:$AK99))))</f>
      </c>
      <c r="AU99" s="0">
        <f>MAX(0,MIN(AC99,BX99-SUMPRODUCT(($T$2:$AK$2&lt;AC$2)*($T99:$AK99))))</f>
      </c>
      <c r="AV99" s="0">
        <f>MAX(0,MIN(AD99,BX99-SUMPRODUCT(($T$2:$AK$2&lt;AD$2)*($T99:$AK99))))</f>
      </c>
      <c r="AW99" s="0">
        <f>MAX(0,MIN(AE99,BX99-SUMPRODUCT(($T$2:$AK$2&lt;AE$2)*($T99:$AK99))))</f>
      </c>
      <c r="AX99" s="0">
        <f>MAX(0,MIN(AF99,BX99-SUMPRODUCT(($T$2:$AK$2&lt;AF$2)*($T99:$AK99))))</f>
      </c>
      <c r="AY99" s="0">
        <f>MAX(0,MIN(AG99,BX99-SUMPRODUCT(($T$2:$AK$2&lt;AG$2)*($T99:$AK99))))</f>
      </c>
      <c r="AZ99" s="0">
        <f>MAX(0,MIN(AH99,BX99-SUMPRODUCT(($T$2:$AK$2&lt;AH$2)*($T99:$AK99))))</f>
      </c>
      <c r="BA99" s="0">
        <f>MAX(0,MIN(AI99,BX99-SUMPRODUCT(($T$2:$AK$2&lt;AI$2)*($T99:$AK99))))</f>
      </c>
      <c r="BB99" s="0">
        <f>MAX(0,MIN(AJ99,BX99-SUMPRODUCT(($T$2:$AK$2&lt;AJ$2)*($T99:$AK99))))</f>
      </c>
      <c r="BC99" s="0">
        <f>MAX(0,MIN(AK99,BX99-SUMPRODUCT(($T$2:$AK$2&lt;AK$2)*($T99:$AK99))))</f>
      </c>
      <c r="BD99" s="0">
        <f>T99-AL99</f>
      </c>
      <c r="BE99" s="0">
        <f>U99-AM99</f>
      </c>
      <c r="BF99" s="0">
        <f>V99-AN99</f>
      </c>
      <c r="BG99" s="0">
        <f>W99-AO99</f>
      </c>
      <c r="BH99" s="0">
        <f>X99-AP99</f>
      </c>
      <c r="BI99" s="0">
        <f>Y99-AQ99</f>
      </c>
      <c r="BJ99" s="0">
        <f>Z99-AR99</f>
      </c>
      <c r="BK99" s="0">
        <f>AA99-AS99</f>
      </c>
      <c r="BL99" s="0">
        <f>AB99-AT99</f>
      </c>
      <c r="BM99" s="0">
        <f>AC99-AU99</f>
      </c>
      <c r="BN99" s="0">
        <f>AD99-AV99</f>
      </c>
      <c r="BO99" s="0">
        <f>AE99-AW99</f>
      </c>
      <c r="BP99" s="0">
        <f>AF99-AX99</f>
      </c>
      <c r="BQ99" s="0">
        <f>AG99-AY99</f>
      </c>
      <c r="BR99" s="0">
        <f>AH99-AZ99</f>
      </c>
      <c r="BS99" s="0">
        <f>AI99-BA99</f>
      </c>
      <c r="BT99" s="0">
        <f>AJ99-BB99</f>
      </c>
      <c r="BU99" s="0">
        <f>AK99-BC99</f>
      </c>
      <c r="BV99" s="0">
        <f>SUM(B99:S99)</f>
      </c>
      <c r="BW99" s="0">
        <f>SUM(T99:AK99)</f>
      </c>
      <c r="BX99" s="0">
        <f>MAX(0,(SUM(Calculator!$E$11:$E$28)+Calculator!$C$6)-BV99+BW99)</f>
      </c>
      <c r="BY99" s="0">
        <f>SUM(BD99:BU99)</f>
      </c>
      <c r="BZ99" s="0">
        <f>BV99-BY98</f>
      </c>
      <c r="CA99" s="0">
        <f>IF(A99&lt;=IF($CD$1=0,999,$CD$1),BY99,NA())</f>
      </c>
      <c r="CB99" s="0">
        <f>IF(A99&lt;=IF($CD$1=0,999,$CD$1),A99,NA())</f>
      </c>
    </row>
    <row r="100">
      <c r="A100" s="0">
        <v>97</v>
      </c>
      <c r="B100" s="0">
        <f>BD99*(1+Calculator!$D$11/100/12)</f>
      </c>
      <c r="C100" s="0">
        <f>BE99*(1+Calculator!$D$12/100/12)</f>
      </c>
      <c r="D100" s="0">
        <f>BF99*(1+Calculator!$D$13/100/12)</f>
      </c>
      <c r="E100" s="0">
        <f>BG99*(1+Calculator!$D$14/100/12)</f>
      </c>
      <c r="F100" s="0">
        <f>BH99*(1+Calculator!$D$15/100/12)</f>
      </c>
      <c r="G100" s="0">
        <f>BI99*(1+Calculator!$D$16/100/12)</f>
      </c>
      <c r="H100" s="0">
        <f>BJ99*(1+Calculator!$D$17/100/12)</f>
      </c>
      <c r="I100" s="0">
        <f>BK99*(1+Calculator!$D$18/100/12)</f>
      </c>
      <c r="J100" s="0">
        <f>BL99*(1+Calculator!$D$19/100/12)</f>
      </c>
      <c r="K100" s="0">
        <f>BM99*(1+Calculator!$D$20/100/12)</f>
      </c>
      <c r="L100" s="0">
        <f>BN99*(1+Calculator!$D$21/100/12)</f>
      </c>
      <c r="M100" s="0">
        <f>BO99*(1+Calculator!$D$22/100/12)</f>
      </c>
      <c r="N100" s="0">
        <f>BP99*(1+Calculator!$D$23/100/12)</f>
      </c>
      <c r="O100" s="0">
        <f>BQ99*(1+Calculator!$D$24/100/12)</f>
      </c>
      <c r="P100" s="0">
        <f>BR99*(1+Calculator!$D$25/100/12)</f>
      </c>
      <c r="Q100" s="0">
        <f>BS99*(1+Calculator!$D$26/100/12)</f>
      </c>
      <c r="R100" s="0">
        <f>BT99*(1+Calculator!$D$27/100/12)</f>
      </c>
      <c r="S100" s="0">
        <f>BU99*(1+Calculator!$D$28/100/12)</f>
      </c>
      <c r="T100" s="0">
        <f>MAX(0,B100-Calculator!$E$11)</f>
      </c>
      <c r="U100" s="0">
        <f>MAX(0,C100-Calculator!$E$12)</f>
      </c>
      <c r="V100" s="0">
        <f>MAX(0,D100-Calculator!$E$13)</f>
      </c>
      <c r="W100" s="0">
        <f>MAX(0,E100-Calculator!$E$14)</f>
      </c>
      <c r="X100" s="0">
        <f>MAX(0,F100-Calculator!$E$15)</f>
      </c>
      <c r="Y100" s="0">
        <f>MAX(0,G100-Calculator!$E$16)</f>
      </c>
      <c r="Z100" s="0">
        <f>MAX(0,H100-Calculator!$E$17)</f>
      </c>
      <c r="AA100" s="0">
        <f>MAX(0,I100-Calculator!$E$18)</f>
      </c>
      <c r="AB100" s="0">
        <f>MAX(0,J100-Calculator!$E$19)</f>
      </c>
      <c r="AC100" s="0">
        <f>MAX(0,K100-Calculator!$E$20)</f>
      </c>
      <c r="AD100" s="0">
        <f>MAX(0,L100-Calculator!$E$21)</f>
      </c>
      <c r="AE100" s="0">
        <f>MAX(0,M100-Calculator!$E$22)</f>
      </c>
      <c r="AF100" s="0">
        <f>MAX(0,N100-Calculator!$E$23)</f>
      </c>
      <c r="AG100" s="0">
        <f>MAX(0,O100-Calculator!$E$24)</f>
      </c>
      <c r="AH100" s="0">
        <f>MAX(0,P100-Calculator!$E$25)</f>
      </c>
      <c r="AI100" s="0">
        <f>MAX(0,Q100-Calculator!$E$26)</f>
      </c>
      <c r="AJ100" s="0">
        <f>MAX(0,R100-Calculator!$E$27)</f>
      </c>
      <c r="AK100" s="0">
        <f>MAX(0,S100-Calculator!$E$28)</f>
      </c>
      <c r="AL100" s="0">
        <f>MAX(0,MIN(T100,BX100-SUMPRODUCT(($T$2:$AK$2&lt;T$2)*($T100:$AK100))))</f>
      </c>
      <c r="AM100" s="0">
        <f>MAX(0,MIN(U100,BX100-SUMPRODUCT(($T$2:$AK$2&lt;U$2)*($T100:$AK100))))</f>
      </c>
      <c r="AN100" s="0">
        <f>MAX(0,MIN(V100,BX100-SUMPRODUCT(($T$2:$AK$2&lt;V$2)*($T100:$AK100))))</f>
      </c>
      <c r="AO100" s="0">
        <f>MAX(0,MIN(W100,BX100-SUMPRODUCT(($T$2:$AK$2&lt;W$2)*($T100:$AK100))))</f>
      </c>
      <c r="AP100" s="0">
        <f>MAX(0,MIN(X100,BX100-SUMPRODUCT(($T$2:$AK$2&lt;X$2)*($T100:$AK100))))</f>
      </c>
      <c r="AQ100" s="0">
        <f>MAX(0,MIN(Y100,BX100-SUMPRODUCT(($T$2:$AK$2&lt;Y$2)*($T100:$AK100))))</f>
      </c>
      <c r="AR100" s="0">
        <f>MAX(0,MIN(Z100,BX100-SUMPRODUCT(($T$2:$AK$2&lt;Z$2)*($T100:$AK100))))</f>
      </c>
      <c r="AS100" s="0">
        <f>MAX(0,MIN(AA100,BX100-SUMPRODUCT(($T$2:$AK$2&lt;AA$2)*($T100:$AK100))))</f>
      </c>
      <c r="AT100" s="0">
        <f>MAX(0,MIN(AB100,BX100-SUMPRODUCT(($T$2:$AK$2&lt;AB$2)*($T100:$AK100))))</f>
      </c>
      <c r="AU100" s="0">
        <f>MAX(0,MIN(AC100,BX100-SUMPRODUCT(($T$2:$AK$2&lt;AC$2)*($T100:$AK100))))</f>
      </c>
      <c r="AV100" s="0">
        <f>MAX(0,MIN(AD100,BX100-SUMPRODUCT(($T$2:$AK$2&lt;AD$2)*($T100:$AK100))))</f>
      </c>
      <c r="AW100" s="0">
        <f>MAX(0,MIN(AE100,BX100-SUMPRODUCT(($T$2:$AK$2&lt;AE$2)*($T100:$AK100))))</f>
      </c>
      <c r="AX100" s="0">
        <f>MAX(0,MIN(AF100,BX100-SUMPRODUCT(($T$2:$AK$2&lt;AF$2)*($T100:$AK100))))</f>
      </c>
      <c r="AY100" s="0">
        <f>MAX(0,MIN(AG100,BX100-SUMPRODUCT(($T$2:$AK$2&lt;AG$2)*($T100:$AK100))))</f>
      </c>
      <c r="AZ100" s="0">
        <f>MAX(0,MIN(AH100,BX100-SUMPRODUCT(($T$2:$AK$2&lt;AH$2)*($T100:$AK100))))</f>
      </c>
      <c r="BA100" s="0">
        <f>MAX(0,MIN(AI100,BX100-SUMPRODUCT(($T$2:$AK$2&lt;AI$2)*($T100:$AK100))))</f>
      </c>
      <c r="BB100" s="0">
        <f>MAX(0,MIN(AJ100,BX100-SUMPRODUCT(($T$2:$AK$2&lt;AJ$2)*($T100:$AK100))))</f>
      </c>
      <c r="BC100" s="0">
        <f>MAX(0,MIN(AK100,BX100-SUMPRODUCT(($T$2:$AK$2&lt;AK$2)*($T100:$AK100))))</f>
      </c>
      <c r="BD100" s="0">
        <f>T100-AL100</f>
      </c>
      <c r="BE100" s="0">
        <f>U100-AM100</f>
      </c>
      <c r="BF100" s="0">
        <f>V100-AN100</f>
      </c>
      <c r="BG100" s="0">
        <f>W100-AO100</f>
      </c>
      <c r="BH100" s="0">
        <f>X100-AP100</f>
      </c>
      <c r="BI100" s="0">
        <f>Y100-AQ100</f>
      </c>
      <c r="BJ100" s="0">
        <f>Z100-AR100</f>
      </c>
      <c r="BK100" s="0">
        <f>AA100-AS100</f>
      </c>
      <c r="BL100" s="0">
        <f>AB100-AT100</f>
      </c>
      <c r="BM100" s="0">
        <f>AC100-AU100</f>
      </c>
      <c r="BN100" s="0">
        <f>AD100-AV100</f>
      </c>
      <c r="BO100" s="0">
        <f>AE100-AW100</f>
      </c>
      <c r="BP100" s="0">
        <f>AF100-AX100</f>
      </c>
      <c r="BQ100" s="0">
        <f>AG100-AY100</f>
      </c>
      <c r="BR100" s="0">
        <f>AH100-AZ100</f>
      </c>
      <c r="BS100" s="0">
        <f>AI100-BA100</f>
      </c>
      <c r="BT100" s="0">
        <f>AJ100-BB100</f>
      </c>
      <c r="BU100" s="0">
        <f>AK100-BC100</f>
      </c>
      <c r="BV100" s="0">
        <f>SUM(B100:S100)</f>
      </c>
      <c r="BW100" s="0">
        <f>SUM(T100:AK100)</f>
      </c>
      <c r="BX100" s="0">
        <f>MAX(0,(SUM(Calculator!$E$11:$E$28)+Calculator!$C$6)-BV100+BW100)</f>
      </c>
      <c r="BY100" s="0">
        <f>SUM(BD100:BU100)</f>
      </c>
      <c r="BZ100" s="0">
        <f>BV100-BY99</f>
      </c>
      <c r="CA100" s="0">
        <f>IF(A100&lt;=IF($CD$1=0,999,$CD$1),BY100,NA())</f>
      </c>
      <c r="CB100" s="0">
        <f>IF(A100&lt;=IF($CD$1=0,999,$CD$1),A100,NA())</f>
      </c>
    </row>
    <row r="101">
      <c r="A101" s="0">
        <v>98</v>
      </c>
      <c r="B101" s="0">
        <f>BD100*(1+Calculator!$D$11/100/12)</f>
      </c>
      <c r="C101" s="0">
        <f>BE100*(1+Calculator!$D$12/100/12)</f>
      </c>
      <c r="D101" s="0">
        <f>BF100*(1+Calculator!$D$13/100/12)</f>
      </c>
      <c r="E101" s="0">
        <f>BG100*(1+Calculator!$D$14/100/12)</f>
      </c>
      <c r="F101" s="0">
        <f>BH100*(1+Calculator!$D$15/100/12)</f>
      </c>
      <c r="G101" s="0">
        <f>BI100*(1+Calculator!$D$16/100/12)</f>
      </c>
      <c r="H101" s="0">
        <f>BJ100*(1+Calculator!$D$17/100/12)</f>
      </c>
      <c r="I101" s="0">
        <f>BK100*(1+Calculator!$D$18/100/12)</f>
      </c>
      <c r="J101" s="0">
        <f>BL100*(1+Calculator!$D$19/100/12)</f>
      </c>
      <c r="K101" s="0">
        <f>BM100*(1+Calculator!$D$20/100/12)</f>
      </c>
      <c r="L101" s="0">
        <f>BN100*(1+Calculator!$D$21/100/12)</f>
      </c>
      <c r="M101" s="0">
        <f>BO100*(1+Calculator!$D$22/100/12)</f>
      </c>
      <c r="N101" s="0">
        <f>BP100*(1+Calculator!$D$23/100/12)</f>
      </c>
      <c r="O101" s="0">
        <f>BQ100*(1+Calculator!$D$24/100/12)</f>
      </c>
      <c r="P101" s="0">
        <f>BR100*(1+Calculator!$D$25/100/12)</f>
      </c>
      <c r="Q101" s="0">
        <f>BS100*(1+Calculator!$D$26/100/12)</f>
      </c>
      <c r="R101" s="0">
        <f>BT100*(1+Calculator!$D$27/100/12)</f>
      </c>
      <c r="S101" s="0">
        <f>BU100*(1+Calculator!$D$28/100/12)</f>
      </c>
      <c r="T101" s="0">
        <f>MAX(0,B101-Calculator!$E$11)</f>
      </c>
      <c r="U101" s="0">
        <f>MAX(0,C101-Calculator!$E$12)</f>
      </c>
      <c r="V101" s="0">
        <f>MAX(0,D101-Calculator!$E$13)</f>
      </c>
      <c r="W101" s="0">
        <f>MAX(0,E101-Calculator!$E$14)</f>
      </c>
      <c r="X101" s="0">
        <f>MAX(0,F101-Calculator!$E$15)</f>
      </c>
      <c r="Y101" s="0">
        <f>MAX(0,G101-Calculator!$E$16)</f>
      </c>
      <c r="Z101" s="0">
        <f>MAX(0,H101-Calculator!$E$17)</f>
      </c>
      <c r="AA101" s="0">
        <f>MAX(0,I101-Calculator!$E$18)</f>
      </c>
      <c r="AB101" s="0">
        <f>MAX(0,J101-Calculator!$E$19)</f>
      </c>
      <c r="AC101" s="0">
        <f>MAX(0,K101-Calculator!$E$20)</f>
      </c>
      <c r="AD101" s="0">
        <f>MAX(0,L101-Calculator!$E$21)</f>
      </c>
      <c r="AE101" s="0">
        <f>MAX(0,M101-Calculator!$E$22)</f>
      </c>
      <c r="AF101" s="0">
        <f>MAX(0,N101-Calculator!$E$23)</f>
      </c>
      <c r="AG101" s="0">
        <f>MAX(0,O101-Calculator!$E$24)</f>
      </c>
      <c r="AH101" s="0">
        <f>MAX(0,P101-Calculator!$E$25)</f>
      </c>
      <c r="AI101" s="0">
        <f>MAX(0,Q101-Calculator!$E$26)</f>
      </c>
      <c r="AJ101" s="0">
        <f>MAX(0,R101-Calculator!$E$27)</f>
      </c>
      <c r="AK101" s="0">
        <f>MAX(0,S101-Calculator!$E$28)</f>
      </c>
      <c r="AL101" s="0">
        <f>MAX(0,MIN(T101,BX101-SUMPRODUCT(($T$2:$AK$2&lt;T$2)*($T101:$AK101))))</f>
      </c>
      <c r="AM101" s="0">
        <f>MAX(0,MIN(U101,BX101-SUMPRODUCT(($T$2:$AK$2&lt;U$2)*($T101:$AK101))))</f>
      </c>
      <c r="AN101" s="0">
        <f>MAX(0,MIN(V101,BX101-SUMPRODUCT(($T$2:$AK$2&lt;V$2)*($T101:$AK101))))</f>
      </c>
      <c r="AO101" s="0">
        <f>MAX(0,MIN(W101,BX101-SUMPRODUCT(($T$2:$AK$2&lt;W$2)*($T101:$AK101))))</f>
      </c>
      <c r="AP101" s="0">
        <f>MAX(0,MIN(X101,BX101-SUMPRODUCT(($T$2:$AK$2&lt;X$2)*($T101:$AK101))))</f>
      </c>
      <c r="AQ101" s="0">
        <f>MAX(0,MIN(Y101,BX101-SUMPRODUCT(($T$2:$AK$2&lt;Y$2)*($T101:$AK101))))</f>
      </c>
      <c r="AR101" s="0">
        <f>MAX(0,MIN(Z101,BX101-SUMPRODUCT(($T$2:$AK$2&lt;Z$2)*($T101:$AK101))))</f>
      </c>
      <c r="AS101" s="0">
        <f>MAX(0,MIN(AA101,BX101-SUMPRODUCT(($T$2:$AK$2&lt;AA$2)*($T101:$AK101))))</f>
      </c>
      <c r="AT101" s="0">
        <f>MAX(0,MIN(AB101,BX101-SUMPRODUCT(($T$2:$AK$2&lt;AB$2)*($T101:$AK101))))</f>
      </c>
      <c r="AU101" s="0">
        <f>MAX(0,MIN(AC101,BX101-SUMPRODUCT(($T$2:$AK$2&lt;AC$2)*($T101:$AK101))))</f>
      </c>
      <c r="AV101" s="0">
        <f>MAX(0,MIN(AD101,BX101-SUMPRODUCT(($T$2:$AK$2&lt;AD$2)*($T101:$AK101))))</f>
      </c>
      <c r="AW101" s="0">
        <f>MAX(0,MIN(AE101,BX101-SUMPRODUCT(($T$2:$AK$2&lt;AE$2)*($T101:$AK101))))</f>
      </c>
      <c r="AX101" s="0">
        <f>MAX(0,MIN(AF101,BX101-SUMPRODUCT(($T$2:$AK$2&lt;AF$2)*($T101:$AK101))))</f>
      </c>
      <c r="AY101" s="0">
        <f>MAX(0,MIN(AG101,BX101-SUMPRODUCT(($T$2:$AK$2&lt;AG$2)*($T101:$AK101))))</f>
      </c>
      <c r="AZ101" s="0">
        <f>MAX(0,MIN(AH101,BX101-SUMPRODUCT(($T$2:$AK$2&lt;AH$2)*($T101:$AK101))))</f>
      </c>
      <c r="BA101" s="0">
        <f>MAX(0,MIN(AI101,BX101-SUMPRODUCT(($T$2:$AK$2&lt;AI$2)*($T101:$AK101))))</f>
      </c>
      <c r="BB101" s="0">
        <f>MAX(0,MIN(AJ101,BX101-SUMPRODUCT(($T$2:$AK$2&lt;AJ$2)*($T101:$AK101))))</f>
      </c>
      <c r="BC101" s="0">
        <f>MAX(0,MIN(AK101,BX101-SUMPRODUCT(($T$2:$AK$2&lt;AK$2)*($T101:$AK101))))</f>
      </c>
      <c r="BD101" s="0">
        <f>T101-AL101</f>
      </c>
      <c r="BE101" s="0">
        <f>U101-AM101</f>
      </c>
      <c r="BF101" s="0">
        <f>V101-AN101</f>
      </c>
      <c r="BG101" s="0">
        <f>W101-AO101</f>
      </c>
      <c r="BH101" s="0">
        <f>X101-AP101</f>
      </c>
      <c r="BI101" s="0">
        <f>Y101-AQ101</f>
      </c>
      <c r="BJ101" s="0">
        <f>Z101-AR101</f>
      </c>
      <c r="BK101" s="0">
        <f>AA101-AS101</f>
      </c>
      <c r="BL101" s="0">
        <f>AB101-AT101</f>
      </c>
      <c r="BM101" s="0">
        <f>AC101-AU101</f>
      </c>
      <c r="BN101" s="0">
        <f>AD101-AV101</f>
      </c>
      <c r="BO101" s="0">
        <f>AE101-AW101</f>
      </c>
      <c r="BP101" s="0">
        <f>AF101-AX101</f>
      </c>
      <c r="BQ101" s="0">
        <f>AG101-AY101</f>
      </c>
      <c r="BR101" s="0">
        <f>AH101-AZ101</f>
      </c>
      <c r="BS101" s="0">
        <f>AI101-BA101</f>
      </c>
      <c r="BT101" s="0">
        <f>AJ101-BB101</f>
      </c>
      <c r="BU101" s="0">
        <f>AK101-BC101</f>
      </c>
      <c r="BV101" s="0">
        <f>SUM(B101:S101)</f>
      </c>
      <c r="BW101" s="0">
        <f>SUM(T101:AK101)</f>
      </c>
      <c r="BX101" s="0">
        <f>MAX(0,(SUM(Calculator!$E$11:$E$28)+Calculator!$C$6)-BV101+BW101)</f>
      </c>
      <c r="BY101" s="0">
        <f>SUM(BD101:BU101)</f>
      </c>
      <c r="BZ101" s="0">
        <f>BV101-BY100</f>
      </c>
      <c r="CA101" s="0">
        <f>IF(A101&lt;=IF($CD$1=0,999,$CD$1),BY101,NA())</f>
      </c>
      <c r="CB101" s="0">
        <f>IF(A101&lt;=IF($CD$1=0,999,$CD$1),A101,NA())</f>
      </c>
    </row>
    <row r="102">
      <c r="A102" s="0">
        <v>99</v>
      </c>
      <c r="B102" s="0">
        <f>BD101*(1+Calculator!$D$11/100/12)</f>
      </c>
      <c r="C102" s="0">
        <f>BE101*(1+Calculator!$D$12/100/12)</f>
      </c>
      <c r="D102" s="0">
        <f>BF101*(1+Calculator!$D$13/100/12)</f>
      </c>
      <c r="E102" s="0">
        <f>BG101*(1+Calculator!$D$14/100/12)</f>
      </c>
      <c r="F102" s="0">
        <f>BH101*(1+Calculator!$D$15/100/12)</f>
      </c>
      <c r="G102" s="0">
        <f>BI101*(1+Calculator!$D$16/100/12)</f>
      </c>
      <c r="H102" s="0">
        <f>BJ101*(1+Calculator!$D$17/100/12)</f>
      </c>
      <c r="I102" s="0">
        <f>BK101*(1+Calculator!$D$18/100/12)</f>
      </c>
      <c r="J102" s="0">
        <f>BL101*(1+Calculator!$D$19/100/12)</f>
      </c>
      <c r="K102" s="0">
        <f>BM101*(1+Calculator!$D$20/100/12)</f>
      </c>
      <c r="L102" s="0">
        <f>BN101*(1+Calculator!$D$21/100/12)</f>
      </c>
      <c r="M102" s="0">
        <f>BO101*(1+Calculator!$D$22/100/12)</f>
      </c>
      <c r="N102" s="0">
        <f>BP101*(1+Calculator!$D$23/100/12)</f>
      </c>
      <c r="O102" s="0">
        <f>BQ101*(1+Calculator!$D$24/100/12)</f>
      </c>
      <c r="P102" s="0">
        <f>BR101*(1+Calculator!$D$25/100/12)</f>
      </c>
      <c r="Q102" s="0">
        <f>BS101*(1+Calculator!$D$26/100/12)</f>
      </c>
      <c r="R102" s="0">
        <f>BT101*(1+Calculator!$D$27/100/12)</f>
      </c>
      <c r="S102" s="0">
        <f>BU101*(1+Calculator!$D$28/100/12)</f>
      </c>
      <c r="T102" s="0">
        <f>MAX(0,B102-Calculator!$E$11)</f>
      </c>
      <c r="U102" s="0">
        <f>MAX(0,C102-Calculator!$E$12)</f>
      </c>
      <c r="V102" s="0">
        <f>MAX(0,D102-Calculator!$E$13)</f>
      </c>
      <c r="W102" s="0">
        <f>MAX(0,E102-Calculator!$E$14)</f>
      </c>
      <c r="X102" s="0">
        <f>MAX(0,F102-Calculator!$E$15)</f>
      </c>
      <c r="Y102" s="0">
        <f>MAX(0,G102-Calculator!$E$16)</f>
      </c>
      <c r="Z102" s="0">
        <f>MAX(0,H102-Calculator!$E$17)</f>
      </c>
      <c r="AA102" s="0">
        <f>MAX(0,I102-Calculator!$E$18)</f>
      </c>
      <c r="AB102" s="0">
        <f>MAX(0,J102-Calculator!$E$19)</f>
      </c>
      <c r="AC102" s="0">
        <f>MAX(0,K102-Calculator!$E$20)</f>
      </c>
      <c r="AD102" s="0">
        <f>MAX(0,L102-Calculator!$E$21)</f>
      </c>
      <c r="AE102" s="0">
        <f>MAX(0,M102-Calculator!$E$22)</f>
      </c>
      <c r="AF102" s="0">
        <f>MAX(0,N102-Calculator!$E$23)</f>
      </c>
      <c r="AG102" s="0">
        <f>MAX(0,O102-Calculator!$E$24)</f>
      </c>
      <c r="AH102" s="0">
        <f>MAX(0,P102-Calculator!$E$25)</f>
      </c>
      <c r="AI102" s="0">
        <f>MAX(0,Q102-Calculator!$E$26)</f>
      </c>
      <c r="AJ102" s="0">
        <f>MAX(0,R102-Calculator!$E$27)</f>
      </c>
      <c r="AK102" s="0">
        <f>MAX(0,S102-Calculator!$E$28)</f>
      </c>
      <c r="AL102" s="0">
        <f>MAX(0,MIN(T102,BX102-SUMPRODUCT(($T$2:$AK$2&lt;T$2)*($T102:$AK102))))</f>
      </c>
      <c r="AM102" s="0">
        <f>MAX(0,MIN(U102,BX102-SUMPRODUCT(($T$2:$AK$2&lt;U$2)*($T102:$AK102))))</f>
      </c>
      <c r="AN102" s="0">
        <f>MAX(0,MIN(V102,BX102-SUMPRODUCT(($T$2:$AK$2&lt;V$2)*($T102:$AK102))))</f>
      </c>
      <c r="AO102" s="0">
        <f>MAX(0,MIN(W102,BX102-SUMPRODUCT(($T$2:$AK$2&lt;W$2)*($T102:$AK102))))</f>
      </c>
      <c r="AP102" s="0">
        <f>MAX(0,MIN(X102,BX102-SUMPRODUCT(($T$2:$AK$2&lt;X$2)*($T102:$AK102))))</f>
      </c>
      <c r="AQ102" s="0">
        <f>MAX(0,MIN(Y102,BX102-SUMPRODUCT(($T$2:$AK$2&lt;Y$2)*($T102:$AK102))))</f>
      </c>
      <c r="AR102" s="0">
        <f>MAX(0,MIN(Z102,BX102-SUMPRODUCT(($T$2:$AK$2&lt;Z$2)*($T102:$AK102))))</f>
      </c>
      <c r="AS102" s="0">
        <f>MAX(0,MIN(AA102,BX102-SUMPRODUCT(($T$2:$AK$2&lt;AA$2)*($T102:$AK102))))</f>
      </c>
      <c r="AT102" s="0">
        <f>MAX(0,MIN(AB102,BX102-SUMPRODUCT(($T$2:$AK$2&lt;AB$2)*($T102:$AK102))))</f>
      </c>
      <c r="AU102" s="0">
        <f>MAX(0,MIN(AC102,BX102-SUMPRODUCT(($T$2:$AK$2&lt;AC$2)*($T102:$AK102))))</f>
      </c>
      <c r="AV102" s="0">
        <f>MAX(0,MIN(AD102,BX102-SUMPRODUCT(($T$2:$AK$2&lt;AD$2)*($T102:$AK102))))</f>
      </c>
      <c r="AW102" s="0">
        <f>MAX(0,MIN(AE102,BX102-SUMPRODUCT(($T$2:$AK$2&lt;AE$2)*($T102:$AK102))))</f>
      </c>
      <c r="AX102" s="0">
        <f>MAX(0,MIN(AF102,BX102-SUMPRODUCT(($T$2:$AK$2&lt;AF$2)*($T102:$AK102))))</f>
      </c>
      <c r="AY102" s="0">
        <f>MAX(0,MIN(AG102,BX102-SUMPRODUCT(($T$2:$AK$2&lt;AG$2)*($T102:$AK102))))</f>
      </c>
      <c r="AZ102" s="0">
        <f>MAX(0,MIN(AH102,BX102-SUMPRODUCT(($T$2:$AK$2&lt;AH$2)*($T102:$AK102))))</f>
      </c>
      <c r="BA102" s="0">
        <f>MAX(0,MIN(AI102,BX102-SUMPRODUCT(($T$2:$AK$2&lt;AI$2)*($T102:$AK102))))</f>
      </c>
      <c r="BB102" s="0">
        <f>MAX(0,MIN(AJ102,BX102-SUMPRODUCT(($T$2:$AK$2&lt;AJ$2)*($T102:$AK102))))</f>
      </c>
      <c r="BC102" s="0">
        <f>MAX(0,MIN(AK102,BX102-SUMPRODUCT(($T$2:$AK$2&lt;AK$2)*($T102:$AK102))))</f>
      </c>
      <c r="BD102" s="0">
        <f>T102-AL102</f>
      </c>
      <c r="BE102" s="0">
        <f>U102-AM102</f>
      </c>
      <c r="BF102" s="0">
        <f>V102-AN102</f>
      </c>
      <c r="BG102" s="0">
        <f>W102-AO102</f>
      </c>
      <c r="BH102" s="0">
        <f>X102-AP102</f>
      </c>
      <c r="BI102" s="0">
        <f>Y102-AQ102</f>
      </c>
      <c r="BJ102" s="0">
        <f>Z102-AR102</f>
      </c>
      <c r="BK102" s="0">
        <f>AA102-AS102</f>
      </c>
      <c r="BL102" s="0">
        <f>AB102-AT102</f>
      </c>
      <c r="BM102" s="0">
        <f>AC102-AU102</f>
      </c>
      <c r="BN102" s="0">
        <f>AD102-AV102</f>
      </c>
      <c r="BO102" s="0">
        <f>AE102-AW102</f>
      </c>
      <c r="BP102" s="0">
        <f>AF102-AX102</f>
      </c>
      <c r="BQ102" s="0">
        <f>AG102-AY102</f>
      </c>
      <c r="BR102" s="0">
        <f>AH102-AZ102</f>
      </c>
      <c r="BS102" s="0">
        <f>AI102-BA102</f>
      </c>
      <c r="BT102" s="0">
        <f>AJ102-BB102</f>
      </c>
      <c r="BU102" s="0">
        <f>AK102-BC102</f>
      </c>
      <c r="BV102" s="0">
        <f>SUM(B102:S102)</f>
      </c>
      <c r="BW102" s="0">
        <f>SUM(T102:AK102)</f>
      </c>
      <c r="BX102" s="0">
        <f>MAX(0,(SUM(Calculator!$E$11:$E$28)+Calculator!$C$6)-BV102+BW102)</f>
      </c>
      <c r="BY102" s="0">
        <f>SUM(BD102:BU102)</f>
      </c>
      <c r="BZ102" s="0">
        <f>BV102-BY101</f>
      </c>
      <c r="CA102" s="0">
        <f>IF(A102&lt;=IF($CD$1=0,999,$CD$1),BY102,NA())</f>
      </c>
      <c r="CB102" s="0">
        <f>IF(A102&lt;=IF($CD$1=0,999,$CD$1),A102,NA())</f>
      </c>
    </row>
    <row r="103">
      <c r="A103" s="0">
        <v>100</v>
      </c>
      <c r="B103" s="0">
        <f>BD102*(1+Calculator!$D$11/100/12)</f>
      </c>
      <c r="C103" s="0">
        <f>BE102*(1+Calculator!$D$12/100/12)</f>
      </c>
      <c r="D103" s="0">
        <f>BF102*(1+Calculator!$D$13/100/12)</f>
      </c>
      <c r="E103" s="0">
        <f>BG102*(1+Calculator!$D$14/100/12)</f>
      </c>
      <c r="F103" s="0">
        <f>BH102*(1+Calculator!$D$15/100/12)</f>
      </c>
      <c r="G103" s="0">
        <f>BI102*(1+Calculator!$D$16/100/12)</f>
      </c>
      <c r="H103" s="0">
        <f>BJ102*(1+Calculator!$D$17/100/12)</f>
      </c>
      <c r="I103" s="0">
        <f>BK102*(1+Calculator!$D$18/100/12)</f>
      </c>
      <c r="J103" s="0">
        <f>BL102*(1+Calculator!$D$19/100/12)</f>
      </c>
      <c r="K103" s="0">
        <f>BM102*(1+Calculator!$D$20/100/12)</f>
      </c>
      <c r="L103" s="0">
        <f>BN102*(1+Calculator!$D$21/100/12)</f>
      </c>
      <c r="M103" s="0">
        <f>BO102*(1+Calculator!$D$22/100/12)</f>
      </c>
      <c r="N103" s="0">
        <f>BP102*(1+Calculator!$D$23/100/12)</f>
      </c>
      <c r="O103" s="0">
        <f>BQ102*(1+Calculator!$D$24/100/12)</f>
      </c>
      <c r="P103" s="0">
        <f>BR102*(1+Calculator!$D$25/100/12)</f>
      </c>
      <c r="Q103" s="0">
        <f>BS102*(1+Calculator!$D$26/100/12)</f>
      </c>
      <c r="R103" s="0">
        <f>BT102*(1+Calculator!$D$27/100/12)</f>
      </c>
      <c r="S103" s="0">
        <f>BU102*(1+Calculator!$D$28/100/12)</f>
      </c>
      <c r="T103" s="0">
        <f>MAX(0,B103-Calculator!$E$11)</f>
      </c>
      <c r="U103" s="0">
        <f>MAX(0,C103-Calculator!$E$12)</f>
      </c>
      <c r="V103" s="0">
        <f>MAX(0,D103-Calculator!$E$13)</f>
      </c>
      <c r="W103" s="0">
        <f>MAX(0,E103-Calculator!$E$14)</f>
      </c>
      <c r="X103" s="0">
        <f>MAX(0,F103-Calculator!$E$15)</f>
      </c>
      <c r="Y103" s="0">
        <f>MAX(0,G103-Calculator!$E$16)</f>
      </c>
      <c r="Z103" s="0">
        <f>MAX(0,H103-Calculator!$E$17)</f>
      </c>
      <c r="AA103" s="0">
        <f>MAX(0,I103-Calculator!$E$18)</f>
      </c>
      <c r="AB103" s="0">
        <f>MAX(0,J103-Calculator!$E$19)</f>
      </c>
      <c r="AC103" s="0">
        <f>MAX(0,K103-Calculator!$E$20)</f>
      </c>
      <c r="AD103" s="0">
        <f>MAX(0,L103-Calculator!$E$21)</f>
      </c>
      <c r="AE103" s="0">
        <f>MAX(0,M103-Calculator!$E$22)</f>
      </c>
      <c r="AF103" s="0">
        <f>MAX(0,N103-Calculator!$E$23)</f>
      </c>
      <c r="AG103" s="0">
        <f>MAX(0,O103-Calculator!$E$24)</f>
      </c>
      <c r="AH103" s="0">
        <f>MAX(0,P103-Calculator!$E$25)</f>
      </c>
      <c r="AI103" s="0">
        <f>MAX(0,Q103-Calculator!$E$26)</f>
      </c>
      <c r="AJ103" s="0">
        <f>MAX(0,R103-Calculator!$E$27)</f>
      </c>
      <c r="AK103" s="0">
        <f>MAX(0,S103-Calculator!$E$28)</f>
      </c>
      <c r="AL103" s="0">
        <f>MAX(0,MIN(T103,BX103-SUMPRODUCT(($T$2:$AK$2&lt;T$2)*($T103:$AK103))))</f>
      </c>
      <c r="AM103" s="0">
        <f>MAX(0,MIN(U103,BX103-SUMPRODUCT(($T$2:$AK$2&lt;U$2)*($T103:$AK103))))</f>
      </c>
      <c r="AN103" s="0">
        <f>MAX(0,MIN(V103,BX103-SUMPRODUCT(($T$2:$AK$2&lt;V$2)*($T103:$AK103))))</f>
      </c>
      <c r="AO103" s="0">
        <f>MAX(0,MIN(W103,BX103-SUMPRODUCT(($T$2:$AK$2&lt;W$2)*($T103:$AK103))))</f>
      </c>
      <c r="AP103" s="0">
        <f>MAX(0,MIN(X103,BX103-SUMPRODUCT(($T$2:$AK$2&lt;X$2)*($T103:$AK103))))</f>
      </c>
      <c r="AQ103" s="0">
        <f>MAX(0,MIN(Y103,BX103-SUMPRODUCT(($T$2:$AK$2&lt;Y$2)*($T103:$AK103))))</f>
      </c>
      <c r="AR103" s="0">
        <f>MAX(0,MIN(Z103,BX103-SUMPRODUCT(($T$2:$AK$2&lt;Z$2)*($T103:$AK103))))</f>
      </c>
      <c r="AS103" s="0">
        <f>MAX(0,MIN(AA103,BX103-SUMPRODUCT(($T$2:$AK$2&lt;AA$2)*($T103:$AK103))))</f>
      </c>
      <c r="AT103" s="0">
        <f>MAX(0,MIN(AB103,BX103-SUMPRODUCT(($T$2:$AK$2&lt;AB$2)*($T103:$AK103))))</f>
      </c>
      <c r="AU103" s="0">
        <f>MAX(0,MIN(AC103,BX103-SUMPRODUCT(($T$2:$AK$2&lt;AC$2)*($T103:$AK103))))</f>
      </c>
      <c r="AV103" s="0">
        <f>MAX(0,MIN(AD103,BX103-SUMPRODUCT(($T$2:$AK$2&lt;AD$2)*($T103:$AK103))))</f>
      </c>
      <c r="AW103" s="0">
        <f>MAX(0,MIN(AE103,BX103-SUMPRODUCT(($T$2:$AK$2&lt;AE$2)*($T103:$AK103))))</f>
      </c>
      <c r="AX103" s="0">
        <f>MAX(0,MIN(AF103,BX103-SUMPRODUCT(($T$2:$AK$2&lt;AF$2)*($T103:$AK103))))</f>
      </c>
      <c r="AY103" s="0">
        <f>MAX(0,MIN(AG103,BX103-SUMPRODUCT(($T$2:$AK$2&lt;AG$2)*($T103:$AK103))))</f>
      </c>
      <c r="AZ103" s="0">
        <f>MAX(0,MIN(AH103,BX103-SUMPRODUCT(($T$2:$AK$2&lt;AH$2)*($T103:$AK103))))</f>
      </c>
      <c r="BA103" s="0">
        <f>MAX(0,MIN(AI103,BX103-SUMPRODUCT(($T$2:$AK$2&lt;AI$2)*($T103:$AK103))))</f>
      </c>
      <c r="BB103" s="0">
        <f>MAX(0,MIN(AJ103,BX103-SUMPRODUCT(($T$2:$AK$2&lt;AJ$2)*($T103:$AK103))))</f>
      </c>
      <c r="BC103" s="0">
        <f>MAX(0,MIN(AK103,BX103-SUMPRODUCT(($T$2:$AK$2&lt;AK$2)*($T103:$AK103))))</f>
      </c>
      <c r="BD103" s="0">
        <f>T103-AL103</f>
      </c>
      <c r="BE103" s="0">
        <f>U103-AM103</f>
      </c>
      <c r="BF103" s="0">
        <f>V103-AN103</f>
      </c>
      <c r="BG103" s="0">
        <f>W103-AO103</f>
      </c>
      <c r="BH103" s="0">
        <f>X103-AP103</f>
      </c>
      <c r="BI103" s="0">
        <f>Y103-AQ103</f>
      </c>
      <c r="BJ103" s="0">
        <f>Z103-AR103</f>
      </c>
      <c r="BK103" s="0">
        <f>AA103-AS103</f>
      </c>
      <c r="BL103" s="0">
        <f>AB103-AT103</f>
      </c>
      <c r="BM103" s="0">
        <f>AC103-AU103</f>
      </c>
      <c r="BN103" s="0">
        <f>AD103-AV103</f>
      </c>
      <c r="BO103" s="0">
        <f>AE103-AW103</f>
      </c>
      <c r="BP103" s="0">
        <f>AF103-AX103</f>
      </c>
      <c r="BQ103" s="0">
        <f>AG103-AY103</f>
      </c>
      <c r="BR103" s="0">
        <f>AH103-AZ103</f>
      </c>
      <c r="BS103" s="0">
        <f>AI103-BA103</f>
      </c>
      <c r="BT103" s="0">
        <f>AJ103-BB103</f>
      </c>
      <c r="BU103" s="0">
        <f>AK103-BC103</f>
      </c>
      <c r="BV103" s="0">
        <f>SUM(B103:S103)</f>
      </c>
      <c r="BW103" s="0">
        <f>SUM(T103:AK103)</f>
      </c>
      <c r="BX103" s="0">
        <f>MAX(0,(SUM(Calculator!$E$11:$E$28)+Calculator!$C$6)-BV103+BW103)</f>
      </c>
      <c r="BY103" s="0">
        <f>SUM(BD103:BU103)</f>
      </c>
      <c r="BZ103" s="0">
        <f>BV103-BY102</f>
      </c>
      <c r="CA103" s="0">
        <f>IF(A103&lt;=IF($CD$1=0,999,$CD$1),BY103,NA())</f>
      </c>
      <c r="CB103" s="0">
        <f>IF(A103&lt;=IF($CD$1=0,999,$CD$1),A103,NA())</f>
      </c>
    </row>
    <row r="104">
      <c r="A104" s="0">
        <v>101</v>
      </c>
      <c r="B104" s="0">
        <f>BD103*(1+Calculator!$D$11/100/12)</f>
      </c>
      <c r="C104" s="0">
        <f>BE103*(1+Calculator!$D$12/100/12)</f>
      </c>
      <c r="D104" s="0">
        <f>BF103*(1+Calculator!$D$13/100/12)</f>
      </c>
      <c r="E104" s="0">
        <f>BG103*(1+Calculator!$D$14/100/12)</f>
      </c>
      <c r="F104" s="0">
        <f>BH103*(1+Calculator!$D$15/100/12)</f>
      </c>
      <c r="G104" s="0">
        <f>BI103*(1+Calculator!$D$16/100/12)</f>
      </c>
      <c r="H104" s="0">
        <f>BJ103*(1+Calculator!$D$17/100/12)</f>
      </c>
      <c r="I104" s="0">
        <f>BK103*(1+Calculator!$D$18/100/12)</f>
      </c>
      <c r="J104" s="0">
        <f>BL103*(1+Calculator!$D$19/100/12)</f>
      </c>
      <c r="K104" s="0">
        <f>BM103*(1+Calculator!$D$20/100/12)</f>
      </c>
      <c r="L104" s="0">
        <f>BN103*(1+Calculator!$D$21/100/12)</f>
      </c>
      <c r="M104" s="0">
        <f>BO103*(1+Calculator!$D$22/100/12)</f>
      </c>
      <c r="N104" s="0">
        <f>BP103*(1+Calculator!$D$23/100/12)</f>
      </c>
      <c r="O104" s="0">
        <f>BQ103*(1+Calculator!$D$24/100/12)</f>
      </c>
      <c r="P104" s="0">
        <f>BR103*(1+Calculator!$D$25/100/12)</f>
      </c>
      <c r="Q104" s="0">
        <f>BS103*(1+Calculator!$D$26/100/12)</f>
      </c>
      <c r="R104" s="0">
        <f>BT103*(1+Calculator!$D$27/100/12)</f>
      </c>
      <c r="S104" s="0">
        <f>BU103*(1+Calculator!$D$28/100/12)</f>
      </c>
      <c r="T104" s="0">
        <f>MAX(0,B104-Calculator!$E$11)</f>
      </c>
      <c r="U104" s="0">
        <f>MAX(0,C104-Calculator!$E$12)</f>
      </c>
      <c r="V104" s="0">
        <f>MAX(0,D104-Calculator!$E$13)</f>
      </c>
      <c r="W104" s="0">
        <f>MAX(0,E104-Calculator!$E$14)</f>
      </c>
      <c r="X104" s="0">
        <f>MAX(0,F104-Calculator!$E$15)</f>
      </c>
      <c r="Y104" s="0">
        <f>MAX(0,G104-Calculator!$E$16)</f>
      </c>
      <c r="Z104" s="0">
        <f>MAX(0,H104-Calculator!$E$17)</f>
      </c>
      <c r="AA104" s="0">
        <f>MAX(0,I104-Calculator!$E$18)</f>
      </c>
      <c r="AB104" s="0">
        <f>MAX(0,J104-Calculator!$E$19)</f>
      </c>
      <c r="AC104" s="0">
        <f>MAX(0,K104-Calculator!$E$20)</f>
      </c>
      <c r="AD104" s="0">
        <f>MAX(0,L104-Calculator!$E$21)</f>
      </c>
      <c r="AE104" s="0">
        <f>MAX(0,M104-Calculator!$E$22)</f>
      </c>
      <c r="AF104" s="0">
        <f>MAX(0,N104-Calculator!$E$23)</f>
      </c>
      <c r="AG104" s="0">
        <f>MAX(0,O104-Calculator!$E$24)</f>
      </c>
      <c r="AH104" s="0">
        <f>MAX(0,P104-Calculator!$E$25)</f>
      </c>
      <c r="AI104" s="0">
        <f>MAX(0,Q104-Calculator!$E$26)</f>
      </c>
      <c r="AJ104" s="0">
        <f>MAX(0,R104-Calculator!$E$27)</f>
      </c>
      <c r="AK104" s="0">
        <f>MAX(0,S104-Calculator!$E$28)</f>
      </c>
      <c r="AL104" s="0">
        <f>MAX(0,MIN(T104,BX104-SUMPRODUCT(($T$2:$AK$2&lt;T$2)*($T104:$AK104))))</f>
      </c>
      <c r="AM104" s="0">
        <f>MAX(0,MIN(U104,BX104-SUMPRODUCT(($T$2:$AK$2&lt;U$2)*($T104:$AK104))))</f>
      </c>
      <c r="AN104" s="0">
        <f>MAX(0,MIN(V104,BX104-SUMPRODUCT(($T$2:$AK$2&lt;V$2)*($T104:$AK104))))</f>
      </c>
      <c r="AO104" s="0">
        <f>MAX(0,MIN(W104,BX104-SUMPRODUCT(($T$2:$AK$2&lt;W$2)*($T104:$AK104))))</f>
      </c>
      <c r="AP104" s="0">
        <f>MAX(0,MIN(X104,BX104-SUMPRODUCT(($T$2:$AK$2&lt;X$2)*($T104:$AK104))))</f>
      </c>
      <c r="AQ104" s="0">
        <f>MAX(0,MIN(Y104,BX104-SUMPRODUCT(($T$2:$AK$2&lt;Y$2)*($T104:$AK104))))</f>
      </c>
      <c r="AR104" s="0">
        <f>MAX(0,MIN(Z104,BX104-SUMPRODUCT(($T$2:$AK$2&lt;Z$2)*($T104:$AK104))))</f>
      </c>
      <c r="AS104" s="0">
        <f>MAX(0,MIN(AA104,BX104-SUMPRODUCT(($T$2:$AK$2&lt;AA$2)*($T104:$AK104))))</f>
      </c>
      <c r="AT104" s="0">
        <f>MAX(0,MIN(AB104,BX104-SUMPRODUCT(($T$2:$AK$2&lt;AB$2)*($T104:$AK104))))</f>
      </c>
      <c r="AU104" s="0">
        <f>MAX(0,MIN(AC104,BX104-SUMPRODUCT(($T$2:$AK$2&lt;AC$2)*($T104:$AK104))))</f>
      </c>
      <c r="AV104" s="0">
        <f>MAX(0,MIN(AD104,BX104-SUMPRODUCT(($T$2:$AK$2&lt;AD$2)*($T104:$AK104))))</f>
      </c>
      <c r="AW104" s="0">
        <f>MAX(0,MIN(AE104,BX104-SUMPRODUCT(($T$2:$AK$2&lt;AE$2)*($T104:$AK104))))</f>
      </c>
      <c r="AX104" s="0">
        <f>MAX(0,MIN(AF104,BX104-SUMPRODUCT(($T$2:$AK$2&lt;AF$2)*($T104:$AK104))))</f>
      </c>
      <c r="AY104" s="0">
        <f>MAX(0,MIN(AG104,BX104-SUMPRODUCT(($T$2:$AK$2&lt;AG$2)*($T104:$AK104))))</f>
      </c>
      <c r="AZ104" s="0">
        <f>MAX(0,MIN(AH104,BX104-SUMPRODUCT(($T$2:$AK$2&lt;AH$2)*($T104:$AK104))))</f>
      </c>
      <c r="BA104" s="0">
        <f>MAX(0,MIN(AI104,BX104-SUMPRODUCT(($T$2:$AK$2&lt;AI$2)*($T104:$AK104))))</f>
      </c>
      <c r="BB104" s="0">
        <f>MAX(0,MIN(AJ104,BX104-SUMPRODUCT(($T$2:$AK$2&lt;AJ$2)*($T104:$AK104))))</f>
      </c>
      <c r="BC104" s="0">
        <f>MAX(0,MIN(AK104,BX104-SUMPRODUCT(($T$2:$AK$2&lt;AK$2)*($T104:$AK104))))</f>
      </c>
      <c r="BD104" s="0">
        <f>T104-AL104</f>
      </c>
      <c r="BE104" s="0">
        <f>U104-AM104</f>
      </c>
      <c r="BF104" s="0">
        <f>V104-AN104</f>
      </c>
      <c r="BG104" s="0">
        <f>W104-AO104</f>
      </c>
      <c r="BH104" s="0">
        <f>X104-AP104</f>
      </c>
      <c r="BI104" s="0">
        <f>Y104-AQ104</f>
      </c>
      <c r="BJ104" s="0">
        <f>Z104-AR104</f>
      </c>
      <c r="BK104" s="0">
        <f>AA104-AS104</f>
      </c>
      <c r="BL104" s="0">
        <f>AB104-AT104</f>
      </c>
      <c r="BM104" s="0">
        <f>AC104-AU104</f>
      </c>
      <c r="BN104" s="0">
        <f>AD104-AV104</f>
      </c>
      <c r="BO104" s="0">
        <f>AE104-AW104</f>
      </c>
      <c r="BP104" s="0">
        <f>AF104-AX104</f>
      </c>
      <c r="BQ104" s="0">
        <f>AG104-AY104</f>
      </c>
      <c r="BR104" s="0">
        <f>AH104-AZ104</f>
      </c>
      <c r="BS104" s="0">
        <f>AI104-BA104</f>
      </c>
      <c r="BT104" s="0">
        <f>AJ104-BB104</f>
      </c>
      <c r="BU104" s="0">
        <f>AK104-BC104</f>
      </c>
      <c r="BV104" s="0">
        <f>SUM(B104:S104)</f>
      </c>
      <c r="BW104" s="0">
        <f>SUM(T104:AK104)</f>
      </c>
      <c r="BX104" s="0">
        <f>MAX(0,(SUM(Calculator!$E$11:$E$28)+Calculator!$C$6)-BV104+BW104)</f>
      </c>
      <c r="BY104" s="0">
        <f>SUM(BD104:BU104)</f>
      </c>
      <c r="BZ104" s="0">
        <f>BV104-BY103</f>
      </c>
      <c r="CA104" s="0">
        <f>IF(A104&lt;=IF($CD$1=0,999,$CD$1),BY104,NA())</f>
      </c>
      <c r="CB104" s="0">
        <f>IF(A104&lt;=IF($CD$1=0,999,$CD$1),A104,NA())</f>
      </c>
    </row>
    <row r="105">
      <c r="A105" s="0">
        <v>102</v>
      </c>
      <c r="B105" s="0">
        <f>BD104*(1+Calculator!$D$11/100/12)</f>
      </c>
      <c r="C105" s="0">
        <f>BE104*(1+Calculator!$D$12/100/12)</f>
      </c>
      <c r="D105" s="0">
        <f>BF104*(1+Calculator!$D$13/100/12)</f>
      </c>
      <c r="E105" s="0">
        <f>BG104*(1+Calculator!$D$14/100/12)</f>
      </c>
      <c r="F105" s="0">
        <f>BH104*(1+Calculator!$D$15/100/12)</f>
      </c>
      <c r="G105" s="0">
        <f>BI104*(1+Calculator!$D$16/100/12)</f>
      </c>
      <c r="H105" s="0">
        <f>BJ104*(1+Calculator!$D$17/100/12)</f>
      </c>
      <c r="I105" s="0">
        <f>BK104*(1+Calculator!$D$18/100/12)</f>
      </c>
      <c r="J105" s="0">
        <f>BL104*(1+Calculator!$D$19/100/12)</f>
      </c>
      <c r="K105" s="0">
        <f>BM104*(1+Calculator!$D$20/100/12)</f>
      </c>
      <c r="L105" s="0">
        <f>BN104*(1+Calculator!$D$21/100/12)</f>
      </c>
      <c r="M105" s="0">
        <f>BO104*(1+Calculator!$D$22/100/12)</f>
      </c>
      <c r="N105" s="0">
        <f>BP104*(1+Calculator!$D$23/100/12)</f>
      </c>
      <c r="O105" s="0">
        <f>BQ104*(1+Calculator!$D$24/100/12)</f>
      </c>
      <c r="P105" s="0">
        <f>BR104*(1+Calculator!$D$25/100/12)</f>
      </c>
      <c r="Q105" s="0">
        <f>BS104*(1+Calculator!$D$26/100/12)</f>
      </c>
      <c r="R105" s="0">
        <f>BT104*(1+Calculator!$D$27/100/12)</f>
      </c>
      <c r="S105" s="0">
        <f>BU104*(1+Calculator!$D$28/100/12)</f>
      </c>
      <c r="T105" s="0">
        <f>MAX(0,B105-Calculator!$E$11)</f>
      </c>
      <c r="U105" s="0">
        <f>MAX(0,C105-Calculator!$E$12)</f>
      </c>
      <c r="V105" s="0">
        <f>MAX(0,D105-Calculator!$E$13)</f>
      </c>
      <c r="W105" s="0">
        <f>MAX(0,E105-Calculator!$E$14)</f>
      </c>
      <c r="X105" s="0">
        <f>MAX(0,F105-Calculator!$E$15)</f>
      </c>
      <c r="Y105" s="0">
        <f>MAX(0,G105-Calculator!$E$16)</f>
      </c>
      <c r="Z105" s="0">
        <f>MAX(0,H105-Calculator!$E$17)</f>
      </c>
      <c r="AA105" s="0">
        <f>MAX(0,I105-Calculator!$E$18)</f>
      </c>
      <c r="AB105" s="0">
        <f>MAX(0,J105-Calculator!$E$19)</f>
      </c>
      <c r="AC105" s="0">
        <f>MAX(0,K105-Calculator!$E$20)</f>
      </c>
      <c r="AD105" s="0">
        <f>MAX(0,L105-Calculator!$E$21)</f>
      </c>
      <c r="AE105" s="0">
        <f>MAX(0,M105-Calculator!$E$22)</f>
      </c>
      <c r="AF105" s="0">
        <f>MAX(0,N105-Calculator!$E$23)</f>
      </c>
      <c r="AG105" s="0">
        <f>MAX(0,O105-Calculator!$E$24)</f>
      </c>
      <c r="AH105" s="0">
        <f>MAX(0,P105-Calculator!$E$25)</f>
      </c>
      <c r="AI105" s="0">
        <f>MAX(0,Q105-Calculator!$E$26)</f>
      </c>
      <c r="AJ105" s="0">
        <f>MAX(0,R105-Calculator!$E$27)</f>
      </c>
      <c r="AK105" s="0">
        <f>MAX(0,S105-Calculator!$E$28)</f>
      </c>
      <c r="AL105" s="0">
        <f>MAX(0,MIN(T105,BX105-SUMPRODUCT(($T$2:$AK$2&lt;T$2)*($T105:$AK105))))</f>
      </c>
      <c r="AM105" s="0">
        <f>MAX(0,MIN(U105,BX105-SUMPRODUCT(($T$2:$AK$2&lt;U$2)*($T105:$AK105))))</f>
      </c>
      <c r="AN105" s="0">
        <f>MAX(0,MIN(V105,BX105-SUMPRODUCT(($T$2:$AK$2&lt;V$2)*($T105:$AK105))))</f>
      </c>
      <c r="AO105" s="0">
        <f>MAX(0,MIN(W105,BX105-SUMPRODUCT(($T$2:$AK$2&lt;W$2)*($T105:$AK105))))</f>
      </c>
      <c r="AP105" s="0">
        <f>MAX(0,MIN(X105,BX105-SUMPRODUCT(($T$2:$AK$2&lt;X$2)*($T105:$AK105))))</f>
      </c>
      <c r="AQ105" s="0">
        <f>MAX(0,MIN(Y105,BX105-SUMPRODUCT(($T$2:$AK$2&lt;Y$2)*($T105:$AK105))))</f>
      </c>
      <c r="AR105" s="0">
        <f>MAX(0,MIN(Z105,BX105-SUMPRODUCT(($T$2:$AK$2&lt;Z$2)*($T105:$AK105))))</f>
      </c>
      <c r="AS105" s="0">
        <f>MAX(0,MIN(AA105,BX105-SUMPRODUCT(($T$2:$AK$2&lt;AA$2)*($T105:$AK105))))</f>
      </c>
      <c r="AT105" s="0">
        <f>MAX(0,MIN(AB105,BX105-SUMPRODUCT(($T$2:$AK$2&lt;AB$2)*($T105:$AK105))))</f>
      </c>
      <c r="AU105" s="0">
        <f>MAX(0,MIN(AC105,BX105-SUMPRODUCT(($T$2:$AK$2&lt;AC$2)*($T105:$AK105))))</f>
      </c>
      <c r="AV105" s="0">
        <f>MAX(0,MIN(AD105,BX105-SUMPRODUCT(($T$2:$AK$2&lt;AD$2)*($T105:$AK105))))</f>
      </c>
      <c r="AW105" s="0">
        <f>MAX(0,MIN(AE105,BX105-SUMPRODUCT(($T$2:$AK$2&lt;AE$2)*($T105:$AK105))))</f>
      </c>
      <c r="AX105" s="0">
        <f>MAX(0,MIN(AF105,BX105-SUMPRODUCT(($T$2:$AK$2&lt;AF$2)*($T105:$AK105))))</f>
      </c>
      <c r="AY105" s="0">
        <f>MAX(0,MIN(AG105,BX105-SUMPRODUCT(($T$2:$AK$2&lt;AG$2)*($T105:$AK105))))</f>
      </c>
      <c r="AZ105" s="0">
        <f>MAX(0,MIN(AH105,BX105-SUMPRODUCT(($T$2:$AK$2&lt;AH$2)*($T105:$AK105))))</f>
      </c>
      <c r="BA105" s="0">
        <f>MAX(0,MIN(AI105,BX105-SUMPRODUCT(($T$2:$AK$2&lt;AI$2)*($T105:$AK105))))</f>
      </c>
      <c r="BB105" s="0">
        <f>MAX(0,MIN(AJ105,BX105-SUMPRODUCT(($T$2:$AK$2&lt;AJ$2)*($T105:$AK105))))</f>
      </c>
      <c r="BC105" s="0">
        <f>MAX(0,MIN(AK105,BX105-SUMPRODUCT(($T$2:$AK$2&lt;AK$2)*($T105:$AK105))))</f>
      </c>
      <c r="BD105" s="0">
        <f>T105-AL105</f>
      </c>
      <c r="BE105" s="0">
        <f>U105-AM105</f>
      </c>
      <c r="BF105" s="0">
        <f>V105-AN105</f>
      </c>
      <c r="BG105" s="0">
        <f>W105-AO105</f>
      </c>
      <c r="BH105" s="0">
        <f>X105-AP105</f>
      </c>
      <c r="BI105" s="0">
        <f>Y105-AQ105</f>
      </c>
      <c r="BJ105" s="0">
        <f>Z105-AR105</f>
      </c>
      <c r="BK105" s="0">
        <f>AA105-AS105</f>
      </c>
      <c r="BL105" s="0">
        <f>AB105-AT105</f>
      </c>
      <c r="BM105" s="0">
        <f>AC105-AU105</f>
      </c>
      <c r="BN105" s="0">
        <f>AD105-AV105</f>
      </c>
      <c r="BO105" s="0">
        <f>AE105-AW105</f>
      </c>
      <c r="BP105" s="0">
        <f>AF105-AX105</f>
      </c>
      <c r="BQ105" s="0">
        <f>AG105-AY105</f>
      </c>
      <c r="BR105" s="0">
        <f>AH105-AZ105</f>
      </c>
      <c r="BS105" s="0">
        <f>AI105-BA105</f>
      </c>
      <c r="BT105" s="0">
        <f>AJ105-BB105</f>
      </c>
      <c r="BU105" s="0">
        <f>AK105-BC105</f>
      </c>
      <c r="BV105" s="0">
        <f>SUM(B105:S105)</f>
      </c>
      <c r="BW105" s="0">
        <f>SUM(T105:AK105)</f>
      </c>
      <c r="BX105" s="0">
        <f>MAX(0,(SUM(Calculator!$E$11:$E$28)+Calculator!$C$6)-BV105+BW105)</f>
      </c>
      <c r="BY105" s="0">
        <f>SUM(BD105:BU105)</f>
      </c>
      <c r="BZ105" s="0">
        <f>BV105-BY104</f>
      </c>
      <c r="CA105" s="0">
        <f>IF(A105&lt;=IF($CD$1=0,999,$CD$1),BY105,NA())</f>
      </c>
      <c r="CB105" s="0">
        <f>IF(A105&lt;=IF($CD$1=0,999,$CD$1),A105,NA())</f>
      </c>
    </row>
    <row r="106">
      <c r="A106" s="0">
        <v>103</v>
      </c>
      <c r="B106" s="0">
        <f>BD105*(1+Calculator!$D$11/100/12)</f>
      </c>
      <c r="C106" s="0">
        <f>BE105*(1+Calculator!$D$12/100/12)</f>
      </c>
      <c r="D106" s="0">
        <f>BF105*(1+Calculator!$D$13/100/12)</f>
      </c>
      <c r="E106" s="0">
        <f>BG105*(1+Calculator!$D$14/100/12)</f>
      </c>
      <c r="F106" s="0">
        <f>BH105*(1+Calculator!$D$15/100/12)</f>
      </c>
      <c r="G106" s="0">
        <f>BI105*(1+Calculator!$D$16/100/12)</f>
      </c>
      <c r="H106" s="0">
        <f>BJ105*(1+Calculator!$D$17/100/12)</f>
      </c>
      <c r="I106" s="0">
        <f>BK105*(1+Calculator!$D$18/100/12)</f>
      </c>
      <c r="J106" s="0">
        <f>BL105*(1+Calculator!$D$19/100/12)</f>
      </c>
      <c r="K106" s="0">
        <f>BM105*(1+Calculator!$D$20/100/12)</f>
      </c>
      <c r="L106" s="0">
        <f>BN105*(1+Calculator!$D$21/100/12)</f>
      </c>
      <c r="M106" s="0">
        <f>BO105*(1+Calculator!$D$22/100/12)</f>
      </c>
      <c r="N106" s="0">
        <f>BP105*(1+Calculator!$D$23/100/12)</f>
      </c>
      <c r="O106" s="0">
        <f>BQ105*(1+Calculator!$D$24/100/12)</f>
      </c>
      <c r="P106" s="0">
        <f>BR105*(1+Calculator!$D$25/100/12)</f>
      </c>
      <c r="Q106" s="0">
        <f>BS105*(1+Calculator!$D$26/100/12)</f>
      </c>
      <c r="R106" s="0">
        <f>BT105*(1+Calculator!$D$27/100/12)</f>
      </c>
      <c r="S106" s="0">
        <f>BU105*(1+Calculator!$D$28/100/12)</f>
      </c>
      <c r="T106" s="0">
        <f>MAX(0,B106-Calculator!$E$11)</f>
      </c>
      <c r="U106" s="0">
        <f>MAX(0,C106-Calculator!$E$12)</f>
      </c>
      <c r="V106" s="0">
        <f>MAX(0,D106-Calculator!$E$13)</f>
      </c>
      <c r="W106" s="0">
        <f>MAX(0,E106-Calculator!$E$14)</f>
      </c>
      <c r="X106" s="0">
        <f>MAX(0,F106-Calculator!$E$15)</f>
      </c>
      <c r="Y106" s="0">
        <f>MAX(0,G106-Calculator!$E$16)</f>
      </c>
      <c r="Z106" s="0">
        <f>MAX(0,H106-Calculator!$E$17)</f>
      </c>
      <c r="AA106" s="0">
        <f>MAX(0,I106-Calculator!$E$18)</f>
      </c>
      <c r="AB106" s="0">
        <f>MAX(0,J106-Calculator!$E$19)</f>
      </c>
      <c r="AC106" s="0">
        <f>MAX(0,K106-Calculator!$E$20)</f>
      </c>
      <c r="AD106" s="0">
        <f>MAX(0,L106-Calculator!$E$21)</f>
      </c>
      <c r="AE106" s="0">
        <f>MAX(0,M106-Calculator!$E$22)</f>
      </c>
      <c r="AF106" s="0">
        <f>MAX(0,N106-Calculator!$E$23)</f>
      </c>
      <c r="AG106" s="0">
        <f>MAX(0,O106-Calculator!$E$24)</f>
      </c>
      <c r="AH106" s="0">
        <f>MAX(0,P106-Calculator!$E$25)</f>
      </c>
      <c r="AI106" s="0">
        <f>MAX(0,Q106-Calculator!$E$26)</f>
      </c>
      <c r="AJ106" s="0">
        <f>MAX(0,R106-Calculator!$E$27)</f>
      </c>
      <c r="AK106" s="0">
        <f>MAX(0,S106-Calculator!$E$28)</f>
      </c>
      <c r="AL106" s="0">
        <f>MAX(0,MIN(T106,BX106-SUMPRODUCT(($T$2:$AK$2&lt;T$2)*($T106:$AK106))))</f>
      </c>
      <c r="AM106" s="0">
        <f>MAX(0,MIN(U106,BX106-SUMPRODUCT(($T$2:$AK$2&lt;U$2)*($T106:$AK106))))</f>
      </c>
      <c r="AN106" s="0">
        <f>MAX(0,MIN(V106,BX106-SUMPRODUCT(($T$2:$AK$2&lt;V$2)*($T106:$AK106))))</f>
      </c>
      <c r="AO106" s="0">
        <f>MAX(0,MIN(W106,BX106-SUMPRODUCT(($T$2:$AK$2&lt;W$2)*($T106:$AK106))))</f>
      </c>
      <c r="AP106" s="0">
        <f>MAX(0,MIN(X106,BX106-SUMPRODUCT(($T$2:$AK$2&lt;X$2)*($T106:$AK106))))</f>
      </c>
      <c r="AQ106" s="0">
        <f>MAX(0,MIN(Y106,BX106-SUMPRODUCT(($T$2:$AK$2&lt;Y$2)*($T106:$AK106))))</f>
      </c>
      <c r="AR106" s="0">
        <f>MAX(0,MIN(Z106,BX106-SUMPRODUCT(($T$2:$AK$2&lt;Z$2)*($T106:$AK106))))</f>
      </c>
      <c r="AS106" s="0">
        <f>MAX(0,MIN(AA106,BX106-SUMPRODUCT(($T$2:$AK$2&lt;AA$2)*($T106:$AK106))))</f>
      </c>
      <c r="AT106" s="0">
        <f>MAX(0,MIN(AB106,BX106-SUMPRODUCT(($T$2:$AK$2&lt;AB$2)*($T106:$AK106))))</f>
      </c>
      <c r="AU106" s="0">
        <f>MAX(0,MIN(AC106,BX106-SUMPRODUCT(($T$2:$AK$2&lt;AC$2)*($T106:$AK106))))</f>
      </c>
      <c r="AV106" s="0">
        <f>MAX(0,MIN(AD106,BX106-SUMPRODUCT(($T$2:$AK$2&lt;AD$2)*($T106:$AK106))))</f>
      </c>
      <c r="AW106" s="0">
        <f>MAX(0,MIN(AE106,BX106-SUMPRODUCT(($T$2:$AK$2&lt;AE$2)*($T106:$AK106))))</f>
      </c>
      <c r="AX106" s="0">
        <f>MAX(0,MIN(AF106,BX106-SUMPRODUCT(($T$2:$AK$2&lt;AF$2)*($T106:$AK106))))</f>
      </c>
      <c r="AY106" s="0">
        <f>MAX(0,MIN(AG106,BX106-SUMPRODUCT(($T$2:$AK$2&lt;AG$2)*($T106:$AK106))))</f>
      </c>
      <c r="AZ106" s="0">
        <f>MAX(0,MIN(AH106,BX106-SUMPRODUCT(($T$2:$AK$2&lt;AH$2)*($T106:$AK106))))</f>
      </c>
      <c r="BA106" s="0">
        <f>MAX(0,MIN(AI106,BX106-SUMPRODUCT(($T$2:$AK$2&lt;AI$2)*($T106:$AK106))))</f>
      </c>
      <c r="BB106" s="0">
        <f>MAX(0,MIN(AJ106,BX106-SUMPRODUCT(($T$2:$AK$2&lt;AJ$2)*($T106:$AK106))))</f>
      </c>
      <c r="BC106" s="0">
        <f>MAX(0,MIN(AK106,BX106-SUMPRODUCT(($T$2:$AK$2&lt;AK$2)*($T106:$AK106))))</f>
      </c>
      <c r="BD106" s="0">
        <f>T106-AL106</f>
      </c>
      <c r="BE106" s="0">
        <f>U106-AM106</f>
      </c>
      <c r="BF106" s="0">
        <f>V106-AN106</f>
      </c>
      <c r="BG106" s="0">
        <f>W106-AO106</f>
      </c>
      <c r="BH106" s="0">
        <f>X106-AP106</f>
      </c>
      <c r="BI106" s="0">
        <f>Y106-AQ106</f>
      </c>
      <c r="BJ106" s="0">
        <f>Z106-AR106</f>
      </c>
      <c r="BK106" s="0">
        <f>AA106-AS106</f>
      </c>
      <c r="BL106" s="0">
        <f>AB106-AT106</f>
      </c>
      <c r="BM106" s="0">
        <f>AC106-AU106</f>
      </c>
      <c r="BN106" s="0">
        <f>AD106-AV106</f>
      </c>
      <c r="BO106" s="0">
        <f>AE106-AW106</f>
      </c>
      <c r="BP106" s="0">
        <f>AF106-AX106</f>
      </c>
      <c r="BQ106" s="0">
        <f>AG106-AY106</f>
      </c>
      <c r="BR106" s="0">
        <f>AH106-AZ106</f>
      </c>
      <c r="BS106" s="0">
        <f>AI106-BA106</f>
      </c>
      <c r="BT106" s="0">
        <f>AJ106-BB106</f>
      </c>
      <c r="BU106" s="0">
        <f>AK106-BC106</f>
      </c>
      <c r="BV106" s="0">
        <f>SUM(B106:S106)</f>
      </c>
      <c r="BW106" s="0">
        <f>SUM(T106:AK106)</f>
      </c>
      <c r="BX106" s="0">
        <f>MAX(0,(SUM(Calculator!$E$11:$E$28)+Calculator!$C$6)-BV106+BW106)</f>
      </c>
      <c r="BY106" s="0">
        <f>SUM(BD106:BU106)</f>
      </c>
      <c r="BZ106" s="0">
        <f>BV106-BY105</f>
      </c>
      <c r="CA106" s="0">
        <f>IF(A106&lt;=IF($CD$1=0,999,$CD$1),BY106,NA())</f>
      </c>
      <c r="CB106" s="0">
        <f>IF(A106&lt;=IF($CD$1=0,999,$CD$1),A106,NA())</f>
      </c>
    </row>
    <row r="107">
      <c r="A107" s="0">
        <v>104</v>
      </c>
      <c r="B107" s="0">
        <f>BD106*(1+Calculator!$D$11/100/12)</f>
      </c>
      <c r="C107" s="0">
        <f>BE106*(1+Calculator!$D$12/100/12)</f>
      </c>
      <c r="D107" s="0">
        <f>BF106*(1+Calculator!$D$13/100/12)</f>
      </c>
      <c r="E107" s="0">
        <f>BG106*(1+Calculator!$D$14/100/12)</f>
      </c>
      <c r="F107" s="0">
        <f>BH106*(1+Calculator!$D$15/100/12)</f>
      </c>
      <c r="G107" s="0">
        <f>BI106*(1+Calculator!$D$16/100/12)</f>
      </c>
      <c r="H107" s="0">
        <f>BJ106*(1+Calculator!$D$17/100/12)</f>
      </c>
      <c r="I107" s="0">
        <f>BK106*(1+Calculator!$D$18/100/12)</f>
      </c>
      <c r="J107" s="0">
        <f>BL106*(1+Calculator!$D$19/100/12)</f>
      </c>
      <c r="K107" s="0">
        <f>BM106*(1+Calculator!$D$20/100/12)</f>
      </c>
      <c r="L107" s="0">
        <f>BN106*(1+Calculator!$D$21/100/12)</f>
      </c>
      <c r="M107" s="0">
        <f>BO106*(1+Calculator!$D$22/100/12)</f>
      </c>
      <c r="N107" s="0">
        <f>BP106*(1+Calculator!$D$23/100/12)</f>
      </c>
      <c r="O107" s="0">
        <f>BQ106*(1+Calculator!$D$24/100/12)</f>
      </c>
      <c r="P107" s="0">
        <f>BR106*(1+Calculator!$D$25/100/12)</f>
      </c>
      <c r="Q107" s="0">
        <f>BS106*(1+Calculator!$D$26/100/12)</f>
      </c>
      <c r="R107" s="0">
        <f>BT106*(1+Calculator!$D$27/100/12)</f>
      </c>
      <c r="S107" s="0">
        <f>BU106*(1+Calculator!$D$28/100/12)</f>
      </c>
      <c r="T107" s="0">
        <f>MAX(0,B107-Calculator!$E$11)</f>
      </c>
      <c r="U107" s="0">
        <f>MAX(0,C107-Calculator!$E$12)</f>
      </c>
      <c r="V107" s="0">
        <f>MAX(0,D107-Calculator!$E$13)</f>
      </c>
      <c r="W107" s="0">
        <f>MAX(0,E107-Calculator!$E$14)</f>
      </c>
      <c r="X107" s="0">
        <f>MAX(0,F107-Calculator!$E$15)</f>
      </c>
      <c r="Y107" s="0">
        <f>MAX(0,G107-Calculator!$E$16)</f>
      </c>
      <c r="Z107" s="0">
        <f>MAX(0,H107-Calculator!$E$17)</f>
      </c>
      <c r="AA107" s="0">
        <f>MAX(0,I107-Calculator!$E$18)</f>
      </c>
      <c r="AB107" s="0">
        <f>MAX(0,J107-Calculator!$E$19)</f>
      </c>
      <c r="AC107" s="0">
        <f>MAX(0,K107-Calculator!$E$20)</f>
      </c>
      <c r="AD107" s="0">
        <f>MAX(0,L107-Calculator!$E$21)</f>
      </c>
      <c r="AE107" s="0">
        <f>MAX(0,M107-Calculator!$E$22)</f>
      </c>
      <c r="AF107" s="0">
        <f>MAX(0,N107-Calculator!$E$23)</f>
      </c>
      <c r="AG107" s="0">
        <f>MAX(0,O107-Calculator!$E$24)</f>
      </c>
      <c r="AH107" s="0">
        <f>MAX(0,P107-Calculator!$E$25)</f>
      </c>
      <c r="AI107" s="0">
        <f>MAX(0,Q107-Calculator!$E$26)</f>
      </c>
      <c r="AJ107" s="0">
        <f>MAX(0,R107-Calculator!$E$27)</f>
      </c>
      <c r="AK107" s="0">
        <f>MAX(0,S107-Calculator!$E$28)</f>
      </c>
      <c r="AL107" s="0">
        <f>MAX(0,MIN(T107,BX107-SUMPRODUCT(($T$2:$AK$2&lt;T$2)*($T107:$AK107))))</f>
      </c>
      <c r="AM107" s="0">
        <f>MAX(0,MIN(U107,BX107-SUMPRODUCT(($T$2:$AK$2&lt;U$2)*($T107:$AK107))))</f>
      </c>
      <c r="AN107" s="0">
        <f>MAX(0,MIN(V107,BX107-SUMPRODUCT(($T$2:$AK$2&lt;V$2)*($T107:$AK107))))</f>
      </c>
      <c r="AO107" s="0">
        <f>MAX(0,MIN(W107,BX107-SUMPRODUCT(($T$2:$AK$2&lt;W$2)*($T107:$AK107))))</f>
      </c>
      <c r="AP107" s="0">
        <f>MAX(0,MIN(X107,BX107-SUMPRODUCT(($T$2:$AK$2&lt;X$2)*($T107:$AK107))))</f>
      </c>
      <c r="AQ107" s="0">
        <f>MAX(0,MIN(Y107,BX107-SUMPRODUCT(($T$2:$AK$2&lt;Y$2)*($T107:$AK107))))</f>
      </c>
      <c r="AR107" s="0">
        <f>MAX(0,MIN(Z107,BX107-SUMPRODUCT(($T$2:$AK$2&lt;Z$2)*($T107:$AK107))))</f>
      </c>
      <c r="AS107" s="0">
        <f>MAX(0,MIN(AA107,BX107-SUMPRODUCT(($T$2:$AK$2&lt;AA$2)*($T107:$AK107))))</f>
      </c>
      <c r="AT107" s="0">
        <f>MAX(0,MIN(AB107,BX107-SUMPRODUCT(($T$2:$AK$2&lt;AB$2)*($T107:$AK107))))</f>
      </c>
      <c r="AU107" s="0">
        <f>MAX(0,MIN(AC107,BX107-SUMPRODUCT(($T$2:$AK$2&lt;AC$2)*($T107:$AK107))))</f>
      </c>
      <c r="AV107" s="0">
        <f>MAX(0,MIN(AD107,BX107-SUMPRODUCT(($T$2:$AK$2&lt;AD$2)*($T107:$AK107))))</f>
      </c>
      <c r="AW107" s="0">
        <f>MAX(0,MIN(AE107,BX107-SUMPRODUCT(($T$2:$AK$2&lt;AE$2)*($T107:$AK107))))</f>
      </c>
      <c r="AX107" s="0">
        <f>MAX(0,MIN(AF107,BX107-SUMPRODUCT(($T$2:$AK$2&lt;AF$2)*($T107:$AK107))))</f>
      </c>
      <c r="AY107" s="0">
        <f>MAX(0,MIN(AG107,BX107-SUMPRODUCT(($T$2:$AK$2&lt;AG$2)*($T107:$AK107))))</f>
      </c>
      <c r="AZ107" s="0">
        <f>MAX(0,MIN(AH107,BX107-SUMPRODUCT(($T$2:$AK$2&lt;AH$2)*($T107:$AK107))))</f>
      </c>
      <c r="BA107" s="0">
        <f>MAX(0,MIN(AI107,BX107-SUMPRODUCT(($T$2:$AK$2&lt;AI$2)*($T107:$AK107))))</f>
      </c>
      <c r="BB107" s="0">
        <f>MAX(0,MIN(AJ107,BX107-SUMPRODUCT(($T$2:$AK$2&lt;AJ$2)*($T107:$AK107))))</f>
      </c>
      <c r="BC107" s="0">
        <f>MAX(0,MIN(AK107,BX107-SUMPRODUCT(($T$2:$AK$2&lt;AK$2)*($T107:$AK107))))</f>
      </c>
      <c r="BD107" s="0">
        <f>T107-AL107</f>
      </c>
      <c r="BE107" s="0">
        <f>U107-AM107</f>
      </c>
      <c r="BF107" s="0">
        <f>V107-AN107</f>
      </c>
      <c r="BG107" s="0">
        <f>W107-AO107</f>
      </c>
      <c r="BH107" s="0">
        <f>X107-AP107</f>
      </c>
      <c r="BI107" s="0">
        <f>Y107-AQ107</f>
      </c>
      <c r="BJ107" s="0">
        <f>Z107-AR107</f>
      </c>
      <c r="BK107" s="0">
        <f>AA107-AS107</f>
      </c>
      <c r="BL107" s="0">
        <f>AB107-AT107</f>
      </c>
      <c r="BM107" s="0">
        <f>AC107-AU107</f>
      </c>
      <c r="BN107" s="0">
        <f>AD107-AV107</f>
      </c>
      <c r="BO107" s="0">
        <f>AE107-AW107</f>
      </c>
      <c r="BP107" s="0">
        <f>AF107-AX107</f>
      </c>
      <c r="BQ107" s="0">
        <f>AG107-AY107</f>
      </c>
      <c r="BR107" s="0">
        <f>AH107-AZ107</f>
      </c>
      <c r="BS107" s="0">
        <f>AI107-BA107</f>
      </c>
      <c r="BT107" s="0">
        <f>AJ107-BB107</f>
      </c>
      <c r="BU107" s="0">
        <f>AK107-BC107</f>
      </c>
      <c r="BV107" s="0">
        <f>SUM(B107:S107)</f>
      </c>
      <c r="BW107" s="0">
        <f>SUM(T107:AK107)</f>
      </c>
      <c r="BX107" s="0">
        <f>MAX(0,(SUM(Calculator!$E$11:$E$28)+Calculator!$C$6)-BV107+BW107)</f>
      </c>
      <c r="BY107" s="0">
        <f>SUM(BD107:BU107)</f>
      </c>
      <c r="BZ107" s="0">
        <f>BV107-BY106</f>
      </c>
      <c r="CA107" s="0">
        <f>IF(A107&lt;=IF($CD$1=0,999,$CD$1),BY107,NA())</f>
      </c>
      <c r="CB107" s="0">
        <f>IF(A107&lt;=IF($CD$1=0,999,$CD$1),A107,NA())</f>
      </c>
    </row>
    <row r="108">
      <c r="A108" s="0">
        <v>105</v>
      </c>
      <c r="B108" s="0">
        <f>BD107*(1+Calculator!$D$11/100/12)</f>
      </c>
      <c r="C108" s="0">
        <f>BE107*(1+Calculator!$D$12/100/12)</f>
      </c>
      <c r="D108" s="0">
        <f>BF107*(1+Calculator!$D$13/100/12)</f>
      </c>
      <c r="E108" s="0">
        <f>BG107*(1+Calculator!$D$14/100/12)</f>
      </c>
      <c r="F108" s="0">
        <f>BH107*(1+Calculator!$D$15/100/12)</f>
      </c>
      <c r="G108" s="0">
        <f>BI107*(1+Calculator!$D$16/100/12)</f>
      </c>
      <c r="H108" s="0">
        <f>BJ107*(1+Calculator!$D$17/100/12)</f>
      </c>
      <c r="I108" s="0">
        <f>BK107*(1+Calculator!$D$18/100/12)</f>
      </c>
      <c r="J108" s="0">
        <f>BL107*(1+Calculator!$D$19/100/12)</f>
      </c>
      <c r="K108" s="0">
        <f>BM107*(1+Calculator!$D$20/100/12)</f>
      </c>
      <c r="L108" s="0">
        <f>BN107*(1+Calculator!$D$21/100/12)</f>
      </c>
      <c r="M108" s="0">
        <f>BO107*(1+Calculator!$D$22/100/12)</f>
      </c>
      <c r="N108" s="0">
        <f>BP107*(1+Calculator!$D$23/100/12)</f>
      </c>
      <c r="O108" s="0">
        <f>BQ107*(1+Calculator!$D$24/100/12)</f>
      </c>
      <c r="P108" s="0">
        <f>BR107*(1+Calculator!$D$25/100/12)</f>
      </c>
      <c r="Q108" s="0">
        <f>BS107*(1+Calculator!$D$26/100/12)</f>
      </c>
      <c r="R108" s="0">
        <f>BT107*(1+Calculator!$D$27/100/12)</f>
      </c>
      <c r="S108" s="0">
        <f>BU107*(1+Calculator!$D$28/100/12)</f>
      </c>
      <c r="T108" s="0">
        <f>MAX(0,B108-Calculator!$E$11)</f>
      </c>
      <c r="U108" s="0">
        <f>MAX(0,C108-Calculator!$E$12)</f>
      </c>
      <c r="V108" s="0">
        <f>MAX(0,D108-Calculator!$E$13)</f>
      </c>
      <c r="W108" s="0">
        <f>MAX(0,E108-Calculator!$E$14)</f>
      </c>
      <c r="X108" s="0">
        <f>MAX(0,F108-Calculator!$E$15)</f>
      </c>
      <c r="Y108" s="0">
        <f>MAX(0,G108-Calculator!$E$16)</f>
      </c>
      <c r="Z108" s="0">
        <f>MAX(0,H108-Calculator!$E$17)</f>
      </c>
      <c r="AA108" s="0">
        <f>MAX(0,I108-Calculator!$E$18)</f>
      </c>
      <c r="AB108" s="0">
        <f>MAX(0,J108-Calculator!$E$19)</f>
      </c>
      <c r="AC108" s="0">
        <f>MAX(0,K108-Calculator!$E$20)</f>
      </c>
      <c r="AD108" s="0">
        <f>MAX(0,L108-Calculator!$E$21)</f>
      </c>
      <c r="AE108" s="0">
        <f>MAX(0,M108-Calculator!$E$22)</f>
      </c>
      <c r="AF108" s="0">
        <f>MAX(0,N108-Calculator!$E$23)</f>
      </c>
      <c r="AG108" s="0">
        <f>MAX(0,O108-Calculator!$E$24)</f>
      </c>
      <c r="AH108" s="0">
        <f>MAX(0,P108-Calculator!$E$25)</f>
      </c>
      <c r="AI108" s="0">
        <f>MAX(0,Q108-Calculator!$E$26)</f>
      </c>
      <c r="AJ108" s="0">
        <f>MAX(0,R108-Calculator!$E$27)</f>
      </c>
      <c r="AK108" s="0">
        <f>MAX(0,S108-Calculator!$E$28)</f>
      </c>
      <c r="AL108" s="0">
        <f>MAX(0,MIN(T108,BX108-SUMPRODUCT(($T$2:$AK$2&lt;T$2)*($T108:$AK108))))</f>
      </c>
      <c r="AM108" s="0">
        <f>MAX(0,MIN(U108,BX108-SUMPRODUCT(($T$2:$AK$2&lt;U$2)*($T108:$AK108))))</f>
      </c>
      <c r="AN108" s="0">
        <f>MAX(0,MIN(V108,BX108-SUMPRODUCT(($T$2:$AK$2&lt;V$2)*($T108:$AK108))))</f>
      </c>
      <c r="AO108" s="0">
        <f>MAX(0,MIN(W108,BX108-SUMPRODUCT(($T$2:$AK$2&lt;W$2)*($T108:$AK108))))</f>
      </c>
      <c r="AP108" s="0">
        <f>MAX(0,MIN(X108,BX108-SUMPRODUCT(($T$2:$AK$2&lt;X$2)*($T108:$AK108))))</f>
      </c>
      <c r="AQ108" s="0">
        <f>MAX(0,MIN(Y108,BX108-SUMPRODUCT(($T$2:$AK$2&lt;Y$2)*($T108:$AK108))))</f>
      </c>
      <c r="AR108" s="0">
        <f>MAX(0,MIN(Z108,BX108-SUMPRODUCT(($T$2:$AK$2&lt;Z$2)*($T108:$AK108))))</f>
      </c>
      <c r="AS108" s="0">
        <f>MAX(0,MIN(AA108,BX108-SUMPRODUCT(($T$2:$AK$2&lt;AA$2)*($T108:$AK108))))</f>
      </c>
      <c r="AT108" s="0">
        <f>MAX(0,MIN(AB108,BX108-SUMPRODUCT(($T$2:$AK$2&lt;AB$2)*($T108:$AK108))))</f>
      </c>
      <c r="AU108" s="0">
        <f>MAX(0,MIN(AC108,BX108-SUMPRODUCT(($T$2:$AK$2&lt;AC$2)*($T108:$AK108))))</f>
      </c>
      <c r="AV108" s="0">
        <f>MAX(0,MIN(AD108,BX108-SUMPRODUCT(($T$2:$AK$2&lt;AD$2)*($T108:$AK108))))</f>
      </c>
      <c r="AW108" s="0">
        <f>MAX(0,MIN(AE108,BX108-SUMPRODUCT(($T$2:$AK$2&lt;AE$2)*($T108:$AK108))))</f>
      </c>
      <c r="AX108" s="0">
        <f>MAX(0,MIN(AF108,BX108-SUMPRODUCT(($T$2:$AK$2&lt;AF$2)*($T108:$AK108))))</f>
      </c>
      <c r="AY108" s="0">
        <f>MAX(0,MIN(AG108,BX108-SUMPRODUCT(($T$2:$AK$2&lt;AG$2)*($T108:$AK108))))</f>
      </c>
      <c r="AZ108" s="0">
        <f>MAX(0,MIN(AH108,BX108-SUMPRODUCT(($T$2:$AK$2&lt;AH$2)*($T108:$AK108))))</f>
      </c>
      <c r="BA108" s="0">
        <f>MAX(0,MIN(AI108,BX108-SUMPRODUCT(($T$2:$AK$2&lt;AI$2)*($T108:$AK108))))</f>
      </c>
      <c r="BB108" s="0">
        <f>MAX(0,MIN(AJ108,BX108-SUMPRODUCT(($T$2:$AK$2&lt;AJ$2)*($T108:$AK108))))</f>
      </c>
      <c r="BC108" s="0">
        <f>MAX(0,MIN(AK108,BX108-SUMPRODUCT(($T$2:$AK$2&lt;AK$2)*($T108:$AK108))))</f>
      </c>
      <c r="BD108" s="0">
        <f>T108-AL108</f>
      </c>
      <c r="BE108" s="0">
        <f>U108-AM108</f>
      </c>
      <c r="BF108" s="0">
        <f>V108-AN108</f>
      </c>
      <c r="BG108" s="0">
        <f>W108-AO108</f>
      </c>
      <c r="BH108" s="0">
        <f>X108-AP108</f>
      </c>
      <c r="BI108" s="0">
        <f>Y108-AQ108</f>
      </c>
      <c r="BJ108" s="0">
        <f>Z108-AR108</f>
      </c>
      <c r="BK108" s="0">
        <f>AA108-AS108</f>
      </c>
      <c r="BL108" s="0">
        <f>AB108-AT108</f>
      </c>
      <c r="BM108" s="0">
        <f>AC108-AU108</f>
      </c>
      <c r="BN108" s="0">
        <f>AD108-AV108</f>
      </c>
      <c r="BO108" s="0">
        <f>AE108-AW108</f>
      </c>
      <c r="BP108" s="0">
        <f>AF108-AX108</f>
      </c>
      <c r="BQ108" s="0">
        <f>AG108-AY108</f>
      </c>
      <c r="BR108" s="0">
        <f>AH108-AZ108</f>
      </c>
      <c r="BS108" s="0">
        <f>AI108-BA108</f>
      </c>
      <c r="BT108" s="0">
        <f>AJ108-BB108</f>
      </c>
      <c r="BU108" s="0">
        <f>AK108-BC108</f>
      </c>
      <c r="BV108" s="0">
        <f>SUM(B108:S108)</f>
      </c>
      <c r="BW108" s="0">
        <f>SUM(T108:AK108)</f>
      </c>
      <c r="BX108" s="0">
        <f>MAX(0,(SUM(Calculator!$E$11:$E$28)+Calculator!$C$6)-BV108+BW108)</f>
      </c>
      <c r="BY108" s="0">
        <f>SUM(BD108:BU108)</f>
      </c>
      <c r="BZ108" s="0">
        <f>BV108-BY107</f>
      </c>
      <c r="CA108" s="0">
        <f>IF(A108&lt;=IF($CD$1=0,999,$CD$1),BY108,NA())</f>
      </c>
      <c r="CB108" s="0">
        <f>IF(A108&lt;=IF($CD$1=0,999,$CD$1),A108,NA())</f>
      </c>
    </row>
    <row r="109">
      <c r="A109" s="0">
        <v>106</v>
      </c>
      <c r="B109" s="0">
        <f>BD108*(1+Calculator!$D$11/100/12)</f>
      </c>
      <c r="C109" s="0">
        <f>BE108*(1+Calculator!$D$12/100/12)</f>
      </c>
      <c r="D109" s="0">
        <f>BF108*(1+Calculator!$D$13/100/12)</f>
      </c>
      <c r="E109" s="0">
        <f>BG108*(1+Calculator!$D$14/100/12)</f>
      </c>
      <c r="F109" s="0">
        <f>BH108*(1+Calculator!$D$15/100/12)</f>
      </c>
      <c r="G109" s="0">
        <f>BI108*(1+Calculator!$D$16/100/12)</f>
      </c>
      <c r="H109" s="0">
        <f>BJ108*(1+Calculator!$D$17/100/12)</f>
      </c>
      <c r="I109" s="0">
        <f>BK108*(1+Calculator!$D$18/100/12)</f>
      </c>
      <c r="J109" s="0">
        <f>BL108*(1+Calculator!$D$19/100/12)</f>
      </c>
      <c r="K109" s="0">
        <f>BM108*(1+Calculator!$D$20/100/12)</f>
      </c>
      <c r="L109" s="0">
        <f>BN108*(1+Calculator!$D$21/100/12)</f>
      </c>
      <c r="M109" s="0">
        <f>BO108*(1+Calculator!$D$22/100/12)</f>
      </c>
      <c r="N109" s="0">
        <f>BP108*(1+Calculator!$D$23/100/12)</f>
      </c>
      <c r="O109" s="0">
        <f>BQ108*(1+Calculator!$D$24/100/12)</f>
      </c>
      <c r="P109" s="0">
        <f>BR108*(1+Calculator!$D$25/100/12)</f>
      </c>
      <c r="Q109" s="0">
        <f>BS108*(1+Calculator!$D$26/100/12)</f>
      </c>
      <c r="R109" s="0">
        <f>BT108*(1+Calculator!$D$27/100/12)</f>
      </c>
      <c r="S109" s="0">
        <f>BU108*(1+Calculator!$D$28/100/12)</f>
      </c>
      <c r="T109" s="0">
        <f>MAX(0,B109-Calculator!$E$11)</f>
      </c>
      <c r="U109" s="0">
        <f>MAX(0,C109-Calculator!$E$12)</f>
      </c>
      <c r="V109" s="0">
        <f>MAX(0,D109-Calculator!$E$13)</f>
      </c>
      <c r="W109" s="0">
        <f>MAX(0,E109-Calculator!$E$14)</f>
      </c>
      <c r="X109" s="0">
        <f>MAX(0,F109-Calculator!$E$15)</f>
      </c>
      <c r="Y109" s="0">
        <f>MAX(0,G109-Calculator!$E$16)</f>
      </c>
      <c r="Z109" s="0">
        <f>MAX(0,H109-Calculator!$E$17)</f>
      </c>
      <c r="AA109" s="0">
        <f>MAX(0,I109-Calculator!$E$18)</f>
      </c>
      <c r="AB109" s="0">
        <f>MAX(0,J109-Calculator!$E$19)</f>
      </c>
      <c r="AC109" s="0">
        <f>MAX(0,K109-Calculator!$E$20)</f>
      </c>
      <c r="AD109" s="0">
        <f>MAX(0,L109-Calculator!$E$21)</f>
      </c>
      <c r="AE109" s="0">
        <f>MAX(0,M109-Calculator!$E$22)</f>
      </c>
      <c r="AF109" s="0">
        <f>MAX(0,N109-Calculator!$E$23)</f>
      </c>
      <c r="AG109" s="0">
        <f>MAX(0,O109-Calculator!$E$24)</f>
      </c>
      <c r="AH109" s="0">
        <f>MAX(0,P109-Calculator!$E$25)</f>
      </c>
      <c r="AI109" s="0">
        <f>MAX(0,Q109-Calculator!$E$26)</f>
      </c>
      <c r="AJ109" s="0">
        <f>MAX(0,R109-Calculator!$E$27)</f>
      </c>
      <c r="AK109" s="0">
        <f>MAX(0,S109-Calculator!$E$28)</f>
      </c>
      <c r="AL109" s="0">
        <f>MAX(0,MIN(T109,BX109-SUMPRODUCT(($T$2:$AK$2&lt;T$2)*($T109:$AK109))))</f>
      </c>
      <c r="AM109" s="0">
        <f>MAX(0,MIN(U109,BX109-SUMPRODUCT(($T$2:$AK$2&lt;U$2)*($T109:$AK109))))</f>
      </c>
      <c r="AN109" s="0">
        <f>MAX(0,MIN(V109,BX109-SUMPRODUCT(($T$2:$AK$2&lt;V$2)*($T109:$AK109))))</f>
      </c>
      <c r="AO109" s="0">
        <f>MAX(0,MIN(W109,BX109-SUMPRODUCT(($T$2:$AK$2&lt;W$2)*($T109:$AK109))))</f>
      </c>
      <c r="AP109" s="0">
        <f>MAX(0,MIN(X109,BX109-SUMPRODUCT(($T$2:$AK$2&lt;X$2)*($T109:$AK109))))</f>
      </c>
      <c r="AQ109" s="0">
        <f>MAX(0,MIN(Y109,BX109-SUMPRODUCT(($T$2:$AK$2&lt;Y$2)*($T109:$AK109))))</f>
      </c>
      <c r="AR109" s="0">
        <f>MAX(0,MIN(Z109,BX109-SUMPRODUCT(($T$2:$AK$2&lt;Z$2)*($T109:$AK109))))</f>
      </c>
      <c r="AS109" s="0">
        <f>MAX(0,MIN(AA109,BX109-SUMPRODUCT(($T$2:$AK$2&lt;AA$2)*($T109:$AK109))))</f>
      </c>
      <c r="AT109" s="0">
        <f>MAX(0,MIN(AB109,BX109-SUMPRODUCT(($T$2:$AK$2&lt;AB$2)*($T109:$AK109))))</f>
      </c>
      <c r="AU109" s="0">
        <f>MAX(0,MIN(AC109,BX109-SUMPRODUCT(($T$2:$AK$2&lt;AC$2)*($T109:$AK109))))</f>
      </c>
      <c r="AV109" s="0">
        <f>MAX(0,MIN(AD109,BX109-SUMPRODUCT(($T$2:$AK$2&lt;AD$2)*($T109:$AK109))))</f>
      </c>
      <c r="AW109" s="0">
        <f>MAX(0,MIN(AE109,BX109-SUMPRODUCT(($T$2:$AK$2&lt;AE$2)*($T109:$AK109))))</f>
      </c>
      <c r="AX109" s="0">
        <f>MAX(0,MIN(AF109,BX109-SUMPRODUCT(($T$2:$AK$2&lt;AF$2)*($T109:$AK109))))</f>
      </c>
      <c r="AY109" s="0">
        <f>MAX(0,MIN(AG109,BX109-SUMPRODUCT(($T$2:$AK$2&lt;AG$2)*($T109:$AK109))))</f>
      </c>
      <c r="AZ109" s="0">
        <f>MAX(0,MIN(AH109,BX109-SUMPRODUCT(($T$2:$AK$2&lt;AH$2)*($T109:$AK109))))</f>
      </c>
      <c r="BA109" s="0">
        <f>MAX(0,MIN(AI109,BX109-SUMPRODUCT(($T$2:$AK$2&lt;AI$2)*($T109:$AK109))))</f>
      </c>
      <c r="BB109" s="0">
        <f>MAX(0,MIN(AJ109,BX109-SUMPRODUCT(($T$2:$AK$2&lt;AJ$2)*($T109:$AK109))))</f>
      </c>
      <c r="BC109" s="0">
        <f>MAX(0,MIN(AK109,BX109-SUMPRODUCT(($T$2:$AK$2&lt;AK$2)*($T109:$AK109))))</f>
      </c>
      <c r="BD109" s="0">
        <f>T109-AL109</f>
      </c>
      <c r="BE109" s="0">
        <f>U109-AM109</f>
      </c>
      <c r="BF109" s="0">
        <f>V109-AN109</f>
      </c>
      <c r="BG109" s="0">
        <f>W109-AO109</f>
      </c>
      <c r="BH109" s="0">
        <f>X109-AP109</f>
      </c>
      <c r="BI109" s="0">
        <f>Y109-AQ109</f>
      </c>
      <c r="BJ109" s="0">
        <f>Z109-AR109</f>
      </c>
      <c r="BK109" s="0">
        <f>AA109-AS109</f>
      </c>
      <c r="BL109" s="0">
        <f>AB109-AT109</f>
      </c>
      <c r="BM109" s="0">
        <f>AC109-AU109</f>
      </c>
      <c r="BN109" s="0">
        <f>AD109-AV109</f>
      </c>
      <c r="BO109" s="0">
        <f>AE109-AW109</f>
      </c>
      <c r="BP109" s="0">
        <f>AF109-AX109</f>
      </c>
      <c r="BQ109" s="0">
        <f>AG109-AY109</f>
      </c>
      <c r="BR109" s="0">
        <f>AH109-AZ109</f>
      </c>
      <c r="BS109" s="0">
        <f>AI109-BA109</f>
      </c>
      <c r="BT109" s="0">
        <f>AJ109-BB109</f>
      </c>
      <c r="BU109" s="0">
        <f>AK109-BC109</f>
      </c>
      <c r="BV109" s="0">
        <f>SUM(B109:S109)</f>
      </c>
      <c r="BW109" s="0">
        <f>SUM(T109:AK109)</f>
      </c>
      <c r="BX109" s="0">
        <f>MAX(0,(SUM(Calculator!$E$11:$E$28)+Calculator!$C$6)-BV109+BW109)</f>
      </c>
      <c r="BY109" s="0">
        <f>SUM(BD109:BU109)</f>
      </c>
      <c r="BZ109" s="0">
        <f>BV109-BY108</f>
      </c>
      <c r="CA109" s="0">
        <f>IF(A109&lt;=IF($CD$1=0,999,$CD$1),BY109,NA())</f>
      </c>
      <c r="CB109" s="0">
        <f>IF(A109&lt;=IF($CD$1=0,999,$CD$1),A109,NA())</f>
      </c>
    </row>
    <row r="110">
      <c r="A110" s="0">
        <v>107</v>
      </c>
      <c r="B110" s="0">
        <f>BD109*(1+Calculator!$D$11/100/12)</f>
      </c>
      <c r="C110" s="0">
        <f>BE109*(1+Calculator!$D$12/100/12)</f>
      </c>
      <c r="D110" s="0">
        <f>BF109*(1+Calculator!$D$13/100/12)</f>
      </c>
      <c r="E110" s="0">
        <f>BG109*(1+Calculator!$D$14/100/12)</f>
      </c>
      <c r="F110" s="0">
        <f>BH109*(1+Calculator!$D$15/100/12)</f>
      </c>
      <c r="G110" s="0">
        <f>BI109*(1+Calculator!$D$16/100/12)</f>
      </c>
      <c r="H110" s="0">
        <f>BJ109*(1+Calculator!$D$17/100/12)</f>
      </c>
      <c r="I110" s="0">
        <f>BK109*(1+Calculator!$D$18/100/12)</f>
      </c>
      <c r="J110" s="0">
        <f>BL109*(1+Calculator!$D$19/100/12)</f>
      </c>
      <c r="K110" s="0">
        <f>BM109*(1+Calculator!$D$20/100/12)</f>
      </c>
      <c r="L110" s="0">
        <f>BN109*(1+Calculator!$D$21/100/12)</f>
      </c>
      <c r="M110" s="0">
        <f>BO109*(1+Calculator!$D$22/100/12)</f>
      </c>
      <c r="N110" s="0">
        <f>BP109*(1+Calculator!$D$23/100/12)</f>
      </c>
      <c r="O110" s="0">
        <f>BQ109*(1+Calculator!$D$24/100/12)</f>
      </c>
      <c r="P110" s="0">
        <f>BR109*(1+Calculator!$D$25/100/12)</f>
      </c>
      <c r="Q110" s="0">
        <f>BS109*(1+Calculator!$D$26/100/12)</f>
      </c>
      <c r="R110" s="0">
        <f>BT109*(1+Calculator!$D$27/100/12)</f>
      </c>
      <c r="S110" s="0">
        <f>BU109*(1+Calculator!$D$28/100/12)</f>
      </c>
      <c r="T110" s="0">
        <f>MAX(0,B110-Calculator!$E$11)</f>
      </c>
      <c r="U110" s="0">
        <f>MAX(0,C110-Calculator!$E$12)</f>
      </c>
      <c r="V110" s="0">
        <f>MAX(0,D110-Calculator!$E$13)</f>
      </c>
      <c r="W110" s="0">
        <f>MAX(0,E110-Calculator!$E$14)</f>
      </c>
      <c r="X110" s="0">
        <f>MAX(0,F110-Calculator!$E$15)</f>
      </c>
      <c r="Y110" s="0">
        <f>MAX(0,G110-Calculator!$E$16)</f>
      </c>
      <c r="Z110" s="0">
        <f>MAX(0,H110-Calculator!$E$17)</f>
      </c>
      <c r="AA110" s="0">
        <f>MAX(0,I110-Calculator!$E$18)</f>
      </c>
      <c r="AB110" s="0">
        <f>MAX(0,J110-Calculator!$E$19)</f>
      </c>
      <c r="AC110" s="0">
        <f>MAX(0,K110-Calculator!$E$20)</f>
      </c>
      <c r="AD110" s="0">
        <f>MAX(0,L110-Calculator!$E$21)</f>
      </c>
      <c r="AE110" s="0">
        <f>MAX(0,M110-Calculator!$E$22)</f>
      </c>
      <c r="AF110" s="0">
        <f>MAX(0,N110-Calculator!$E$23)</f>
      </c>
      <c r="AG110" s="0">
        <f>MAX(0,O110-Calculator!$E$24)</f>
      </c>
      <c r="AH110" s="0">
        <f>MAX(0,P110-Calculator!$E$25)</f>
      </c>
      <c r="AI110" s="0">
        <f>MAX(0,Q110-Calculator!$E$26)</f>
      </c>
      <c r="AJ110" s="0">
        <f>MAX(0,R110-Calculator!$E$27)</f>
      </c>
      <c r="AK110" s="0">
        <f>MAX(0,S110-Calculator!$E$28)</f>
      </c>
      <c r="AL110" s="0">
        <f>MAX(0,MIN(T110,BX110-SUMPRODUCT(($T$2:$AK$2&lt;T$2)*($T110:$AK110))))</f>
      </c>
      <c r="AM110" s="0">
        <f>MAX(0,MIN(U110,BX110-SUMPRODUCT(($T$2:$AK$2&lt;U$2)*($T110:$AK110))))</f>
      </c>
      <c r="AN110" s="0">
        <f>MAX(0,MIN(V110,BX110-SUMPRODUCT(($T$2:$AK$2&lt;V$2)*($T110:$AK110))))</f>
      </c>
      <c r="AO110" s="0">
        <f>MAX(0,MIN(W110,BX110-SUMPRODUCT(($T$2:$AK$2&lt;W$2)*($T110:$AK110))))</f>
      </c>
      <c r="AP110" s="0">
        <f>MAX(0,MIN(X110,BX110-SUMPRODUCT(($T$2:$AK$2&lt;X$2)*($T110:$AK110))))</f>
      </c>
      <c r="AQ110" s="0">
        <f>MAX(0,MIN(Y110,BX110-SUMPRODUCT(($T$2:$AK$2&lt;Y$2)*($T110:$AK110))))</f>
      </c>
      <c r="AR110" s="0">
        <f>MAX(0,MIN(Z110,BX110-SUMPRODUCT(($T$2:$AK$2&lt;Z$2)*($T110:$AK110))))</f>
      </c>
      <c r="AS110" s="0">
        <f>MAX(0,MIN(AA110,BX110-SUMPRODUCT(($T$2:$AK$2&lt;AA$2)*($T110:$AK110))))</f>
      </c>
      <c r="AT110" s="0">
        <f>MAX(0,MIN(AB110,BX110-SUMPRODUCT(($T$2:$AK$2&lt;AB$2)*($T110:$AK110))))</f>
      </c>
      <c r="AU110" s="0">
        <f>MAX(0,MIN(AC110,BX110-SUMPRODUCT(($T$2:$AK$2&lt;AC$2)*($T110:$AK110))))</f>
      </c>
      <c r="AV110" s="0">
        <f>MAX(0,MIN(AD110,BX110-SUMPRODUCT(($T$2:$AK$2&lt;AD$2)*($T110:$AK110))))</f>
      </c>
      <c r="AW110" s="0">
        <f>MAX(0,MIN(AE110,BX110-SUMPRODUCT(($T$2:$AK$2&lt;AE$2)*($T110:$AK110))))</f>
      </c>
      <c r="AX110" s="0">
        <f>MAX(0,MIN(AF110,BX110-SUMPRODUCT(($T$2:$AK$2&lt;AF$2)*($T110:$AK110))))</f>
      </c>
      <c r="AY110" s="0">
        <f>MAX(0,MIN(AG110,BX110-SUMPRODUCT(($T$2:$AK$2&lt;AG$2)*($T110:$AK110))))</f>
      </c>
      <c r="AZ110" s="0">
        <f>MAX(0,MIN(AH110,BX110-SUMPRODUCT(($T$2:$AK$2&lt;AH$2)*($T110:$AK110))))</f>
      </c>
      <c r="BA110" s="0">
        <f>MAX(0,MIN(AI110,BX110-SUMPRODUCT(($T$2:$AK$2&lt;AI$2)*($T110:$AK110))))</f>
      </c>
      <c r="BB110" s="0">
        <f>MAX(0,MIN(AJ110,BX110-SUMPRODUCT(($T$2:$AK$2&lt;AJ$2)*($T110:$AK110))))</f>
      </c>
      <c r="BC110" s="0">
        <f>MAX(0,MIN(AK110,BX110-SUMPRODUCT(($T$2:$AK$2&lt;AK$2)*($T110:$AK110))))</f>
      </c>
      <c r="BD110" s="0">
        <f>T110-AL110</f>
      </c>
      <c r="BE110" s="0">
        <f>U110-AM110</f>
      </c>
      <c r="BF110" s="0">
        <f>V110-AN110</f>
      </c>
      <c r="BG110" s="0">
        <f>W110-AO110</f>
      </c>
      <c r="BH110" s="0">
        <f>X110-AP110</f>
      </c>
      <c r="BI110" s="0">
        <f>Y110-AQ110</f>
      </c>
      <c r="BJ110" s="0">
        <f>Z110-AR110</f>
      </c>
      <c r="BK110" s="0">
        <f>AA110-AS110</f>
      </c>
      <c r="BL110" s="0">
        <f>AB110-AT110</f>
      </c>
      <c r="BM110" s="0">
        <f>AC110-AU110</f>
      </c>
      <c r="BN110" s="0">
        <f>AD110-AV110</f>
      </c>
      <c r="BO110" s="0">
        <f>AE110-AW110</f>
      </c>
      <c r="BP110" s="0">
        <f>AF110-AX110</f>
      </c>
      <c r="BQ110" s="0">
        <f>AG110-AY110</f>
      </c>
      <c r="BR110" s="0">
        <f>AH110-AZ110</f>
      </c>
      <c r="BS110" s="0">
        <f>AI110-BA110</f>
      </c>
      <c r="BT110" s="0">
        <f>AJ110-BB110</f>
      </c>
      <c r="BU110" s="0">
        <f>AK110-BC110</f>
      </c>
      <c r="BV110" s="0">
        <f>SUM(B110:S110)</f>
      </c>
      <c r="BW110" s="0">
        <f>SUM(T110:AK110)</f>
      </c>
      <c r="BX110" s="0">
        <f>MAX(0,(SUM(Calculator!$E$11:$E$28)+Calculator!$C$6)-BV110+BW110)</f>
      </c>
      <c r="BY110" s="0">
        <f>SUM(BD110:BU110)</f>
      </c>
      <c r="BZ110" s="0">
        <f>BV110-BY109</f>
      </c>
      <c r="CA110" s="0">
        <f>IF(A110&lt;=IF($CD$1=0,999,$CD$1),BY110,NA())</f>
      </c>
      <c r="CB110" s="0">
        <f>IF(A110&lt;=IF($CD$1=0,999,$CD$1),A110,NA())</f>
      </c>
    </row>
    <row r="111">
      <c r="A111" s="0">
        <v>108</v>
      </c>
      <c r="B111" s="0">
        <f>BD110*(1+Calculator!$D$11/100/12)</f>
      </c>
      <c r="C111" s="0">
        <f>BE110*(1+Calculator!$D$12/100/12)</f>
      </c>
      <c r="D111" s="0">
        <f>BF110*(1+Calculator!$D$13/100/12)</f>
      </c>
      <c r="E111" s="0">
        <f>BG110*(1+Calculator!$D$14/100/12)</f>
      </c>
      <c r="F111" s="0">
        <f>BH110*(1+Calculator!$D$15/100/12)</f>
      </c>
      <c r="G111" s="0">
        <f>BI110*(1+Calculator!$D$16/100/12)</f>
      </c>
      <c r="H111" s="0">
        <f>BJ110*(1+Calculator!$D$17/100/12)</f>
      </c>
      <c r="I111" s="0">
        <f>BK110*(1+Calculator!$D$18/100/12)</f>
      </c>
      <c r="J111" s="0">
        <f>BL110*(1+Calculator!$D$19/100/12)</f>
      </c>
      <c r="K111" s="0">
        <f>BM110*(1+Calculator!$D$20/100/12)</f>
      </c>
      <c r="L111" s="0">
        <f>BN110*(1+Calculator!$D$21/100/12)</f>
      </c>
      <c r="M111" s="0">
        <f>BO110*(1+Calculator!$D$22/100/12)</f>
      </c>
      <c r="N111" s="0">
        <f>BP110*(1+Calculator!$D$23/100/12)</f>
      </c>
      <c r="O111" s="0">
        <f>BQ110*(1+Calculator!$D$24/100/12)</f>
      </c>
      <c r="P111" s="0">
        <f>BR110*(1+Calculator!$D$25/100/12)</f>
      </c>
      <c r="Q111" s="0">
        <f>BS110*(1+Calculator!$D$26/100/12)</f>
      </c>
      <c r="R111" s="0">
        <f>BT110*(1+Calculator!$D$27/100/12)</f>
      </c>
      <c r="S111" s="0">
        <f>BU110*(1+Calculator!$D$28/100/12)</f>
      </c>
      <c r="T111" s="0">
        <f>MAX(0,B111-Calculator!$E$11)</f>
      </c>
      <c r="U111" s="0">
        <f>MAX(0,C111-Calculator!$E$12)</f>
      </c>
      <c r="V111" s="0">
        <f>MAX(0,D111-Calculator!$E$13)</f>
      </c>
      <c r="W111" s="0">
        <f>MAX(0,E111-Calculator!$E$14)</f>
      </c>
      <c r="X111" s="0">
        <f>MAX(0,F111-Calculator!$E$15)</f>
      </c>
      <c r="Y111" s="0">
        <f>MAX(0,G111-Calculator!$E$16)</f>
      </c>
      <c r="Z111" s="0">
        <f>MAX(0,H111-Calculator!$E$17)</f>
      </c>
      <c r="AA111" s="0">
        <f>MAX(0,I111-Calculator!$E$18)</f>
      </c>
      <c r="AB111" s="0">
        <f>MAX(0,J111-Calculator!$E$19)</f>
      </c>
      <c r="AC111" s="0">
        <f>MAX(0,K111-Calculator!$E$20)</f>
      </c>
      <c r="AD111" s="0">
        <f>MAX(0,L111-Calculator!$E$21)</f>
      </c>
      <c r="AE111" s="0">
        <f>MAX(0,M111-Calculator!$E$22)</f>
      </c>
      <c r="AF111" s="0">
        <f>MAX(0,N111-Calculator!$E$23)</f>
      </c>
      <c r="AG111" s="0">
        <f>MAX(0,O111-Calculator!$E$24)</f>
      </c>
      <c r="AH111" s="0">
        <f>MAX(0,P111-Calculator!$E$25)</f>
      </c>
      <c r="AI111" s="0">
        <f>MAX(0,Q111-Calculator!$E$26)</f>
      </c>
      <c r="AJ111" s="0">
        <f>MAX(0,R111-Calculator!$E$27)</f>
      </c>
      <c r="AK111" s="0">
        <f>MAX(0,S111-Calculator!$E$28)</f>
      </c>
      <c r="AL111" s="0">
        <f>MAX(0,MIN(T111,BX111-SUMPRODUCT(($T$2:$AK$2&lt;T$2)*($T111:$AK111))))</f>
      </c>
      <c r="AM111" s="0">
        <f>MAX(0,MIN(U111,BX111-SUMPRODUCT(($T$2:$AK$2&lt;U$2)*($T111:$AK111))))</f>
      </c>
      <c r="AN111" s="0">
        <f>MAX(0,MIN(V111,BX111-SUMPRODUCT(($T$2:$AK$2&lt;V$2)*($T111:$AK111))))</f>
      </c>
      <c r="AO111" s="0">
        <f>MAX(0,MIN(W111,BX111-SUMPRODUCT(($T$2:$AK$2&lt;W$2)*($T111:$AK111))))</f>
      </c>
      <c r="AP111" s="0">
        <f>MAX(0,MIN(X111,BX111-SUMPRODUCT(($T$2:$AK$2&lt;X$2)*($T111:$AK111))))</f>
      </c>
      <c r="AQ111" s="0">
        <f>MAX(0,MIN(Y111,BX111-SUMPRODUCT(($T$2:$AK$2&lt;Y$2)*($T111:$AK111))))</f>
      </c>
      <c r="AR111" s="0">
        <f>MAX(0,MIN(Z111,BX111-SUMPRODUCT(($T$2:$AK$2&lt;Z$2)*($T111:$AK111))))</f>
      </c>
      <c r="AS111" s="0">
        <f>MAX(0,MIN(AA111,BX111-SUMPRODUCT(($T$2:$AK$2&lt;AA$2)*($T111:$AK111))))</f>
      </c>
      <c r="AT111" s="0">
        <f>MAX(0,MIN(AB111,BX111-SUMPRODUCT(($T$2:$AK$2&lt;AB$2)*($T111:$AK111))))</f>
      </c>
      <c r="AU111" s="0">
        <f>MAX(0,MIN(AC111,BX111-SUMPRODUCT(($T$2:$AK$2&lt;AC$2)*($T111:$AK111))))</f>
      </c>
      <c r="AV111" s="0">
        <f>MAX(0,MIN(AD111,BX111-SUMPRODUCT(($T$2:$AK$2&lt;AD$2)*($T111:$AK111))))</f>
      </c>
      <c r="AW111" s="0">
        <f>MAX(0,MIN(AE111,BX111-SUMPRODUCT(($T$2:$AK$2&lt;AE$2)*($T111:$AK111))))</f>
      </c>
      <c r="AX111" s="0">
        <f>MAX(0,MIN(AF111,BX111-SUMPRODUCT(($T$2:$AK$2&lt;AF$2)*($T111:$AK111))))</f>
      </c>
      <c r="AY111" s="0">
        <f>MAX(0,MIN(AG111,BX111-SUMPRODUCT(($T$2:$AK$2&lt;AG$2)*($T111:$AK111))))</f>
      </c>
      <c r="AZ111" s="0">
        <f>MAX(0,MIN(AH111,BX111-SUMPRODUCT(($T$2:$AK$2&lt;AH$2)*($T111:$AK111))))</f>
      </c>
      <c r="BA111" s="0">
        <f>MAX(0,MIN(AI111,BX111-SUMPRODUCT(($T$2:$AK$2&lt;AI$2)*($T111:$AK111))))</f>
      </c>
      <c r="BB111" s="0">
        <f>MAX(0,MIN(AJ111,BX111-SUMPRODUCT(($T$2:$AK$2&lt;AJ$2)*($T111:$AK111))))</f>
      </c>
      <c r="BC111" s="0">
        <f>MAX(0,MIN(AK111,BX111-SUMPRODUCT(($T$2:$AK$2&lt;AK$2)*($T111:$AK111))))</f>
      </c>
      <c r="BD111" s="0">
        <f>T111-AL111</f>
      </c>
      <c r="BE111" s="0">
        <f>U111-AM111</f>
      </c>
      <c r="BF111" s="0">
        <f>V111-AN111</f>
      </c>
      <c r="BG111" s="0">
        <f>W111-AO111</f>
      </c>
      <c r="BH111" s="0">
        <f>X111-AP111</f>
      </c>
      <c r="BI111" s="0">
        <f>Y111-AQ111</f>
      </c>
      <c r="BJ111" s="0">
        <f>Z111-AR111</f>
      </c>
      <c r="BK111" s="0">
        <f>AA111-AS111</f>
      </c>
      <c r="BL111" s="0">
        <f>AB111-AT111</f>
      </c>
      <c r="BM111" s="0">
        <f>AC111-AU111</f>
      </c>
      <c r="BN111" s="0">
        <f>AD111-AV111</f>
      </c>
      <c r="BO111" s="0">
        <f>AE111-AW111</f>
      </c>
      <c r="BP111" s="0">
        <f>AF111-AX111</f>
      </c>
      <c r="BQ111" s="0">
        <f>AG111-AY111</f>
      </c>
      <c r="BR111" s="0">
        <f>AH111-AZ111</f>
      </c>
      <c r="BS111" s="0">
        <f>AI111-BA111</f>
      </c>
      <c r="BT111" s="0">
        <f>AJ111-BB111</f>
      </c>
      <c r="BU111" s="0">
        <f>AK111-BC111</f>
      </c>
      <c r="BV111" s="0">
        <f>SUM(B111:S111)</f>
      </c>
      <c r="BW111" s="0">
        <f>SUM(T111:AK111)</f>
      </c>
      <c r="BX111" s="0">
        <f>MAX(0,(SUM(Calculator!$E$11:$E$28)+Calculator!$C$6)-BV111+BW111)</f>
      </c>
      <c r="BY111" s="0">
        <f>SUM(BD111:BU111)</f>
      </c>
      <c r="BZ111" s="0">
        <f>BV111-BY110</f>
      </c>
      <c r="CA111" s="0">
        <f>IF(A111&lt;=IF($CD$1=0,999,$CD$1),BY111,NA())</f>
      </c>
      <c r="CB111" s="0">
        <f>IF(A111&lt;=IF($CD$1=0,999,$CD$1),A111,NA())</f>
      </c>
    </row>
    <row r="112">
      <c r="A112" s="0">
        <v>109</v>
      </c>
      <c r="B112" s="0">
        <f>BD111*(1+Calculator!$D$11/100/12)</f>
      </c>
      <c r="C112" s="0">
        <f>BE111*(1+Calculator!$D$12/100/12)</f>
      </c>
      <c r="D112" s="0">
        <f>BF111*(1+Calculator!$D$13/100/12)</f>
      </c>
      <c r="E112" s="0">
        <f>BG111*(1+Calculator!$D$14/100/12)</f>
      </c>
      <c r="F112" s="0">
        <f>BH111*(1+Calculator!$D$15/100/12)</f>
      </c>
      <c r="G112" s="0">
        <f>BI111*(1+Calculator!$D$16/100/12)</f>
      </c>
      <c r="H112" s="0">
        <f>BJ111*(1+Calculator!$D$17/100/12)</f>
      </c>
      <c r="I112" s="0">
        <f>BK111*(1+Calculator!$D$18/100/12)</f>
      </c>
      <c r="J112" s="0">
        <f>BL111*(1+Calculator!$D$19/100/12)</f>
      </c>
      <c r="K112" s="0">
        <f>BM111*(1+Calculator!$D$20/100/12)</f>
      </c>
      <c r="L112" s="0">
        <f>BN111*(1+Calculator!$D$21/100/12)</f>
      </c>
      <c r="M112" s="0">
        <f>BO111*(1+Calculator!$D$22/100/12)</f>
      </c>
      <c r="N112" s="0">
        <f>BP111*(1+Calculator!$D$23/100/12)</f>
      </c>
      <c r="O112" s="0">
        <f>BQ111*(1+Calculator!$D$24/100/12)</f>
      </c>
      <c r="P112" s="0">
        <f>BR111*(1+Calculator!$D$25/100/12)</f>
      </c>
      <c r="Q112" s="0">
        <f>BS111*(1+Calculator!$D$26/100/12)</f>
      </c>
      <c r="R112" s="0">
        <f>BT111*(1+Calculator!$D$27/100/12)</f>
      </c>
      <c r="S112" s="0">
        <f>BU111*(1+Calculator!$D$28/100/12)</f>
      </c>
      <c r="T112" s="0">
        <f>MAX(0,B112-Calculator!$E$11)</f>
      </c>
      <c r="U112" s="0">
        <f>MAX(0,C112-Calculator!$E$12)</f>
      </c>
      <c r="V112" s="0">
        <f>MAX(0,D112-Calculator!$E$13)</f>
      </c>
      <c r="W112" s="0">
        <f>MAX(0,E112-Calculator!$E$14)</f>
      </c>
      <c r="X112" s="0">
        <f>MAX(0,F112-Calculator!$E$15)</f>
      </c>
      <c r="Y112" s="0">
        <f>MAX(0,G112-Calculator!$E$16)</f>
      </c>
      <c r="Z112" s="0">
        <f>MAX(0,H112-Calculator!$E$17)</f>
      </c>
      <c r="AA112" s="0">
        <f>MAX(0,I112-Calculator!$E$18)</f>
      </c>
      <c r="AB112" s="0">
        <f>MAX(0,J112-Calculator!$E$19)</f>
      </c>
      <c r="AC112" s="0">
        <f>MAX(0,K112-Calculator!$E$20)</f>
      </c>
      <c r="AD112" s="0">
        <f>MAX(0,L112-Calculator!$E$21)</f>
      </c>
      <c r="AE112" s="0">
        <f>MAX(0,M112-Calculator!$E$22)</f>
      </c>
      <c r="AF112" s="0">
        <f>MAX(0,N112-Calculator!$E$23)</f>
      </c>
      <c r="AG112" s="0">
        <f>MAX(0,O112-Calculator!$E$24)</f>
      </c>
      <c r="AH112" s="0">
        <f>MAX(0,P112-Calculator!$E$25)</f>
      </c>
      <c r="AI112" s="0">
        <f>MAX(0,Q112-Calculator!$E$26)</f>
      </c>
      <c r="AJ112" s="0">
        <f>MAX(0,R112-Calculator!$E$27)</f>
      </c>
      <c r="AK112" s="0">
        <f>MAX(0,S112-Calculator!$E$28)</f>
      </c>
      <c r="AL112" s="0">
        <f>MAX(0,MIN(T112,BX112-SUMPRODUCT(($T$2:$AK$2&lt;T$2)*($T112:$AK112))))</f>
      </c>
      <c r="AM112" s="0">
        <f>MAX(0,MIN(U112,BX112-SUMPRODUCT(($T$2:$AK$2&lt;U$2)*($T112:$AK112))))</f>
      </c>
      <c r="AN112" s="0">
        <f>MAX(0,MIN(V112,BX112-SUMPRODUCT(($T$2:$AK$2&lt;V$2)*($T112:$AK112))))</f>
      </c>
      <c r="AO112" s="0">
        <f>MAX(0,MIN(W112,BX112-SUMPRODUCT(($T$2:$AK$2&lt;W$2)*($T112:$AK112))))</f>
      </c>
      <c r="AP112" s="0">
        <f>MAX(0,MIN(X112,BX112-SUMPRODUCT(($T$2:$AK$2&lt;X$2)*($T112:$AK112))))</f>
      </c>
      <c r="AQ112" s="0">
        <f>MAX(0,MIN(Y112,BX112-SUMPRODUCT(($T$2:$AK$2&lt;Y$2)*($T112:$AK112))))</f>
      </c>
      <c r="AR112" s="0">
        <f>MAX(0,MIN(Z112,BX112-SUMPRODUCT(($T$2:$AK$2&lt;Z$2)*($T112:$AK112))))</f>
      </c>
      <c r="AS112" s="0">
        <f>MAX(0,MIN(AA112,BX112-SUMPRODUCT(($T$2:$AK$2&lt;AA$2)*($T112:$AK112))))</f>
      </c>
      <c r="AT112" s="0">
        <f>MAX(0,MIN(AB112,BX112-SUMPRODUCT(($T$2:$AK$2&lt;AB$2)*($T112:$AK112))))</f>
      </c>
      <c r="AU112" s="0">
        <f>MAX(0,MIN(AC112,BX112-SUMPRODUCT(($T$2:$AK$2&lt;AC$2)*($T112:$AK112))))</f>
      </c>
      <c r="AV112" s="0">
        <f>MAX(0,MIN(AD112,BX112-SUMPRODUCT(($T$2:$AK$2&lt;AD$2)*($T112:$AK112))))</f>
      </c>
      <c r="AW112" s="0">
        <f>MAX(0,MIN(AE112,BX112-SUMPRODUCT(($T$2:$AK$2&lt;AE$2)*($T112:$AK112))))</f>
      </c>
      <c r="AX112" s="0">
        <f>MAX(0,MIN(AF112,BX112-SUMPRODUCT(($T$2:$AK$2&lt;AF$2)*($T112:$AK112))))</f>
      </c>
      <c r="AY112" s="0">
        <f>MAX(0,MIN(AG112,BX112-SUMPRODUCT(($T$2:$AK$2&lt;AG$2)*($T112:$AK112))))</f>
      </c>
      <c r="AZ112" s="0">
        <f>MAX(0,MIN(AH112,BX112-SUMPRODUCT(($T$2:$AK$2&lt;AH$2)*($T112:$AK112))))</f>
      </c>
      <c r="BA112" s="0">
        <f>MAX(0,MIN(AI112,BX112-SUMPRODUCT(($T$2:$AK$2&lt;AI$2)*($T112:$AK112))))</f>
      </c>
      <c r="BB112" s="0">
        <f>MAX(0,MIN(AJ112,BX112-SUMPRODUCT(($T$2:$AK$2&lt;AJ$2)*($T112:$AK112))))</f>
      </c>
      <c r="BC112" s="0">
        <f>MAX(0,MIN(AK112,BX112-SUMPRODUCT(($T$2:$AK$2&lt;AK$2)*($T112:$AK112))))</f>
      </c>
      <c r="BD112" s="0">
        <f>T112-AL112</f>
      </c>
      <c r="BE112" s="0">
        <f>U112-AM112</f>
      </c>
      <c r="BF112" s="0">
        <f>V112-AN112</f>
      </c>
      <c r="BG112" s="0">
        <f>W112-AO112</f>
      </c>
      <c r="BH112" s="0">
        <f>X112-AP112</f>
      </c>
      <c r="BI112" s="0">
        <f>Y112-AQ112</f>
      </c>
      <c r="BJ112" s="0">
        <f>Z112-AR112</f>
      </c>
      <c r="BK112" s="0">
        <f>AA112-AS112</f>
      </c>
      <c r="BL112" s="0">
        <f>AB112-AT112</f>
      </c>
      <c r="BM112" s="0">
        <f>AC112-AU112</f>
      </c>
      <c r="BN112" s="0">
        <f>AD112-AV112</f>
      </c>
      <c r="BO112" s="0">
        <f>AE112-AW112</f>
      </c>
      <c r="BP112" s="0">
        <f>AF112-AX112</f>
      </c>
      <c r="BQ112" s="0">
        <f>AG112-AY112</f>
      </c>
      <c r="BR112" s="0">
        <f>AH112-AZ112</f>
      </c>
      <c r="BS112" s="0">
        <f>AI112-BA112</f>
      </c>
      <c r="BT112" s="0">
        <f>AJ112-BB112</f>
      </c>
      <c r="BU112" s="0">
        <f>AK112-BC112</f>
      </c>
      <c r="BV112" s="0">
        <f>SUM(B112:S112)</f>
      </c>
      <c r="BW112" s="0">
        <f>SUM(T112:AK112)</f>
      </c>
      <c r="BX112" s="0">
        <f>MAX(0,(SUM(Calculator!$E$11:$E$28)+Calculator!$C$6)-BV112+BW112)</f>
      </c>
      <c r="BY112" s="0">
        <f>SUM(BD112:BU112)</f>
      </c>
      <c r="BZ112" s="0">
        <f>BV112-BY111</f>
      </c>
      <c r="CA112" s="0">
        <f>IF(A112&lt;=IF($CD$1=0,999,$CD$1),BY112,NA())</f>
      </c>
      <c r="CB112" s="0">
        <f>IF(A112&lt;=IF($CD$1=0,999,$CD$1),A112,NA())</f>
      </c>
    </row>
    <row r="113">
      <c r="A113" s="0">
        <v>110</v>
      </c>
      <c r="B113" s="0">
        <f>BD112*(1+Calculator!$D$11/100/12)</f>
      </c>
      <c r="C113" s="0">
        <f>BE112*(1+Calculator!$D$12/100/12)</f>
      </c>
      <c r="D113" s="0">
        <f>BF112*(1+Calculator!$D$13/100/12)</f>
      </c>
      <c r="E113" s="0">
        <f>BG112*(1+Calculator!$D$14/100/12)</f>
      </c>
      <c r="F113" s="0">
        <f>BH112*(1+Calculator!$D$15/100/12)</f>
      </c>
      <c r="G113" s="0">
        <f>BI112*(1+Calculator!$D$16/100/12)</f>
      </c>
      <c r="H113" s="0">
        <f>BJ112*(1+Calculator!$D$17/100/12)</f>
      </c>
      <c r="I113" s="0">
        <f>BK112*(1+Calculator!$D$18/100/12)</f>
      </c>
      <c r="J113" s="0">
        <f>BL112*(1+Calculator!$D$19/100/12)</f>
      </c>
      <c r="K113" s="0">
        <f>BM112*(1+Calculator!$D$20/100/12)</f>
      </c>
      <c r="L113" s="0">
        <f>BN112*(1+Calculator!$D$21/100/12)</f>
      </c>
      <c r="M113" s="0">
        <f>BO112*(1+Calculator!$D$22/100/12)</f>
      </c>
      <c r="N113" s="0">
        <f>BP112*(1+Calculator!$D$23/100/12)</f>
      </c>
      <c r="O113" s="0">
        <f>BQ112*(1+Calculator!$D$24/100/12)</f>
      </c>
      <c r="P113" s="0">
        <f>BR112*(1+Calculator!$D$25/100/12)</f>
      </c>
      <c r="Q113" s="0">
        <f>BS112*(1+Calculator!$D$26/100/12)</f>
      </c>
      <c r="R113" s="0">
        <f>BT112*(1+Calculator!$D$27/100/12)</f>
      </c>
      <c r="S113" s="0">
        <f>BU112*(1+Calculator!$D$28/100/12)</f>
      </c>
      <c r="T113" s="0">
        <f>MAX(0,B113-Calculator!$E$11)</f>
      </c>
      <c r="U113" s="0">
        <f>MAX(0,C113-Calculator!$E$12)</f>
      </c>
      <c r="V113" s="0">
        <f>MAX(0,D113-Calculator!$E$13)</f>
      </c>
      <c r="W113" s="0">
        <f>MAX(0,E113-Calculator!$E$14)</f>
      </c>
      <c r="X113" s="0">
        <f>MAX(0,F113-Calculator!$E$15)</f>
      </c>
      <c r="Y113" s="0">
        <f>MAX(0,G113-Calculator!$E$16)</f>
      </c>
      <c r="Z113" s="0">
        <f>MAX(0,H113-Calculator!$E$17)</f>
      </c>
      <c r="AA113" s="0">
        <f>MAX(0,I113-Calculator!$E$18)</f>
      </c>
      <c r="AB113" s="0">
        <f>MAX(0,J113-Calculator!$E$19)</f>
      </c>
      <c r="AC113" s="0">
        <f>MAX(0,K113-Calculator!$E$20)</f>
      </c>
      <c r="AD113" s="0">
        <f>MAX(0,L113-Calculator!$E$21)</f>
      </c>
      <c r="AE113" s="0">
        <f>MAX(0,M113-Calculator!$E$22)</f>
      </c>
      <c r="AF113" s="0">
        <f>MAX(0,N113-Calculator!$E$23)</f>
      </c>
      <c r="AG113" s="0">
        <f>MAX(0,O113-Calculator!$E$24)</f>
      </c>
      <c r="AH113" s="0">
        <f>MAX(0,P113-Calculator!$E$25)</f>
      </c>
      <c r="AI113" s="0">
        <f>MAX(0,Q113-Calculator!$E$26)</f>
      </c>
      <c r="AJ113" s="0">
        <f>MAX(0,R113-Calculator!$E$27)</f>
      </c>
      <c r="AK113" s="0">
        <f>MAX(0,S113-Calculator!$E$28)</f>
      </c>
      <c r="AL113" s="0">
        <f>MAX(0,MIN(T113,BX113-SUMPRODUCT(($T$2:$AK$2&lt;T$2)*($T113:$AK113))))</f>
      </c>
      <c r="AM113" s="0">
        <f>MAX(0,MIN(U113,BX113-SUMPRODUCT(($T$2:$AK$2&lt;U$2)*($T113:$AK113))))</f>
      </c>
      <c r="AN113" s="0">
        <f>MAX(0,MIN(V113,BX113-SUMPRODUCT(($T$2:$AK$2&lt;V$2)*($T113:$AK113))))</f>
      </c>
      <c r="AO113" s="0">
        <f>MAX(0,MIN(W113,BX113-SUMPRODUCT(($T$2:$AK$2&lt;W$2)*($T113:$AK113))))</f>
      </c>
      <c r="AP113" s="0">
        <f>MAX(0,MIN(X113,BX113-SUMPRODUCT(($T$2:$AK$2&lt;X$2)*($T113:$AK113))))</f>
      </c>
      <c r="AQ113" s="0">
        <f>MAX(0,MIN(Y113,BX113-SUMPRODUCT(($T$2:$AK$2&lt;Y$2)*($T113:$AK113))))</f>
      </c>
      <c r="AR113" s="0">
        <f>MAX(0,MIN(Z113,BX113-SUMPRODUCT(($T$2:$AK$2&lt;Z$2)*($T113:$AK113))))</f>
      </c>
      <c r="AS113" s="0">
        <f>MAX(0,MIN(AA113,BX113-SUMPRODUCT(($T$2:$AK$2&lt;AA$2)*($T113:$AK113))))</f>
      </c>
      <c r="AT113" s="0">
        <f>MAX(0,MIN(AB113,BX113-SUMPRODUCT(($T$2:$AK$2&lt;AB$2)*($T113:$AK113))))</f>
      </c>
      <c r="AU113" s="0">
        <f>MAX(0,MIN(AC113,BX113-SUMPRODUCT(($T$2:$AK$2&lt;AC$2)*($T113:$AK113))))</f>
      </c>
      <c r="AV113" s="0">
        <f>MAX(0,MIN(AD113,BX113-SUMPRODUCT(($T$2:$AK$2&lt;AD$2)*($T113:$AK113))))</f>
      </c>
      <c r="AW113" s="0">
        <f>MAX(0,MIN(AE113,BX113-SUMPRODUCT(($T$2:$AK$2&lt;AE$2)*($T113:$AK113))))</f>
      </c>
      <c r="AX113" s="0">
        <f>MAX(0,MIN(AF113,BX113-SUMPRODUCT(($T$2:$AK$2&lt;AF$2)*($T113:$AK113))))</f>
      </c>
      <c r="AY113" s="0">
        <f>MAX(0,MIN(AG113,BX113-SUMPRODUCT(($T$2:$AK$2&lt;AG$2)*($T113:$AK113))))</f>
      </c>
      <c r="AZ113" s="0">
        <f>MAX(0,MIN(AH113,BX113-SUMPRODUCT(($T$2:$AK$2&lt;AH$2)*($T113:$AK113))))</f>
      </c>
      <c r="BA113" s="0">
        <f>MAX(0,MIN(AI113,BX113-SUMPRODUCT(($T$2:$AK$2&lt;AI$2)*($T113:$AK113))))</f>
      </c>
      <c r="BB113" s="0">
        <f>MAX(0,MIN(AJ113,BX113-SUMPRODUCT(($T$2:$AK$2&lt;AJ$2)*($T113:$AK113))))</f>
      </c>
      <c r="BC113" s="0">
        <f>MAX(0,MIN(AK113,BX113-SUMPRODUCT(($T$2:$AK$2&lt;AK$2)*($T113:$AK113))))</f>
      </c>
      <c r="BD113" s="0">
        <f>T113-AL113</f>
      </c>
      <c r="BE113" s="0">
        <f>U113-AM113</f>
      </c>
      <c r="BF113" s="0">
        <f>V113-AN113</f>
      </c>
      <c r="BG113" s="0">
        <f>W113-AO113</f>
      </c>
      <c r="BH113" s="0">
        <f>X113-AP113</f>
      </c>
      <c r="BI113" s="0">
        <f>Y113-AQ113</f>
      </c>
      <c r="BJ113" s="0">
        <f>Z113-AR113</f>
      </c>
      <c r="BK113" s="0">
        <f>AA113-AS113</f>
      </c>
      <c r="BL113" s="0">
        <f>AB113-AT113</f>
      </c>
      <c r="BM113" s="0">
        <f>AC113-AU113</f>
      </c>
      <c r="BN113" s="0">
        <f>AD113-AV113</f>
      </c>
      <c r="BO113" s="0">
        <f>AE113-AW113</f>
      </c>
      <c r="BP113" s="0">
        <f>AF113-AX113</f>
      </c>
      <c r="BQ113" s="0">
        <f>AG113-AY113</f>
      </c>
      <c r="BR113" s="0">
        <f>AH113-AZ113</f>
      </c>
      <c r="BS113" s="0">
        <f>AI113-BA113</f>
      </c>
      <c r="BT113" s="0">
        <f>AJ113-BB113</f>
      </c>
      <c r="BU113" s="0">
        <f>AK113-BC113</f>
      </c>
      <c r="BV113" s="0">
        <f>SUM(B113:S113)</f>
      </c>
      <c r="BW113" s="0">
        <f>SUM(T113:AK113)</f>
      </c>
      <c r="BX113" s="0">
        <f>MAX(0,(SUM(Calculator!$E$11:$E$28)+Calculator!$C$6)-BV113+BW113)</f>
      </c>
      <c r="BY113" s="0">
        <f>SUM(BD113:BU113)</f>
      </c>
      <c r="BZ113" s="0">
        <f>BV113-BY112</f>
      </c>
      <c r="CA113" s="0">
        <f>IF(A113&lt;=IF($CD$1=0,999,$CD$1),BY113,NA())</f>
      </c>
      <c r="CB113" s="0">
        <f>IF(A113&lt;=IF($CD$1=0,999,$CD$1),A113,NA())</f>
      </c>
    </row>
    <row r="114">
      <c r="A114" s="0">
        <v>111</v>
      </c>
      <c r="B114" s="0">
        <f>BD113*(1+Calculator!$D$11/100/12)</f>
      </c>
      <c r="C114" s="0">
        <f>BE113*(1+Calculator!$D$12/100/12)</f>
      </c>
      <c r="D114" s="0">
        <f>BF113*(1+Calculator!$D$13/100/12)</f>
      </c>
      <c r="E114" s="0">
        <f>BG113*(1+Calculator!$D$14/100/12)</f>
      </c>
      <c r="F114" s="0">
        <f>BH113*(1+Calculator!$D$15/100/12)</f>
      </c>
      <c r="G114" s="0">
        <f>BI113*(1+Calculator!$D$16/100/12)</f>
      </c>
      <c r="H114" s="0">
        <f>BJ113*(1+Calculator!$D$17/100/12)</f>
      </c>
      <c r="I114" s="0">
        <f>BK113*(1+Calculator!$D$18/100/12)</f>
      </c>
      <c r="J114" s="0">
        <f>BL113*(1+Calculator!$D$19/100/12)</f>
      </c>
      <c r="K114" s="0">
        <f>BM113*(1+Calculator!$D$20/100/12)</f>
      </c>
      <c r="L114" s="0">
        <f>BN113*(1+Calculator!$D$21/100/12)</f>
      </c>
      <c r="M114" s="0">
        <f>BO113*(1+Calculator!$D$22/100/12)</f>
      </c>
      <c r="N114" s="0">
        <f>BP113*(1+Calculator!$D$23/100/12)</f>
      </c>
      <c r="O114" s="0">
        <f>BQ113*(1+Calculator!$D$24/100/12)</f>
      </c>
      <c r="P114" s="0">
        <f>BR113*(1+Calculator!$D$25/100/12)</f>
      </c>
      <c r="Q114" s="0">
        <f>BS113*(1+Calculator!$D$26/100/12)</f>
      </c>
      <c r="R114" s="0">
        <f>BT113*(1+Calculator!$D$27/100/12)</f>
      </c>
      <c r="S114" s="0">
        <f>BU113*(1+Calculator!$D$28/100/12)</f>
      </c>
      <c r="T114" s="0">
        <f>MAX(0,B114-Calculator!$E$11)</f>
      </c>
      <c r="U114" s="0">
        <f>MAX(0,C114-Calculator!$E$12)</f>
      </c>
      <c r="V114" s="0">
        <f>MAX(0,D114-Calculator!$E$13)</f>
      </c>
      <c r="W114" s="0">
        <f>MAX(0,E114-Calculator!$E$14)</f>
      </c>
      <c r="X114" s="0">
        <f>MAX(0,F114-Calculator!$E$15)</f>
      </c>
      <c r="Y114" s="0">
        <f>MAX(0,G114-Calculator!$E$16)</f>
      </c>
      <c r="Z114" s="0">
        <f>MAX(0,H114-Calculator!$E$17)</f>
      </c>
      <c r="AA114" s="0">
        <f>MAX(0,I114-Calculator!$E$18)</f>
      </c>
      <c r="AB114" s="0">
        <f>MAX(0,J114-Calculator!$E$19)</f>
      </c>
      <c r="AC114" s="0">
        <f>MAX(0,K114-Calculator!$E$20)</f>
      </c>
      <c r="AD114" s="0">
        <f>MAX(0,L114-Calculator!$E$21)</f>
      </c>
      <c r="AE114" s="0">
        <f>MAX(0,M114-Calculator!$E$22)</f>
      </c>
      <c r="AF114" s="0">
        <f>MAX(0,N114-Calculator!$E$23)</f>
      </c>
      <c r="AG114" s="0">
        <f>MAX(0,O114-Calculator!$E$24)</f>
      </c>
      <c r="AH114" s="0">
        <f>MAX(0,P114-Calculator!$E$25)</f>
      </c>
      <c r="AI114" s="0">
        <f>MAX(0,Q114-Calculator!$E$26)</f>
      </c>
      <c r="AJ114" s="0">
        <f>MAX(0,R114-Calculator!$E$27)</f>
      </c>
      <c r="AK114" s="0">
        <f>MAX(0,S114-Calculator!$E$28)</f>
      </c>
      <c r="AL114" s="0">
        <f>MAX(0,MIN(T114,BX114-SUMPRODUCT(($T$2:$AK$2&lt;T$2)*($T114:$AK114))))</f>
      </c>
      <c r="AM114" s="0">
        <f>MAX(0,MIN(U114,BX114-SUMPRODUCT(($T$2:$AK$2&lt;U$2)*($T114:$AK114))))</f>
      </c>
      <c r="AN114" s="0">
        <f>MAX(0,MIN(V114,BX114-SUMPRODUCT(($T$2:$AK$2&lt;V$2)*($T114:$AK114))))</f>
      </c>
      <c r="AO114" s="0">
        <f>MAX(0,MIN(W114,BX114-SUMPRODUCT(($T$2:$AK$2&lt;W$2)*($T114:$AK114))))</f>
      </c>
      <c r="AP114" s="0">
        <f>MAX(0,MIN(X114,BX114-SUMPRODUCT(($T$2:$AK$2&lt;X$2)*($T114:$AK114))))</f>
      </c>
      <c r="AQ114" s="0">
        <f>MAX(0,MIN(Y114,BX114-SUMPRODUCT(($T$2:$AK$2&lt;Y$2)*($T114:$AK114))))</f>
      </c>
      <c r="AR114" s="0">
        <f>MAX(0,MIN(Z114,BX114-SUMPRODUCT(($T$2:$AK$2&lt;Z$2)*($T114:$AK114))))</f>
      </c>
      <c r="AS114" s="0">
        <f>MAX(0,MIN(AA114,BX114-SUMPRODUCT(($T$2:$AK$2&lt;AA$2)*($T114:$AK114))))</f>
      </c>
      <c r="AT114" s="0">
        <f>MAX(0,MIN(AB114,BX114-SUMPRODUCT(($T$2:$AK$2&lt;AB$2)*($T114:$AK114))))</f>
      </c>
      <c r="AU114" s="0">
        <f>MAX(0,MIN(AC114,BX114-SUMPRODUCT(($T$2:$AK$2&lt;AC$2)*($T114:$AK114))))</f>
      </c>
      <c r="AV114" s="0">
        <f>MAX(0,MIN(AD114,BX114-SUMPRODUCT(($T$2:$AK$2&lt;AD$2)*($T114:$AK114))))</f>
      </c>
      <c r="AW114" s="0">
        <f>MAX(0,MIN(AE114,BX114-SUMPRODUCT(($T$2:$AK$2&lt;AE$2)*($T114:$AK114))))</f>
      </c>
      <c r="AX114" s="0">
        <f>MAX(0,MIN(AF114,BX114-SUMPRODUCT(($T$2:$AK$2&lt;AF$2)*($T114:$AK114))))</f>
      </c>
      <c r="AY114" s="0">
        <f>MAX(0,MIN(AG114,BX114-SUMPRODUCT(($T$2:$AK$2&lt;AG$2)*($T114:$AK114))))</f>
      </c>
      <c r="AZ114" s="0">
        <f>MAX(0,MIN(AH114,BX114-SUMPRODUCT(($T$2:$AK$2&lt;AH$2)*($T114:$AK114))))</f>
      </c>
      <c r="BA114" s="0">
        <f>MAX(0,MIN(AI114,BX114-SUMPRODUCT(($T$2:$AK$2&lt;AI$2)*($T114:$AK114))))</f>
      </c>
      <c r="BB114" s="0">
        <f>MAX(0,MIN(AJ114,BX114-SUMPRODUCT(($T$2:$AK$2&lt;AJ$2)*($T114:$AK114))))</f>
      </c>
      <c r="BC114" s="0">
        <f>MAX(0,MIN(AK114,BX114-SUMPRODUCT(($T$2:$AK$2&lt;AK$2)*($T114:$AK114))))</f>
      </c>
      <c r="BD114" s="0">
        <f>T114-AL114</f>
      </c>
      <c r="BE114" s="0">
        <f>U114-AM114</f>
      </c>
      <c r="BF114" s="0">
        <f>V114-AN114</f>
      </c>
      <c r="BG114" s="0">
        <f>W114-AO114</f>
      </c>
      <c r="BH114" s="0">
        <f>X114-AP114</f>
      </c>
      <c r="BI114" s="0">
        <f>Y114-AQ114</f>
      </c>
      <c r="BJ114" s="0">
        <f>Z114-AR114</f>
      </c>
      <c r="BK114" s="0">
        <f>AA114-AS114</f>
      </c>
      <c r="BL114" s="0">
        <f>AB114-AT114</f>
      </c>
      <c r="BM114" s="0">
        <f>AC114-AU114</f>
      </c>
      <c r="BN114" s="0">
        <f>AD114-AV114</f>
      </c>
      <c r="BO114" s="0">
        <f>AE114-AW114</f>
      </c>
      <c r="BP114" s="0">
        <f>AF114-AX114</f>
      </c>
      <c r="BQ114" s="0">
        <f>AG114-AY114</f>
      </c>
      <c r="BR114" s="0">
        <f>AH114-AZ114</f>
      </c>
      <c r="BS114" s="0">
        <f>AI114-BA114</f>
      </c>
      <c r="BT114" s="0">
        <f>AJ114-BB114</f>
      </c>
      <c r="BU114" s="0">
        <f>AK114-BC114</f>
      </c>
      <c r="BV114" s="0">
        <f>SUM(B114:S114)</f>
      </c>
      <c r="BW114" s="0">
        <f>SUM(T114:AK114)</f>
      </c>
      <c r="BX114" s="0">
        <f>MAX(0,(SUM(Calculator!$E$11:$E$28)+Calculator!$C$6)-BV114+BW114)</f>
      </c>
      <c r="BY114" s="0">
        <f>SUM(BD114:BU114)</f>
      </c>
      <c r="BZ114" s="0">
        <f>BV114-BY113</f>
      </c>
      <c r="CA114" s="0">
        <f>IF(A114&lt;=IF($CD$1=0,999,$CD$1),BY114,NA())</f>
      </c>
      <c r="CB114" s="0">
        <f>IF(A114&lt;=IF($CD$1=0,999,$CD$1),A114,NA())</f>
      </c>
    </row>
    <row r="115">
      <c r="A115" s="0">
        <v>112</v>
      </c>
      <c r="B115" s="0">
        <f>BD114*(1+Calculator!$D$11/100/12)</f>
      </c>
      <c r="C115" s="0">
        <f>BE114*(1+Calculator!$D$12/100/12)</f>
      </c>
      <c r="D115" s="0">
        <f>BF114*(1+Calculator!$D$13/100/12)</f>
      </c>
      <c r="E115" s="0">
        <f>BG114*(1+Calculator!$D$14/100/12)</f>
      </c>
      <c r="F115" s="0">
        <f>BH114*(1+Calculator!$D$15/100/12)</f>
      </c>
      <c r="G115" s="0">
        <f>BI114*(1+Calculator!$D$16/100/12)</f>
      </c>
      <c r="H115" s="0">
        <f>BJ114*(1+Calculator!$D$17/100/12)</f>
      </c>
      <c r="I115" s="0">
        <f>BK114*(1+Calculator!$D$18/100/12)</f>
      </c>
      <c r="J115" s="0">
        <f>BL114*(1+Calculator!$D$19/100/12)</f>
      </c>
      <c r="K115" s="0">
        <f>BM114*(1+Calculator!$D$20/100/12)</f>
      </c>
      <c r="L115" s="0">
        <f>BN114*(1+Calculator!$D$21/100/12)</f>
      </c>
      <c r="M115" s="0">
        <f>BO114*(1+Calculator!$D$22/100/12)</f>
      </c>
      <c r="N115" s="0">
        <f>BP114*(1+Calculator!$D$23/100/12)</f>
      </c>
      <c r="O115" s="0">
        <f>BQ114*(1+Calculator!$D$24/100/12)</f>
      </c>
      <c r="P115" s="0">
        <f>BR114*(1+Calculator!$D$25/100/12)</f>
      </c>
      <c r="Q115" s="0">
        <f>BS114*(1+Calculator!$D$26/100/12)</f>
      </c>
      <c r="R115" s="0">
        <f>BT114*(1+Calculator!$D$27/100/12)</f>
      </c>
      <c r="S115" s="0">
        <f>BU114*(1+Calculator!$D$28/100/12)</f>
      </c>
      <c r="T115" s="0">
        <f>MAX(0,B115-Calculator!$E$11)</f>
      </c>
      <c r="U115" s="0">
        <f>MAX(0,C115-Calculator!$E$12)</f>
      </c>
      <c r="V115" s="0">
        <f>MAX(0,D115-Calculator!$E$13)</f>
      </c>
      <c r="W115" s="0">
        <f>MAX(0,E115-Calculator!$E$14)</f>
      </c>
      <c r="X115" s="0">
        <f>MAX(0,F115-Calculator!$E$15)</f>
      </c>
      <c r="Y115" s="0">
        <f>MAX(0,G115-Calculator!$E$16)</f>
      </c>
      <c r="Z115" s="0">
        <f>MAX(0,H115-Calculator!$E$17)</f>
      </c>
      <c r="AA115" s="0">
        <f>MAX(0,I115-Calculator!$E$18)</f>
      </c>
      <c r="AB115" s="0">
        <f>MAX(0,J115-Calculator!$E$19)</f>
      </c>
      <c r="AC115" s="0">
        <f>MAX(0,K115-Calculator!$E$20)</f>
      </c>
      <c r="AD115" s="0">
        <f>MAX(0,L115-Calculator!$E$21)</f>
      </c>
      <c r="AE115" s="0">
        <f>MAX(0,M115-Calculator!$E$22)</f>
      </c>
      <c r="AF115" s="0">
        <f>MAX(0,N115-Calculator!$E$23)</f>
      </c>
      <c r="AG115" s="0">
        <f>MAX(0,O115-Calculator!$E$24)</f>
      </c>
      <c r="AH115" s="0">
        <f>MAX(0,P115-Calculator!$E$25)</f>
      </c>
      <c r="AI115" s="0">
        <f>MAX(0,Q115-Calculator!$E$26)</f>
      </c>
      <c r="AJ115" s="0">
        <f>MAX(0,R115-Calculator!$E$27)</f>
      </c>
      <c r="AK115" s="0">
        <f>MAX(0,S115-Calculator!$E$28)</f>
      </c>
      <c r="AL115" s="0">
        <f>MAX(0,MIN(T115,BX115-SUMPRODUCT(($T$2:$AK$2&lt;T$2)*($T115:$AK115))))</f>
      </c>
      <c r="AM115" s="0">
        <f>MAX(0,MIN(U115,BX115-SUMPRODUCT(($T$2:$AK$2&lt;U$2)*($T115:$AK115))))</f>
      </c>
      <c r="AN115" s="0">
        <f>MAX(0,MIN(V115,BX115-SUMPRODUCT(($T$2:$AK$2&lt;V$2)*($T115:$AK115))))</f>
      </c>
      <c r="AO115" s="0">
        <f>MAX(0,MIN(W115,BX115-SUMPRODUCT(($T$2:$AK$2&lt;W$2)*($T115:$AK115))))</f>
      </c>
      <c r="AP115" s="0">
        <f>MAX(0,MIN(X115,BX115-SUMPRODUCT(($T$2:$AK$2&lt;X$2)*($T115:$AK115))))</f>
      </c>
      <c r="AQ115" s="0">
        <f>MAX(0,MIN(Y115,BX115-SUMPRODUCT(($T$2:$AK$2&lt;Y$2)*($T115:$AK115))))</f>
      </c>
      <c r="AR115" s="0">
        <f>MAX(0,MIN(Z115,BX115-SUMPRODUCT(($T$2:$AK$2&lt;Z$2)*($T115:$AK115))))</f>
      </c>
      <c r="AS115" s="0">
        <f>MAX(0,MIN(AA115,BX115-SUMPRODUCT(($T$2:$AK$2&lt;AA$2)*($T115:$AK115))))</f>
      </c>
      <c r="AT115" s="0">
        <f>MAX(0,MIN(AB115,BX115-SUMPRODUCT(($T$2:$AK$2&lt;AB$2)*($T115:$AK115))))</f>
      </c>
      <c r="AU115" s="0">
        <f>MAX(0,MIN(AC115,BX115-SUMPRODUCT(($T$2:$AK$2&lt;AC$2)*($T115:$AK115))))</f>
      </c>
      <c r="AV115" s="0">
        <f>MAX(0,MIN(AD115,BX115-SUMPRODUCT(($T$2:$AK$2&lt;AD$2)*($T115:$AK115))))</f>
      </c>
      <c r="AW115" s="0">
        <f>MAX(0,MIN(AE115,BX115-SUMPRODUCT(($T$2:$AK$2&lt;AE$2)*($T115:$AK115))))</f>
      </c>
      <c r="AX115" s="0">
        <f>MAX(0,MIN(AF115,BX115-SUMPRODUCT(($T$2:$AK$2&lt;AF$2)*($T115:$AK115))))</f>
      </c>
      <c r="AY115" s="0">
        <f>MAX(0,MIN(AG115,BX115-SUMPRODUCT(($T$2:$AK$2&lt;AG$2)*($T115:$AK115))))</f>
      </c>
      <c r="AZ115" s="0">
        <f>MAX(0,MIN(AH115,BX115-SUMPRODUCT(($T$2:$AK$2&lt;AH$2)*($T115:$AK115))))</f>
      </c>
      <c r="BA115" s="0">
        <f>MAX(0,MIN(AI115,BX115-SUMPRODUCT(($T$2:$AK$2&lt;AI$2)*($T115:$AK115))))</f>
      </c>
      <c r="BB115" s="0">
        <f>MAX(0,MIN(AJ115,BX115-SUMPRODUCT(($T$2:$AK$2&lt;AJ$2)*($T115:$AK115))))</f>
      </c>
      <c r="BC115" s="0">
        <f>MAX(0,MIN(AK115,BX115-SUMPRODUCT(($T$2:$AK$2&lt;AK$2)*($T115:$AK115))))</f>
      </c>
      <c r="BD115" s="0">
        <f>T115-AL115</f>
      </c>
      <c r="BE115" s="0">
        <f>U115-AM115</f>
      </c>
      <c r="BF115" s="0">
        <f>V115-AN115</f>
      </c>
      <c r="BG115" s="0">
        <f>W115-AO115</f>
      </c>
      <c r="BH115" s="0">
        <f>X115-AP115</f>
      </c>
      <c r="BI115" s="0">
        <f>Y115-AQ115</f>
      </c>
      <c r="BJ115" s="0">
        <f>Z115-AR115</f>
      </c>
      <c r="BK115" s="0">
        <f>AA115-AS115</f>
      </c>
      <c r="BL115" s="0">
        <f>AB115-AT115</f>
      </c>
      <c r="BM115" s="0">
        <f>AC115-AU115</f>
      </c>
      <c r="BN115" s="0">
        <f>AD115-AV115</f>
      </c>
      <c r="BO115" s="0">
        <f>AE115-AW115</f>
      </c>
      <c r="BP115" s="0">
        <f>AF115-AX115</f>
      </c>
      <c r="BQ115" s="0">
        <f>AG115-AY115</f>
      </c>
      <c r="BR115" s="0">
        <f>AH115-AZ115</f>
      </c>
      <c r="BS115" s="0">
        <f>AI115-BA115</f>
      </c>
      <c r="BT115" s="0">
        <f>AJ115-BB115</f>
      </c>
      <c r="BU115" s="0">
        <f>AK115-BC115</f>
      </c>
      <c r="BV115" s="0">
        <f>SUM(B115:S115)</f>
      </c>
      <c r="BW115" s="0">
        <f>SUM(T115:AK115)</f>
      </c>
      <c r="BX115" s="0">
        <f>MAX(0,(SUM(Calculator!$E$11:$E$28)+Calculator!$C$6)-BV115+BW115)</f>
      </c>
      <c r="BY115" s="0">
        <f>SUM(BD115:BU115)</f>
      </c>
      <c r="BZ115" s="0">
        <f>BV115-BY114</f>
      </c>
      <c r="CA115" s="0">
        <f>IF(A115&lt;=IF($CD$1=0,999,$CD$1),BY115,NA())</f>
      </c>
      <c r="CB115" s="0">
        <f>IF(A115&lt;=IF($CD$1=0,999,$CD$1),A115,NA())</f>
      </c>
    </row>
    <row r="116">
      <c r="A116" s="0">
        <v>113</v>
      </c>
      <c r="B116" s="0">
        <f>BD115*(1+Calculator!$D$11/100/12)</f>
      </c>
      <c r="C116" s="0">
        <f>BE115*(1+Calculator!$D$12/100/12)</f>
      </c>
      <c r="D116" s="0">
        <f>BF115*(1+Calculator!$D$13/100/12)</f>
      </c>
      <c r="E116" s="0">
        <f>BG115*(1+Calculator!$D$14/100/12)</f>
      </c>
      <c r="F116" s="0">
        <f>BH115*(1+Calculator!$D$15/100/12)</f>
      </c>
      <c r="G116" s="0">
        <f>BI115*(1+Calculator!$D$16/100/12)</f>
      </c>
      <c r="H116" s="0">
        <f>BJ115*(1+Calculator!$D$17/100/12)</f>
      </c>
      <c r="I116" s="0">
        <f>BK115*(1+Calculator!$D$18/100/12)</f>
      </c>
      <c r="J116" s="0">
        <f>BL115*(1+Calculator!$D$19/100/12)</f>
      </c>
      <c r="K116" s="0">
        <f>BM115*(1+Calculator!$D$20/100/12)</f>
      </c>
      <c r="L116" s="0">
        <f>BN115*(1+Calculator!$D$21/100/12)</f>
      </c>
      <c r="M116" s="0">
        <f>BO115*(1+Calculator!$D$22/100/12)</f>
      </c>
      <c r="N116" s="0">
        <f>BP115*(1+Calculator!$D$23/100/12)</f>
      </c>
      <c r="O116" s="0">
        <f>BQ115*(1+Calculator!$D$24/100/12)</f>
      </c>
      <c r="P116" s="0">
        <f>BR115*(1+Calculator!$D$25/100/12)</f>
      </c>
      <c r="Q116" s="0">
        <f>BS115*(1+Calculator!$D$26/100/12)</f>
      </c>
      <c r="R116" s="0">
        <f>BT115*(1+Calculator!$D$27/100/12)</f>
      </c>
      <c r="S116" s="0">
        <f>BU115*(1+Calculator!$D$28/100/12)</f>
      </c>
      <c r="T116" s="0">
        <f>MAX(0,B116-Calculator!$E$11)</f>
      </c>
      <c r="U116" s="0">
        <f>MAX(0,C116-Calculator!$E$12)</f>
      </c>
      <c r="V116" s="0">
        <f>MAX(0,D116-Calculator!$E$13)</f>
      </c>
      <c r="W116" s="0">
        <f>MAX(0,E116-Calculator!$E$14)</f>
      </c>
      <c r="X116" s="0">
        <f>MAX(0,F116-Calculator!$E$15)</f>
      </c>
      <c r="Y116" s="0">
        <f>MAX(0,G116-Calculator!$E$16)</f>
      </c>
      <c r="Z116" s="0">
        <f>MAX(0,H116-Calculator!$E$17)</f>
      </c>
      <c r="AA116" s="0">
        <f>MAX(0,I116-Calculator!$E$18)</f>
      </c>
      <c r="AB116" s="0">
        <f>MAX(0,J116-Calculator!$E$19)</f>
      </c>
      <c r="AC116" s="0">
        <f>MAX(0,K116-Calculator!$E$20)</f>
      </c>
      <c r="AD116" s="0">
        <f>MAX(0,L116-Calculator!$E$21)</f>
      </c>
      <c r="AE116" s="0">
        <f>MAX(0,M116-Calculator!$E$22)</f>
      </c>
      <c r="AF116" s="0">
        <f>MAX(0,N116-Calculator!$E$23)</f>
      </c>
      <c r="AG116" s="0">
        <f>MAX(0,O116-Calculator!$E$24)</f>
      </c>
      <c r="AH116" s="0">
        <f>MAX(0,P116-Calculator!$E$25)</f>
      </c>
      <c r="AI116" s="0">
        <f>MAX(0,Q116-Calculator!$E$26)</f>
      </c>
      <c r="AJ116" s="0">
        <f>MAX(0,R116-Calculator!$E$27)</f>
      </c>
      <c r="AK116" s="0">
        <f>MAX(0,S116-Calculator!$E$28)</f>
      </c>
      <c r="AL116" s="0">
        <f>MAX(0,MIN(T116,BX116-SUMPRODUCT(($T$2:$AK$2&lt;T$2)*($T116:$AK116))))</f>
      </c>
      <c r="AM116" s="0">
        <f>MAX(0,MIN(U116,BX116-SUMPRODUCT(($T$2:$AK$2&lt;U$2)*($T116:$AK116))))</f>
      </c>
      <c r="AN116" s="0">
        <f>MAX(0,MIN(V116,BX116-SUMPRODUCT(($T$2:$AK$2&lt;V$2)*($T116:$AK116))))</f>
      </c>
      <c r="AO116" s="0">
        <f>MAX(0,MIN(W116,BX116-SUMPRODUCT(($T$2:$AK$2&lt;W$2)*($T116:$AK116))))</f>
      </c>
      <c r="AP116" s="0">
        <f>MAX(0,MIN(X116,BX116-SUMPRODUCT(($T$2:$AK$2&lt;X$2)*($T116:$AK116))))</f>
      </c>
      <c r="AQ116" s="0">
        <f>MAX(0,MIN(Y116,BX116-SUMPRODUCT(($T$2:$AK$2&lt;Y$2)*($T116:$AK116))))</f>
      </c>
      <c r="AR116" s="0">
        <f>MAX(0,MIN(Z116,BX116-SUMPRODUCT(($T$2:$AK$2&lt;Z$2)*($T116:$AK116))))</f>
      </c>
      <c r="AS116" s="0">
        <f>MAX(0,MIN(AA116,BX116-SUMPRODUCT(($T$2:$AK$2&lt;AA$2)*($T116:$AK116))))</f>
      </c>
      <c r="AT116" s="0">
        <f>MAX(0,MIN(AB116,BX116-SUMPRODUCT(($T$2:$AK$2&lt;AB$2)*($T116:$AK116))))</f>
      </c>
      <c r="AU116" s="0">
        <f>MAX(0,MIN(AC116,BX116-SUMPRODUCT(($T$2:$AK$2&lt;AC$2)*($T116:$AK116))))</f>
      </c>
      <c r="AV116" s="0">
        <f>MAX(0,MIN(AD116,BX116-SUMPRODUCT(($T$2:$AK$2&lt;AD$2)*($T116:$AK116))))</f>
      </c>
      <c r="AW116" s="0">
        <f>MAX(0,MIN(AE116,BX116-SUMPRODUCT(($T$2:$AK$2&lt;AE$2)*($T116:$AK116))))</f>
      </c>
      <c r="AX116" s="0">
        <f>MAX(0,MIN(AF116,BX116-SUMPRODUCT(($T$2:$AK$2&lt;AF$2)*($T116:$AK116))))</f>
      </c>
      <c r="AY116" s="0">
        <f>MAX(0,MIN(AG116,BX116-SUMPRODUCT(($T$2:$AK$2&lt;AG$2)*($T116:$AK116))))</f>
      </c>
      <c r="AZ116" s="0">
        <f>MAX(0,MIN(AH116,BX116-SUMPRODUCT(($T$2:$AK$2&lt;AH$2)*($T116:$AK116))))</f>
      </c>
      <c r="BA116" s="0">
        <f>MAX(0,MIN(AI116,BX116-SUMPRODUCT(($T$2:$AK$2&lt;AI$2)*($T116:$AK116))))</f>
      </c>
      <c r="BB116" s="0">
        <f>MAX(0,MIN(AJ116,BX116-SUMPRODUCT(($T$2:$AK$2&lt;AJ$2)*($T116:$AK116))))</f>
      </c>
      <c r="BC116" s="0">
        <f>MAX(0,MIN(AK116,BX116-SUMPRODUCT(($T$2:$AK$2&lt;AK$2)*($T116:$AK116))))</f>
      </c>
      <c r="BD116" s="0">
        <f>T116-AL116</f>
      </c>
      <c r="BE116" s="0">
        <f>U116-AM116</f>
      </c>
      <c r="BF116" s="0">
        <f>V116-AN116</f>
      </c>
      <c r="BG116" s="0">
        <f>W116-AO116</f>
      </c>
      <c r="BH116" s="0">
        <f>X116-AP116</f>
      </c>
      <c r="BI116" s="0">
        <f>Y116-AQ116</f>
      </c>
      <c r="BJ116" s="0">
        <f>Z116-AR116</f>
      </c>
      <c r="BK116" s="0">
        <f>AA116-AS116</f>
      </c>
      <c r="BL116" s="0">
        <f>AB116-AT116</f>
      </c>
      <c r="BM116" s="0">
        <f>AC116-AU116</f>
      </c>
      <c r="BN116" s="0">
        <f>AD116-AV116</f>
      </c>
      <c r="BO116" s="0">
        <f>AE116-AW116</f>
      </c>
      <c r="BP116" s="0">
        <f>AF116-AX116</f>
      </c>
      <c r="BQ116" s="0">
        <f>AG116-AY116</f>
      </c>
      <c r="BR116" s="0">
        <f>AH116-AZ116</f>
      </c>
      <c r="BS116" s="0">
        <f>AI116-BA116</f>
      </c>
      <c r="BT116" s="0">
        <f>AJ116-BB116</f>
      </c>
      <c r="BU116" s="0">
        <f>AK116-BC116</f>
      </c>
      <c r="BV116" s="0">
        <f>SUM(B116:S116)</f>
      </c>
      <c r="BW116" s="0">
        <f>SUM(T116:AK116)</f>
      </c>
      <c r="BX116" s="0">
        <f>MAX(0,(SUM(Calculator!$E$11:$E$28)+Calculator!$C$6)-BV116+BW116)</f>
      </c>
      <c r="BY116" s="0">
        <f>SUM(BD116:BU116)</f>
      </c>
      <c r="BZ116" s="0">
        <f>BV116-BY115</f>
      </c>
      <c r="CA116" s="0">
        <f>IF(A116&lt;=IF($CD$1=0,999,$CD$1),BY116,NA())</f>
      </c>
      <c r="CB116" s="0">
        <f>IF(A116&lt;=IF($CD$1=0,999,$CD$1),A116,NA())</f>
      </c>
    </row>
    <row r="117">
      <c r="A117" s="0">
        <v>114</v>
      </c>
      <c r="B117" s="0">
        <f>BD116*(1+Calculator!$D$11/100/12)</f>
      </c>
      <c r="C117" s="0">
        <f>BE116*(1+Calculator!$D$12/100/12)</f>
      </c>
      <c r="D117" s="0">
        <f>BF116*(1+Calculator!$D$13/100/12)</f>
      </c>
      <c r="E117" s="0">
        <f>BG116*(1+Calculator!$D$14/100/12)</f>
      </c>
      <c r="F117" s="0">
        <f>BH116*(1+Calculator!$D$15/100/12)</f>
      </c>
      <c r="G117" s="0">
        <f>BI116*(1+Calculator!$D$16/100/12)</f>
      </c>
      <c r="H117" s="0">
        <f>BJ116*(1+Calculator!$D$17/100/12)</f>
      </c>
      <c r="I117" s="0">
        <f>BK116*(1+Calculator!$D$18/100/12)</f>
      </c>
      <c r="J117" s="0">
        <f>BL116*(1+Calculator!$D$19/100/12)</f>
      </c>
      <c r="K117" s="0">
        <f>BM116*(1+Calculator!$D$20/100/12)</f>
      </c>
      <c r="L117" s="0">
        <f>BN116*(1+Calculator!$D$21/100/12)</f>
      </c>
      <c r="M117" s="0">
        <f>BO116*(1+Calculator!$D$22/100/12)</f>
      </c>
      <c r="N117" s="0">
        <f>BP116*(1+Calculator!$D$23/100/12)</f>
      </c>
      <c r="O117" s="0">
        <f>BQ116*(1+Calculator!$D$24/100/12)</f>
      </c>
      <c r="P117" s="0">
        <f>BR116*(1+Calculator!$D$25/100/12)</f>
      </c>
      <c r="Q117" s="0">
        <f>BS116*(1+Calculator!$D$26/100/12)</f>
      </c>
      <c r="R117" s="0">
        <f>BT116*(1+Calculator!$D$27/100/12)</f>
      </c>
      <c r="S117" s="0">
        <f>BU116*(1+Calculator!$D$28/100/12)</f>
      </c>
      <c r="T117" s="0">
        <f>MAX(0,B117-Calculator!$E$11)</f>
      </c>
      <c r="U117" s="0">
        <f>MAX(0,C117-Calculator!$E$12)</f>
      </c>
      <c r="V117" s="0">
        <f>MAX(0,D117-Calculator!$E$13)</f>
      </c>
      <c r="W117" s="0">
        <f>MAX(0,E117-Calculator!$E$14)</f>
      </c>
      <c r="X117" s="0">
        <f>MAX(0,F117-Calculator!$E$15)</f>
      </c>
      <c r="Y117" s="0">
        <f>MAX(0,G117-Calculator!$E$16)</f>
      </c>
      <c r="Z117" s="0">
        <f>MAX(0,H117-Calculator!$E$17)</f>
      </c>
      <c r="AA117" s="0">
        <f>MAX(0,I117-Calculator!$E$18)</f>
      </c>
      <c r="AB117" s="0">
        <f>MAX(0,J117-Calculator!$E$19)</f>
      </c>
      <c r="AC117" s="0">
        <f>MAX(0,K117-Calculator!$E$20)</f>
      </c>
      <c r="AD117" s="0">
        <f>MAX(0,L117-Calculator!$E$21)</f>
      </c>
      <c r="AE117" s="0">
        <f>MAX(0,M117-Calculator!$E$22)</f>
      </c>
      <c r="AF117" s="0">
        <f>MAX(0,N117-Calculator!$E$23)</f>
      </c>
      <c r="AG117" s="0">
        <f>MAX(0,O117-Calculator!$E$24)</f>
      </c>
      <c r="AH117" s="0">
        <f>MAX(0,P117-Calculator!$E$25)</f>
      </c>
      <c r="AI117" s="0">
        <f>MAX(0,Q117-Calculator!$E$26)</f>
      </c>
      <c r="AJ117" s="0">
        <f>MAX(0,R117-Calculator!$E$27)</f>
      </c>
      <c r="AK117" s="0">
        <f>MAX(0,S117-Calculator!$E$28)</f>
      </c>
      <c r="AL117" s="0">
        <f>MAX(0,MIN(T117,BX117-SUMPRODUCT(($T$2:$AK$2&lt;T$2)*($T117:$AK117))))</f>
      </c>
      <c r="AM117" s="0">
        <f>MAX(0,MIN(U117,BX117-SUMPRODUCT(($T$2:$AK$2&lt;U$2)*($T117:$AK117))))</f>
      </c>
      <c r="AN117" s="0">
        <f>MAX(0,MIN(V117,BX117-SUMPRODUCT(($T$2:$AK$2&lt;V$2)*($T117:$AK117))))</f>
      </c>
      <c r="AO117" s="0">
        <f>MAX(0,MIN(W117,BX117-SUMPRODUCT(($T$2:$AK$2&lt;W$2)*($T117:$AK117))))</f>
      </c>
      <c r="AP117" s="0">
        <f>MAX(0,MIN(X117,BX117-SUMPRODUCT(($T$2:$AK$2&lt;X$2)*($T117:$AK117))))</f>
      </c>
      <c r="AQ117" s="0">
        <f>MAX(0,MIN(Y117,BX117-SUMPRODUCT(($T$2:$AK$2&lt;Y$2)*($T117:$AK117))))</f>
      </c>
      <c r="AR117" s="0">
        <f>MAX(0,MIN(Z117,BX117-SUMPRODUCT(($T$2:$AK$2&lt;Z$2)*($T117:$AK117))))</f>
      </c>
      <c r="AS117" s="0">
        <f>MAX(0,MIN(AA117,BX117-SUMPRODUCT(($T$2:$AK$2&lt;AA$2)*($T117:$AK117))))</f>
      </c>
      <c r="AT117" s="0">
        <f>MAX(0,MIN(AB117,BX117-SUMPRODUCT(($T$2:$AK$2&lt;AB$2)*($T117:$AK117))))</f>
      </c>
      <c r="AU117" s="0">
        <f>MAX(0,MIN(AC117,BX117-SUMPRODUCT(($T$2:$AK$2&lt;AC$2)*($T117:$AK117))))</f>
      </c>
      <c r="AV117" s="0">
        <f>MAX(0,MIN(AD117,BX117-SUMPRODUCT(($T$2:$AK$2&lt;AD$2)*($T117:$AK117))))</f>
      </c>
      <c r="AW117" s="0">
        <f>MAX(0,MIN(AE117,BX117-SUMPRODUCT(($T$2:$AK$2&lt;AE$2)*($T117:$AK117))))</f>
      </c>
      <c r="AX117" s="0">
        <f>MAX(0,MIN(AF117,BX117-SUMPRODUCT(($T$2:$AK$2&lt;AF$2)*($T117:$AK117))))</f>
      </c>
      <c r="AY117" s="0">
        <f>MAX(0,MIN(AG117,BX117-SUMPRODUCT(($T$2:$AK$2&lt;AG$2)*($T117:$AK117))))</f>
      </c>
      <c r="AZ117" s="0">
        <f>MAX(0,MIN(AH117,BX117-SUMPRODUCT(($T$2:$AK$2&lt;AH$2)*($T117:$AK117))))</f>
      </c>
      <c r="BA117" s="0">
        <f>MAX(0,MIN(AI117,BX117-SUMPRODUCT(($T$2:$AK$2&lt;AI$2)*($T117:$AK117))))</f>
      </c>
      <c r="BB117" s="0">
        <f>MAX(0,MIN(AJ117,BX117-SUMPRODUCT(($T$2:$AK$2&lt;AJ$2)*($T117:$AK117))))</f>
      </c>
      <c r="BC117" s="0">
        <f>MAX(0,MIN(AK117,BX117-SUMPRODUCT(($T$2:$AK$2&lt;AK$2)*($T117:$AK117))))</f>
      </c>
      <c r="BD117" s="0">
        <f>T117-AL117</f>
      </c>
      <c r="BE117" s="0">
        <f>U117-AM117</f>
      </c>
      <c r="BF117" s="0">
        <f>V117-AN117</f>
      </c>
      <c r="BG117" s="0">
        <f>W117-AO117</f>
      </c>
      <c r="BH117" s="0">
        <f>X117-AP117</f>
      </c>
      <c r="BI117" s="0">
        <f>Y117-AQ117</f>
      </c>
      <c r="BJ117" s="0">
        <f>Z117-AR117</f>
      </c>
      <c r="BK117" s="0">
        <f>AA117-AS117</f>
      </c>
      <c r="BL117" s="0">
        <f>AB117-AT117</f>
      </c>
      <c r="BM117" s="0">
        <f>AC117-AU117</f>
      </c>
      <c r="BN117" s="0">
        <f>AD117-AV117</f>
      </c>
      <c r="BO117" s="0">
        <f>AE117-AW117</f>
      </c>
      <c r="BP117" s="0">
        <f>AF117-AX117</f>
      </c>
      <c r="BQ117" s="0">
        <f>AG117-AY117</f>
      </c>
      <c r="BR117" s="0">
        <f>AH117-AZ117</f>
      </c>
      <c r="BS117" s="0">
        <f>AI117-BA117</f>
      </c>
      <c r="BT117" s="0">
        <f>AJ117-BB117</f>
      </c>
      <c r="BU117" s="0">
        <f>AK117-BC117</f>
      </c>
      <c r="BV117" s="0">
        <f>SUM(B117:S117)</f>
      </c>
      <c r="BW117" s="0">
        <f>SUM(T117:AK117)</f>
      </c>
      <c r="BX117" s="0">
        <f>MAX(0,(SUM(Calculator!$E$11:$E$28)+Calculator!$C$6)-BV117+BW117)</f>
      </c>
      <c r="BY117" s="0">
        <f>SUM(BD117:BU117)</f>
      </c>
      <c r="BZ117" s="0">
        <f>BV117-BY116</f>
      </c>
      <c r="CA117" s="0">
        <f>IF(A117&lt;=IF($CD$1=0,999,$CD$1),BY117,NA())</f>
      </c>
      <c r="CB117" s="0">
        <f>IF(A117&lt;=IF($CD$1=0,999,$CD$1),A117,NA())</f>
      </c>
    </row>
    <row r="118">
      <c r="A118" s="0">
        <v>115</v>
      </c>
      <c r="B118" s="0">
        <f>BD117*(1+Calculator!$D$11/100/12)</f>
      </c>
      <c r="C118" s="0">
        <f>BE117*(1+Calculator!$D$12/100/12)</f>
      </c>
      <c r="D118" s="0">
        <f>BF117*(1+Calculator!$D$13/100/12)</f>
      </c>
      <c r="E118" s="0">
        <f>BG117*(1+Calculator!$D$14/100/12)</f>
      </c>
      <c r="F118" s="0">
        <f>BH117*(1+Calculator!$D$15/100/12)</f>
      </c>
      <c r="G118" s="0">
        <f>BI117*(1+Calculator!$D$16/100/12)</f>
      </c>
      <c r="H118" s="0">
        <f>BJ117*(1+Calculator!$D$17/100/12)</f>
      </c>
      <c r="I118" s="0">
        <f>BK117*(1+Calculator!$D$18/100/12)</f>
      </c>
      <c r="J118" s="0">
        <f>BL117*(1+Calculator!$D$19/100/12)</f>
      </c>
      <c r="K118" s="0">
        <f>BM117*(1+Calculator!$D$20/100/12)</f>
      </c>
      <c r="L118" s="0">
        <f>BN117*(1+Calculator!$D$21/100/12)</f>
      </c>
      <c r="M118" s="0">
        <f>BO117*(1+Calculator!$D$22/100/12)</f>
      </c>
      <c r="N118" s="0">
        <f>BP117*(1+Calculator!$D$23/100/12)</f>
      </c>
      <c r="O118" s="0">
        <f>BQ117*(1+Calculator!$D$24/100/12)</f>
      </c>
      <c r="P118" s="0">
        <f>BR117*(1+Calculator!$D$25/100/12)</f>
      </c>
      <c r="Q118" s="0">
        <f>BS117*(1+Calculator!$D$26/100/12)</f>
      </c>
      <c r="R118" s="0">
        <f>BT117*(1+Calculator!$D$27/100/12)</f>
      </c>
      <c r="S118" s="0">
        <f>BU117*(1+Calculator!$D$28/100/12)</f>
      </c>
      <c r="T118" s="0">
        <f>MAX(0,B118-Calculator!$E$11)</f>
      </c>
      <c r="U118" s="0">
        <f>MAX(0,C118-Calculator!$E$12)</f>
      </c>
      <c r="V118" s="0">
        <f>MAX(0,D118-Calculator!$E$13)</f>
      </c>
      <c r="W118" s="0">
        <f>MAX(0,E118-Calculator!$E$14)</f>
      </c>
      <c r="X118" s="0">
        <f>MAX(0,F118-Calculator!$E$15)</f>
      </c>
      <c r="Y118" s="0">
        <f>MAX(0,G118-Calculator!$E$16)</f>
      </c>
      <c r="Z118" s="0">
        <f>MAX(0,H118-Calculator!$E$17)</f>
      </c>
      <c r="AA118" s="0">
        <f>MAX(0,I118-Calculator!$E$18)</f>
      </c>
      <c r="AB118" s="0">
        <f>MAX(0,J118-Calculator!$E$19)</f>
      </c>
      <c r="AC118" s="0">
        <f>MAX(0,K118-Calculator!$E$20)</f>
      </c>
      <c r="AD118" s="0">
        <f>MAX(0,L118-Calculator!$E$21)</f>
      </c>
      <c r="AE118" s="0">
        <f>MAX(0,M118-Calculator!$E$22)</f>
      </c>
      <c r="AF118" s="0">
        <f>MAX(0,N118-Calculator!$E$23)</f>
      </c>
      <c r="AG118" s="0">
        <f>MAX(0,O118-Calculator!$E$24)</f>
      </c>
      <c r="AH118" s="0">
        <f>MAX(0,P118-Calculator!$E$25)</f>
      </c>
      <c r="AI118" s="0">
        <f>MAX(0,Q118-Calculator!$E$26)</f>
      </c>
      <c r="AJ118" s="0">
        <f>MAX(0,R118-Calculator!$E$27)</f>
      </c>
      <c r="AK118" s="0">
        <f>MAX(0,S118-Calculator!$E$28)</f>
      </c>
      <c r="AL118" s="0">
        <f>MAX(0,MIN(T118,BX118-SUMPRODUCT(($T$2:$AK$2&lt;T$2)*($T118:$AK118))))</f>
      </c>
      <c r="AM118" s="0">
        <f>MAX(0,MIN(U118,BX118-SUMPRODUCT(($T$2:$AK$2&lt;U$2)*($T118:$AK118))))</f>
      </c>
      <c r="AN118" s="0">
        <f>MAX(0,MIN(V118,BX118-SUMPRODUCT(($T$2:$AK$2&lt;V$2)*($T118:$AK118))))</f>
      </c>
      <c r="AO118" s="0">
        <f>MAX(0,MIN(W118,BX118-SUMPRODUCT(($T$2:$AK$2&lt;W$2)*($T118:$AK118))))</f>
      </c>
      <c r="AP118" s="0">
        <f>MAX(0,MIN(X118,BX118-SUMPRODUCT(($T$2:$AK$2&lt;X$2)*($T118:$AK118))))</f>
      </c>
      <c r="AQ118" s="0">
        <f>MAX(0,MIN(Y118,BX118-SUMPRODUCT(($T$2:$AK$2&lt;Y$2)*($T118:$AK118))))</f>
      </c>
      <c r="AR118" s="0">
        <f>MAX(0,MIN(Z118,BX118-SUMPRODUCT(($T$2:$AK$2&lt;Z$2)*($T118:$AK118))))</f>
      </c>
      <c r="AS118" s="0">
        <f>MAX(0,MIN(AA118,BX118-SUMPRODUCT(($T$2:$AK$2&lt;AA$2)*($T118:$AK118))))</f>
      </c>
      <c r="AT118" s="0">
        <f>MAX(0,MIN(AB118,BX118-SUMPRODUCT(($T$2:$AK$2&lt;AB$2)*($T118:$AK118))))</f>
      </c>
      <c r="AU118" s="0">
        <f>MAX(0,MIN(AC118,BX118-SUMPRODUCT(($T$2:$AK$2&lt;AC$2)*($T118:$AK118))))</f>
      </c>
      <c r="AV118" s="0">
        <f>MAX(0,MIN(AD118,BX118-SUMPRODUCT(($T$2:$AK$2&lt;AD$2)*($T118:$AK118))))</f>
      </c>
      <c r="AW118" s="0">
        <f>MAX(0,MIN(AE118,BX118-SUMPRODUCT(($T$2:$AK$2&lt;AE$2)*($T118:$AK118))))</f>
      </c>
      <c r="AX118" s="0">
        <f>MAX(0,MIN(AF118,BX118-SUMPRODUCT(($T$2:$AK$2&lt;AF$2)*($T118:$AK118))))</f>
      </c>
      <c r="AY118" s="0">
        <f>MAX(0,MIN(AG118,BX118-SUMPRODUCT(($T$2:$AK$2&lt;AG$2)*($T118:$AK118))))</f>
      </c>
      <c r="AZ118" s="0">
        <f>MAX(0,MIN(AH118,BX118-SUMPRODUCT(($T$2:$AK$2&lt;AH$2)*($T118:$AK118))))</f>
      </c>
      <c r="BA118" s="0">
        <f>MAX(0,MIN(AI118,BX118-SUMPRODUCT(($T$2:$AK$2&lt;AI$2)*($T118:$AK118))))</f>
      </c>
      <c r="BB118" s="0">
        <f>MAX(0,MIN(AJ118,BX118-SUMPRODUCT(($T$2:$AK$2&lt;AJ$2)*($T118:$AK118))))</f>
      </c>
      <c r="BC118" s="0">
        <f>MAX(0,MIN(AK118,BX118-SUMPRODUCT(($T$2:$AK$2&lt;AK$2)*($T118:$AK118))))</f>
      </c>
      <c r="BD118" s="0">
        <f>T118-AL118</f>
      </c>
      <c r="BE118" s="0">
        <f>U118-AM118</f>
      </c>
      <c r="BF118" s="0">
        <f>V118-AN118</f>
      </c>
      <c r="BG118" s="0">
        <f>W118-AO118</f>
      </c>
      <c r="BH118" s="0">
        <f>X118-AP118</f>
      </c>
      <c r="BI118" s="0">
        <f>Y118-AQ118</f>
      </c>
      <c r="BJ118" s="0">
        <f>Z118-AR118</f>
      </c>
      <c r="BK118" s="0">
        <f>AA118-AS118</f>
      </c>
      <c r="BL118" s="0">
        <f>AB118-AT118</f>
      </c>
      <c r="BM118" s="0">
        <f>AC118-AU118</f>
      </c>
      <c r="BN118" s="0">
        <f>AD118-AV118</f>
      </c>
      <c r="BO118" s="0">
        <f>AE118-AW118</f>
      </c>
      <c r="BP118" s="0">
        <f>AF118-AX118</f>
      </c>
      <c r="BQ118" s="0">
        <f>AG118-AY118</f>
      </c>
      <c r="BR118" s="0">
        <f>AH118-AZ118</f>
      </c>
      <c r="BS118" s="0">
        <f>AI118-BA118</f>
      </c>
      <c r="BT118" s="0">
        <f>AJ118-BB118</f>
      </c>
      <c r="BU118" s="0">
        <f>AK118-BC118</f>
      </c>
      <c r="BV118" s="0">
        <f>SUM(B118:S118)</f>
      </c>
      <c r="BW118" s="0">
        <f>SUM(T118:AK118)</f>
      </c>
      <c r="BX118" s="0">
        <f>MAX(0,(SUM(Calculator!$E$11:$E$28)+Calculator!$C$6)-BV118+BW118)</f>
      </c>
      <c r="BY118" s="0">
        <f>SUM(BD118:BU118)</f>
      </c>
      <c r="BZ118" s="0">
        <f>BV118-BY117</f>
      </c>
      <c r="CA118" s="0">
        <f>IF(A118&lt;=IF($CD$1=0,999,$CD$1),BY118,NA())</f>
      </c>
      <c r="CB118" s="0">
        <f>IF(A118&lt;=IF($CD$1=0,999,$CD$1),A118,NA())</f>
      </c>
    </row>
    <row r="119">
      <c r="A119" s="0">
        <v>116</v>
      </c>
      <c r="B119" s="0">
        <f>BD118*(1+Calculator!$D$11/100/12)</f>
      </c>
      <c r="C119" s="0">
        <f>BE118*(1+Calculator!$D$12/100/12)</f>
      </c>
      <c r="D119" s="0">
        <f>BF118*(1+Calculator!$D$13/100/12)</f>
      </c>
      <c r="E119" s="0">
        <f>BG118*(1+Calculator!$D$14/100/12)</f>
      </c>
      <c r="F119" s="0">
        <f>BH118*(1+Calculator!$D$15/100/12)</f>
      </c>
      <c r="G119" s="0">
        <f>BI118*(1+Calculator!$D$16/100/12)</f>
      </c>
      <c r="H119" s="0">
        <f>BJ118*(1+Calculator!$D$17/100/12)</f>
      </c>
      <c r="I119" s="0">
        <f>BK118*(1+Calculator!$D$18/100/12)</f>
      </c>
      <c r="J119" s="0">
        <f>BL118*(1+Calculator!$D$19/100/12)</f>
      </c>
      <c r="K119" s="0">
        <f>BM118*(1+Calculator!$D$20/100/12)</f>
      </c>
      <c r="L119" s="0">
        <f>BN118*(1+Calculator!$D$21/100/12)</f>
      </c>
      <c r="M119" s="0">
        <f>BO118*(1+Calculator!$D$22/100/12)</f>
      </c>
      <c r="N119" s="0">
        <f>BP118*(1+Calculator!$D$23/100/12)</f>
      </c>
      <c r="O119" s="0">
        <f>BQ118*(1+Calculator!$D$24/100/12)</f>
      </c>
      <c r="P119" s="0">
        <f>BR118*(1+Calculator!$D$25/100/12)</f>
      </c>
      <c r="Q119" s="0">
        <f>BS118*(1+Calculator!$D$26/100/12)</f>
      </c>
      <c r="R119" s="0">
        <f>BT118*(1+Calculator!$D$27/100/12)</f>
      </c>
      <c r="S119" s="0">
        <f>BU118*(1+Calculator!$D$28/100/12)</f>
      </c>
      <c r="T119" s="0">
        <f>MAX(0,B119-Calculator!$E$11)</f>
      </c>
      <c r="U119" s="0">
        <f>MAX(0,C119-Calculator!$E$12)</f>
      </c>
      <c r="V119" s="0">
        <f>MAX(0,D119-Calculator!$E$13)</f>
      </c>
      <c r="W119" s="0">
        <f>MAX(0,E119-Calculator!$E$14)</f>
      </c>
      <c r="X119" s="0">
        <f>MAX(0,F119-Calculator!$E$15)</f>
      </c>
      <c r="Y119" s="0">
        <f>MAX(0,G119-Calculator!$E$16)</f>
      </c>
      <c r="Z119" s="0">
        <f>MAX(0,H119-Calculator!$E$17)</f>
      </c>
      <c r="AA119" s="0">
        <f>MAX(0,I119-Calculator!$E$18)</f>
      </c>
      <c r="AB119" s="0">
        <f>MAX(0,J119-Calculator!$E$19)</f>
      </c>
      <c r="AC119" s="0">
        <f>MAX(0,K119-Calculator!$E$20)</f>
      </c>
      <c r="AD119" s="0">
        <f>MAX(0,L119-Calculator!$E$21)</f>
      </c>
      <c r="AE119" s="0">
        <f>MAX(0,M119-Calculator!$E$22)</f>
      </c>
      <c r="AF119" s="0">
        <f>MAX(0,N119-Calculator!$E$23)</f>
      </c>
      <c r="AG119" s="0">
        <f>MAX(0,O119-Calculator!$E$24)</f>
      </c>
      <c r="AH119" s="0">
        <f>MAX(0,P119-Calculator!$E$25)</f>
      </c>
      <c r="AI119" s="0">
        <f>MAX(0,Q119-Calculator!$E$26)</f>
      </c>
      <c r="AJ119" s="0">
        <f>MAX(0,R119-Calculator!$E$27)</f>
      </c>
      <c r="AK119" s="0">
        <f>MAX(0,S119-Calculator!$E$28)</f>
      </c>
      <c r="AL119" s="0">
        <f>MAX(0,MIN(T119,BX119-SUMPRODUCT(($T$2:$AK$2&lt;T$2)*($T119:$AK119))))</f>
      </c>
      <c r="AM119" s="0">
        <f>MAX(0,MIN(U119,BX119-SUMPRODUCT(($T$2:$AK$2&lt;U$2)*($T119:$AK119))))</f>
      </c>
      <c r="AN119" s="0">
        <f>MAX(0,MIN(V119,BX119-SUMPRODUCT(($T$2:$AK$2&lt;V$2)*($T119:$AK119))))</f>
      </c>
      <c r="AO119" s="0">
        <f>MAX(0,MIN(W119,BX119-SUMPRODUCT(($T$2:$AK$2&lt;W$2)*($T119:$AK119))))</f>
      </c>
      <c r="AP119" s="0">
        <f>MAX(0,MIN(X119,BX119-SUMPRODUCT(($T$2:$AK$2&lt;X$2)*($T119:$AK119))))</f>
      </c>
      <c r="AQ119" s="0">
        <f>MAX(0,MIN(Y119,BX119-SUMPRODUCT(($T$2:$AK$2&lt;Y$2)*($T119:$AK119))))</f>
      </c>
      <c r="AR119" s="0">
        <f>MAX(0,MIN(Z119,BX119-SUMPRODUCT(($T$2:$AK$2&lt;Z$2)*($T119:$AK119))))</f>
      </c>
      <c r="AS119" s="0">
        <f>MAX(0,MIN(AA119,BX119-SUMPRODUCT(($T$2:$AK$2&lt;AA$2)*($T119:$AK119))))</f>
      </c>
      <c r="AT119" s="0">
        <f>MAX(0,MIN(AB119,BX119-SUMPRODUCT(($T$2:$AK$2&lt;AB$2)*($T119:$AK119))))</f>
      </c>
      <c r="AU119" s="0">
        <f>MAX(0,MIN(AC119,BX119-SUMPRODUCT(($T$2:$AK$2&lt;AC$2)*($T119:$AK119))))</f>
      </c>
      <c r="AV119" s="0">
        <f>MAX(0,MIN(AD119,BX119-SUMPRODUCT(($T$2:$AK$2&lt;AD$2)*($T119:$AK119))))</f>
      </c>
      <c r="AW119" s="0">
        <f>MAX(0,MIN(AE119,BX119-SUMPRODUCT(($T$2:$AK$2&lt;AE$2)*($T119:$AK119))))</f>
      </c>
      <c r="AX119" s="0">
        <f>MAX(0,MIN(AF119,BX119-SUMPRODUCT(($T$2:$AK$2&lt;AF$2)*($T119:$AK119))))</f>
      </c>
      <c r="AY119" s="0">
        <f>MAX(0,MIN(AG119,BX119-SUMPRODUCT(($T$2:$AK$2&lt;AG$2)*($T119:$AK119))))</f>
      </c>
      <c r="AZ119" s="0">
        <f>MAX(0,MIN(AH119,BX119-SUMPRODUCT(($T$2:$AK$2&lt;AH$2)*($T119:$AK119))))</f>
      </c>
      <c r="BA119" s="0">
        <f>MAX(0,MIN(AI119,BX119-SUMPRODUCT(($T$2:$AK$2&lt;AI$2)*($T119:$AK119))))</f>
      </c>
      <c r="BB119" s="0">
        <f>MAX(0,MIN(AJ119,BX119-SUMPRODUCT(($T$2:$AK$2&lt;AJ$2)*($T119:$AK119))))</f>
      </c>
      <c r="BC119" s="0">
        <f>MAX(0,MIN(AK119,BX119-SUMPRODUCT(($T$2:$AK$2&lt;AK$2)*($T119:$AK119))))</f>
      </c>
      <c r="BD119" s="0">
        <f>T119-AL119</f>
      </c>
      <c r="BE119" s="0">
        <f>U119-AM119</f>
      </c>
      <c r="BF119" s="0">
        <f>V119-AN119</f>
      </c>
      <c r="BG119" s="0">
        <f>W119-AO119</f>
      </c>
      <c r="BH119" s="0">
        <f>X119-AP119</f>
      </c>
      <c r="BI119" s="0">
        <f>Y119-AQ119</f>
      </c>
      <c r="BJ119" s="0">
        <f>Z119-AR119</f>
      </c>
      <c r="BK119" s="0">
        <f>AA119-AS119</f>
      </c>
      <c r="BL119" s="0">
        <f>AB119-AT119</f>
      </c>
      <c r="BM119" s="0">
        <f>AC119-AU119</f>
      </c>
      <c r="BN119" s="0">
        <f>AD119-AV119</f>
      </c>
      <c r="BO119" s="0">
        <f>AE119-AW119</f>
      </c>
      <c r="BP119" s="0">
        <f>AF119-AX119</f>
      </c>
      <c r="BQ119" s="0">
        <f>AG119-AY119</f>
      </c>
      <c r="BR119" s="0">
        <f>AH119-AZ119</f>
      </c>
      <c r="BS119" s="0">
        <f>AI119-BA119</f>
      </c>
      <c r="BT119" s="0">
        <f>AJ119-BB119</f>
      </c>
      <c r="BU119" s="0">
        <f>AK119-BC119</f>
      </c>
      <c r="BV119" s="0">
        <f>SUM(B119:S119)</f>
      </c>
      <c r="BW119" s="0">
        <f>SUM(T119:AK119)</f>
      </c>
      <c r="BX119" s="0">
        <f>MAX(0,(SUM(Calculator!$E$11:$E$28)+Calculator!$C$6)-BV119+BW119)</f>
      </c>
      <c r="BY119" s="0">
        <f>SUM(BD119:BU119)</f>
      </c>
      <c r="BZ119" s="0">
        <f>BV119-BY118</f>
      </c>
      <c r="CA119" s="0">
        <f>IF(A119&lt;=IF($CD$1=0,999,$CD$1),BY119,NA())</f>
      </c>
      <c r="CB119" s="0">
        <f>IF(A119&lt;=IF($CD$1=0,999,$CD$1),A119,NA())</f>
      </c>
    </row>
    <row r="120">
      <c r="A120" s="0">
        <v>117</v>
      </c>
      <c r="B120" s="0">
        <f>BD119*(1+Calculator!$D$11/100/12)</f>
      </c>
      <c r="C120" s="0">
        <f>BE119*(1+Calculator!$D$12/100/12)</f>
      </c>
      <c r="D120" s="0">
        <f>BF119*(1+Calculator!$D$13/100/12)</f>
      </c>
      <c r="E120" s="0">
        <f>BG119*(1+Calculator!$D$14/100/12)</f>
      </c>
      <c r="F120" s="0">
        <f>BH119*(1+Calculator!$D$15/100/12)</f>
      </c>
      <c r="G120" s="0">
        <f>BI119*(1+Calculator!$D$16/100/12)</f>
      </c>
      <c r="H120" s="0">
        <f>BJ119*(1+Calculator!$D$17/100/12)</f>
      </c>
      <c r="I120" s="0">
        <f>BK119*(1+Calculator!$D$18/100/12)</f>
      </c>
      <c r="J120" s="0">
        <f>BL119*(1+Calculator!$D$19/100/12)</f>
      </c>
      <c r="K120" s="0">
        <f>BM119*(1+Calculator!$D$20/100/12)</f>
      </c>
      <c r="L120" s="0">
        <f>BN119*(1+Calculator!$D$21/100/12)</f>
      </c>
      <c r="M120" s="0">
        <f>BO119*(1+Calculator!$D$22/100/12)</f>
      </c>
      <c r="N120" s="0">
        <f>BP119*(1+Calculator!$D$23/100/12)</f>
      </c>
      <c r="O120" s="0">
        <f>BQ119*(1+Calculator!$D$24/100/12)</f>
      </c>
      <c r="P120" s="0">
        <f>BR119*(1+Calculator!$D$25/100/12)</f>
      </c>
      <c r="Q120" s="0">
        <f>BS119*(1+Calculator!$D$26/100/12)</f>
      </c>
      <c r="R120" s="0">
        <f>BT119*(1+Calculator!$D$27/100/12)</f>
      </c>
      <c r="S120" s="0">
        <f>BU119*(1+Calculator!$D$28/100/12)</f>
      </c>
      <c r="T120" s="0">
        <f>MAX(0,B120-Calculator!$E$11)</f>
      </c>
      <c r="U120" s="0">
        <f>MAX(0,C120-Calculator!$E$12)</f>
      </c>
      <c r="V120" s="0">
        <f>MAX(0,D120-Calculator!$E$13)</f>
      </c>
      <c r="W120" s="0">
        <f>MAX(0,E120-Calculator!$E$14)</f>
      </c>
      <c r="X120" s="0">
        <f>MAX(0,F120-Calculator!$E$15)</f>
      </c>
      <c r="Y120" s="0">
        <f>MAX(0,G120-Calculator!$E$16)</f>
      </c>
      <c r="Z120" s="0">
        <f>MAX(0,H120-Calculator!$E$17)</f>
      </c>
      <c r="AA120" s="0">
        <f>MAX(0,I120-Calculator!$E$18)</f>
      </c>
      <c r="AB120" s="0">
        <f>MAX(0,J120-Calculator!$E$19)</f>
      </c>
      <c r="AC120" s="0">
        <f>MAX(0,K120-Calculator!$E$20)</f>
      </c>
      <c r="AD120" s="0">
        <f>MAX(0,L120-Calculator!$E$21)</f>
      </c>
      <c r="AE120" s="0">
        <f>MAX(0,M120-Calculator!$E$22)</f>
      </c>
      <c r="AF120" s="0">
        <f>MAX(0,N120-Calculator!$E$23)</f>
      </c>
      <c r="AG120" s="0">
        <f>MAX(0,O120-Calculator!$E$24)</f>
      </c>
      <c r="AH120" s="0">
        <f>MAX(0,P120-Calculator!$E$25)</f>
      </c>
      <c r="AI120" s="0">
        <f>MAX(0,Q120-Calculator!$E$26)</f>
      </c>
      <c r="AJ120" s="0">
        <f>MAX(0,R120-Calculator!$E$27)</f>
      </c>
      <c r="AK120" s="0">
        <f>MAX(0,S120-Calculator!$E$28)</f>
      </c>
      <c r="AL120" s="0">
        <f>MAX(0,MIN(T120,BX120-SUMPRODUCT(($T$2:$AK$2&lt;T$2)*($T120:$AK120))))</f>
      </c>
      <c r="AM120" s="0">
        <f>MAX(0,MIN(U120,BX120-SUMPRODUCT(($T$2:$AK$2&lt;U$2)*($T120:$AK120))))</f>
      </c>
      <c r="AN120" s="0">
        <f>MAX(0,MIN(V120,BX120-SUMPRODUCT(($T$2:$AK$2&lt;V$2)*($T120:$AK120))))</f>
      </c>
      <c r="AO120" s="0">
        <f>MAX(0,MIN(W120,BX120-SUMPRODUCT(($T$2:$AK$2&lt;W$2)*($T120:$AK120))))</f>
      </c>
      <c r="AP120" s="0">
        <f>MAX(0,MIN(X120,BX120-SUMPRODUCT(($T$2:$AK$2&lt;X$2)*($T120:$AK120))))</f>
      </c>
      <c r="AQ120" s="0">
        <f>MAX(0,MIN(Y120,BX120-SUMPRODUCT(($T$2:$AK$2&lt;Y$2)*($T120:$AK120))))</f>
      </c>
      <c r="AR120" s="0">
        <f>MAX(0,MIN(Z120,BX120-SUMPRODUCT(($T$2:$AK$2&lt;Z$2)*($T120:$AK120))))</f>
      </c>
      <c r="AS120" s="0">
        <f>MAX(0,MIN(AA120,BX120-SUMPRODUCT(($T$2:$AK$2&lt;AA$2)*($T120:$AK120))))</f>
      </c>
      <c r="AT120" s="0">
        <f>MAX(0,MIN(AB120,BX120-SUMPRODUCT(($T$2:$AK$2&lt;AB$2)*($T120:$AK120))))</f>
      </c>
      <c r="AU120" s="0">
        <f>MAX(0,MIN(AC120,BX120-SUMPRODUCT(($T$2:$AK$2&lt;AC$2)*($T120:$AK120))))</f>
      </c>
      <c r="AV120" s="0">
        <f>MAX(0,MIN(AD120,BX120-SUMPRODUCT(($T$2:$AK$2&lt;AD$2)*($T120:$AK120))))</f>
      </c>
      <c r="AW120" s="0">
        <f>MAX(0,MIN(AE120,BX120-SUMPRODUCT(($T$2:$AK$2&lt;AE$2)*($T120:$AK120))))</f>
      </c>
      <c r="AX120" s="0">
        <f>MAX(0,MIN(AF120,BX120-SUMPRODUCT(($T$2:$AK$2&lt;AF$2)*($T120:$AK120))))</f>
      </c>
      <c r="AY120" s="0">
        <f>MAX(0,MIN(AG120,BX120-SUMPRODUCT(($T$2:$AK$2&lt;AG$2)*($T120:$AK120))))</f>
      </c>
      <c r="AZ120" s="0">
        <f>MAX(0,MIN(AH120,BX120-SUMPRODUCT(($T$2:$AK$2&lt;AH$2)*($T120:$AK120))))</f>
      </c>
      <c r="BA120" s="0">
        <f>MAX(0,MIN(AI120,BX120-SUMPRODUCT(($T$2:$AK$2&lt;AI$2)*($T120:$AK120))))</f>
      </c>
      <c r="BB120" s="0">
        <f>MAX(0,MIN(AJ120,BX120-SUMPRODUCT(($T$2:$AK$2&lt;AJ$2)*($T120:$AK120))))</f>
      </c>
      <c r="BC120" s="0">
        <f>MAX(0,MIN(AK120,BX120-SUMPRODUCT(($T$2:$AK$2&lt;AK$2)*($T120:$AK120))))</f>
      </c>
      <c r="BD120" s="0">
        <f>T120-AL120</f>
      </c>
      <c r="BE120" s="0">
        <f>U120-AM120</f>
      </c>
      <c r="BF120" s="0">
        <f>V120-AN120</f>
      </c>
      <c r="BG120" s="0">
        <f>W120-AO120</f>
      </c>
      <c r="BH120" s="0">
        <f>X120-AP120</f>
      </c>
      <c r="BI120" s="0">
        <f>Y120-AQ120</f>
      </c>
      <c r="BJ120" s="0">
        <f>Z120-AR120</f>
      </c>
      <c r="BK120" s="0">
        <f>AA120-AS120</f>
      </c>
      <c r="BL120" s="0">
        <f>AB120-AT120</f>
      </c>
      <c r="BM120" s="0">
        <f>AC120-AU120</f>
      </c>
      <c r="BN120" s="0">
        <f>AD120-AV120</f>
      </c>
      <c r="BO120" s="0">
        <f>AE120-AW120</f>
      </c>
      <c r="BP120" s="0">
        <f>AF120-AX120</f>
      </c>
      <c r="BQ120" s="0">
        <f>AG120-AY120</f>
      </c>
      <c r="BR120" s="0">
        <f>AH120-AZ120</f>
      </c>
      <c r="BS120" s="0">
        <f>AI120-BA120</f>
      </c>
      <c r="BT120" s="0">
        <f>AJ120-BB120</f>
      </c>
      <c r="BU120" s="0">
        <f>AK120-BC120</f>
      </c>
      <c r="BV120" s="0">
        <f>SUM(B120:S120)</f>
      </c>
      <c r="BW120" s="0">
        <f>SUM(T120:AK120)</f>
      </c>
      <c r="BX120" s="0">
        <f>MAX(0,(SUM(Calculator!$E$11:$E$28)+Calculator!$C$6)-BV120+BW120)</f>
      </c>
      <c r="BY120" s="0">
        <f>SUM(BD120:BU120)</f>
      </c>
      <c r="BZ120" s="0">
        <f>BV120-BY119</f>
      </c>
      <c r="CA120" s="0">
        <f>IF(A120&lt;=IF($CD$1=0,999,$CD$1),BY120,NA())</f>
      </c>
      <c r="CB120" s="0">
        <f>IF(A120&lt;=IF($CD$1=0,999,$CD$1),A120,NA())</f>
      </c>
    </row>
    <row r="121">
      <c r="A121" s="0">
        <v>118</v>
      </c>
      <c r="B121" s="0">
        <f>BD120*(1+Calculator!$D$11/100/12)</f>
      </c>
      <c r="C121" s="0">
        <f>BE120*(1+Calculator!$D$12/100/12)</f>
      </c>
      <c r="D121" s="0">
        <f>BF120*(1+Calculator!$D$13/100/12)</f>
      </c>
      <c r="E121" s="0">
        <f>BG120*(1+Calculator!$D$14/100/12)</f>
      </c>
      <c r="F121" s="0">
        <f>BH120*(1+Calculator!$D$15/100/12)</f>
      </c>
      <c r="G121" s="0">
        <f>BI120*(1+Calculator!$D$16/100/12)</f>
      </c>
      <c r="H121" s="0">
        <f>BJ120*(1+Calculator!$D$17/100/12)</f>
      </c>
      <c r="I121" s="0">
        <f>BK120*(1+Calculator!$D$18/100/12)</f>
      </c>
      <c r="J121" s="0">
        <f>BL120*(1+Calculator!$D$19/100/12)</f>
      </c>
      <c r="K121" s="0">
        <f>BM120*(1+Calculator!$D$20/100/12)</f>
      </c>
      <c r="L121" s="0">
        <f>BN120*(1+Calculator!$D$21/100/12)</f>
      </c>
      <c r="M121" s="0">
        <f>BO120*(1+Calculator!$D$22/100/12)</f>
      </c>
      <c r="N121" s="0">
        <f>BP120*(1+Calculator!$D$23/100/12)</f>
      </c>
      <c r="O121" s="0">
        <f>BQ120*(1+Calculator!$D$24/100/12)</f>
      </c>
      <c r="P121" s="0">
        <f>BR120*(1+Calculator!$D$25/100/12)</f>
      </c>
      <c r="Q121" s="0">
        <f>BS120*(1+Calculator!$D$26/100/12)</f>
      </c>
      <c r="R121" s="0">
        <f>BT120*(1+Calculator!$D$27/100/12)</f>
      </c>
      <c r="S121" s="0">
        <f>BU120*(1+Calculator!$D$28/100/12)</f>
      </c>
      <c r="T121" s="0">
        <f>MAX(0,B121-Calculator!$E$11)</f>
      </c>
      <c r="U121" s="0">
        <f>MAX(0,C121-Calculator!$E$12)</f>
      </c>
      <c r="V121" s="0">
        <f>MAX(0,D121-Calculator!$E$13)</f>
      </c>
      <c r="W121" s="0">
        <f>MAX(0,E121-Calculator!$E$14)</f>
      </c>
      <c r="X121" s="0">
        <f>MAX(0,F121-Calculator!$E$15)</f>
      </c>
      <c r="Y121" s="0">
        <f>MAX(0,G121-Calculator!$E$16)</f>
      </c>
      <c r="Z121" s="0">
        <f>MAX(0,H121-Calculator!$E$17)</f>
      </c>
      <c r="AA121" s="0">
        <f>MAX(0,I121-Calculator!$E$18)</f>
      </c>
      <c r="AB121" s="0">
        <f>MAX(0,J121-Calculator!$E$19)</f>
      </c>
      <c r="AC121" s="0">
        <f>MAX(0,K121-Calculator!$E$20)</f>
      </c>
      <c r="AD121" s="0">
        <f>MAX(0,L121-Calculator!$E$21)</f>
      </c>
      <c r="AE121" s="0">
        <f>MAX(0,M121-Calculator!$E$22)</f>
      </c>
      <c r="AF121" s="0">
        <f>MAX(0,N121-Calculator!$E$23)</f>
      </c>
      <c r="AG121" s="0">
        <f>MAX(0,O121-Calculator!$E$24)</f>
      </c>
      <c r="AH121" s="0">
        <f>MAX(0,P121-Calculator!$E$25)</f>
      </c>
      <c r="AI121" s="0">
        <f>MAX(0,Q121-Calculator!$E$26)</f>
      </c>
      <c r="AJ121" s="0">
        <f>MAX(0,R121-Calculator!$E$27)</f>
      </c>
      <c r="AK121" s="0">
        <f>MAX(0,S121-Calculator!$E$28)</f>
      </c>
      <c r="AL121" s="0">
        <f>MAX(0,MIN(T121,BX121-SUMPRODUCT(($T$2:$AK$2&lt;T$2)*($T121:$AK121))))</f>
      </c>
      <c r="AM121" s="0">
        <f>MAX(0,MIN(U121,BX121-SUMPRODUCT(($T$2:$AK$2&lt;U$2)*($T121:$AK121))))</f>
      </c>
      <c r="AN121" s="0">
        <f>MAX(0,MIN(V121,BX121-SUMPRODUCT(($T$2:$AK$2&lt;V$2)*($T121:$AK121))))</f>
      </c>
      <c r="AO121" s="0">
        <f>MAX(0,MIN(W121,BX121-SUMPRODUCT(($T$2:$AK$2&lt;W$2)*($T121:$AK121))))</f>
      </c>
      <c r="AP121" s="0">
        <f>MAX(0,MIN(X121,BX121-SUMPRODUCT(($T$2:$AK$2&lt;X$2)*($T121:$AK121))))</f>
      </c>
      <c r="AQ121" s="0">
        <f>MAX(0,MIN(Y121,BX121-SUMPRODUCT(($T$2:$AK$2&lt;Y$2)*($T121:$AK121))))</f>
      </c>
      <c r="AR121" s="0">
        <f>MAX(0,MIN(Z121,BX121-SUMPRODUCT(($T$2:$AK$2&lt;Z$2)*($T121:$AK121))))</f>
      </c>
      <c r="AS121" s="0">
        <f>MAX(0,MIN(AA121,BX121-SUMPRODUCT(($T$2:$AK$2&lt;AA$2)*($T121:$AK121))))</f>
      </c>
      <c r="AT121" s="0">
        <f>MAX(0,MIN(AB121,BX121-SUMPRODUCT(($T$2:$AK$2&lt;AB$2)*($T121:$AK121))))</f>
      </c>
      <c r="AU121" s="0">
        <f>MAX(0,MIN(AC121,BX121-SUMPRODUCT(($T$2:$AK$2&lt;AC$2)*($T121:$AK121))))</f>
      </c>
      <c r="AV121" s="0">
        <f>MAX(0,MIN(AD121,BX121-SUMPRODUCT(($T$2:$AK$2&lt;AD$2)*($T121:$AK121))))</f>
      </c>
      <c r="AW121" s="0">
        <f>MAX(0,MIN(AE121,BX121-SUMPRODUCT(($T$2:$AK$2&lt;AE$2)*($T121:$AK121))))</f>
      </c>
      <c r="AX121" s="0">
        <f>MAX(0,MIN(AF121,BX121-SUMPRODUCT(($T$2:$AK$2&lt;AF$2)*($T121:$AK121))))</f>
      </c>
      <c r="AY121" s="0">
        <f>MAX(0,MIN(AG121,BX121-SUMPRODUCT(($T$2:$AK$2&lt;AG$2)*($T121:$AK121))))</f>
      </c>
      <c r="AZ121" s="0">
        <f>MAX(0,MIN(AH121,BX121-SUMPRODUCT(($T$2:$AK$2&lt;AH$2)*($T121:$AK121))))</f>
      </c>
      <c r="BA121" s="0">
        <f>MAX(0,MIN(AI121,BX121-SUMPRODUCT(($T$2:$AK$2&lt;AI$2)*($T121:$AK121))))</f>
      </c>
      <c r="BB121" s="0">
        <f>MAX(0,MIN(AJ121,BX121-SUMPRODUCT(($T$2:$AK$2&lt;AJ$2)*($T121:$AK121))))</f>
      </c>
      <c r="BC121" s="0">
        <f>MAX(0,MIN(AK121,BX121-SUMPRODUCT(($T$2:$AK$2&lt;AK$2)*($T121:$AK121))))</f>
      </c>
      <c r="BD121" s="0">
        <f>T121-AL121</f>
      </c>
      <c r="BE121" s="0">
        <f>U121-AM121</f>
      </c>
      <c r="BF121" s="0">
        <f>V121-AN121</f>
      </c>
      <c r="BG121" s="0">
        <f>W121-AO121</f>
      </c>
      <c r="BH121" s="0">
        <f>X121-AP121</f>
      </c>
      <c r="BI121" s="0">
        <f>Y121-AQ121</f>
      </c>
      <c r="BJ121" s="0">
        <f>Z121-AR121</f>
      </c>
      <c r="BK121" s="0">
        <f>AA121-AS121</f>
      </c>
      <c r="BL121" s="0">
        <f>AB121-AT121</f>
      </c>
      <c r="BM121" s="0">
        <f>AC121-AU121</f>
      </c>
      <c r="BN121" s="0">
        <f>AD121-AV121</f>
      </c>
      <c r="BO121" s="0">
        <f>AE121-AW121</f>
      </c>
      <c r="BP121" s="0">
        <f>AF121-AX121</f>
      </c>
      <c r="BQ121" s="0">
        <f>AG121-AY121</f>
      </c>
      <c r="BR121" s="0">
        <f>AH121-AZ121</f>
      </c>
      <c r="BS121" s="0">
        <f>AI121-BA121</f>
      </c>
      <c r="BT121" s="0">
        <f>AJ121-BB121</f>
      </c>
      <c r="BU121" s="0">
        <f>AK121-BC121</f>
      </c>
      <c r="BV121" s="0">
        <f>SUM(B121:S121)</f>
      </c>
      <c r="BW121" s="0">
        <f>SUM(T121:AK121)</f>
      </c>
      <c r="BX121" s="0">
        <f>MAX(0,(SUM(Calculator!$E$11:$E$28)+Calculator!$C$6)-BV121+BW121)</f>
      </c>
      <c r="BY121" s="0">
        <f>SUM(BD121:BU121)</f>
      </c>
      <c r="BZ121" s="0">
        <f>BV121-BY120</f>
      </c>
      <c r="CA121" s="0">
        <f>IF(A121&lt;=IF($CD$1=0,999,$CD$1),BY121,NA())</f>
      </c>
      <c r="CB121" s="0">
        <f>IF(A121&lt;=IF($CD$1=0,999,$CD$1),A121,NA())</f>
      </c>
    </row>
    <row r="122">
      <c r="A122" s="0">
        <v>119</v>
      </c>
      <c r="B122" s="0">
        <f>BD121*(1+Calculator!$D$11/100/12)</f>
      </c>
      <c r="C122" s="0">
        <f>BE121*(1+Calculator!$D$12/100/12)</f>
      </c>
      <c r="D122" s="0">
        <f>BF121*(1+Calculator!$D$13/100/12)</f>
      </c>
      <c r="E122" s="0">
        <f>BG121*(1+Calculator!$D$14/100/12)</f>
      </c>
      <c r="F122" s="0">
        <f>BH121*(1+Calculator!$D$15/100/12)</f>
      </c>
      <c r="G122" s="0">
        <f>BI121*(1+Calculator!$D$16/100/12)</f>
      </c>
      <c r="H122" s="0">
        <f>BJ121*(1+Calculator!$D$17/100/12)</f>
      </c>
      <c r="I122" s="0">
        <f>BK121*(1+Calculator!$D$18/100/12)</f>
      </c>
      <c r="J122" s="0">
        <f>BL121*(1+Calculator!$D$19/100/12)</f>
      </c>
      <c r="K122" s="0">
        <f>BM121*(1+Calculator!$D$20/100/12)</f>
      </c>
      <c r="L122" s="0">
        <f>BN121*(1+Calculator!$D$21/100/12)</f>
      </c>
      <c r="M122" s="0">
        <f>BO121*(1+Calculator!$D$22/100/12)</f>
      </c>
      <c r="N122" s="0">
        <f>BP121*(1+Calculator!$D$23/100/12)</f>
      </c>
      <c r="O122" s="0">
        <f>BQ121*(1+Calculator!$D$24/100/12)</f>
      </c>
      <c r="P122" s="0">
        <f>BR121*(1+Calculator!$D$25/100/12)</f>
      </c>
      <c r="Q122" s="0">
        <f>BS121*(1+Calculator!$D$26/100/12)</f>
      </c>
      <c r="R122" s="0">
        <f>BT121*(1+Calculator!$D$27/100/12)</f>
      </c>
      <c r="S122" s="0">
        <f>BU121*(1+Calculator!$D$28/100/12)</f>
      </c>
      <c r="T122" s="0">
        <f>MAX(0,B122-Calculator!$E$11)</f>
      </c>
      <c r="U122" s="0">
        <f>MAX(0,C122-Calculator!$E$12)</f>
      </c>
      <c r="V122" s="0">
        <f>MAX(0,D122-Calculator!$E$13)</f>
      </c>
      <c r="W122" s="0">
        <f>MAX(0,E122-Calculator!$E$14)</f>
      </c>
      <c r="X122" s="0">
        <f>MAX(0,F122-Calculator!$E$15)</f>
      </c>
      <c r="Y122" s="0">
        <f>MAX(0,G122-Calculator!$E$16)</f>
      </c>
      <c r="Z122" s="0">
        <f>MAX(0,H122-Calculator!$E$17)</f>
      </c>
      <c r="AA122" s="0">
        <f>MAX(0,I122-Calculator!$E$18)</f>
      </c>
      <c r="AB122" s="0">
        <f>MAX(0,J122-Calculator!$E$19)</f>
      </c>
      <c r="AC122" s="0">
        <f>MAX(0,K122-Calculator!$E$20)</f>
      </c>
      <c r="AD122" s="0">
        <f>MAX(0,L122-Calculator!$E$21)</f>
      </c>
      <c r="AE122" s="0">
        <f>MAX(0,M122-Calculator!$E$22)</f>
      </c>
      <c r="AF122" s="0">
        <f>MAX(0,N122-Calculator!$E$23)</f>
      </c>
      <c r="AG122" s="0">
        <f>MAX(0,O122-Calculator!$E$24)</f>
      </c>
      <c r="AH122" s="0">
        <f>MAX(0,P122-Calculator!$E$25)</f>
      </c>
      <c r="AI122" s="0">
        <f>MAX(0,Q122-Calculator!$E$26)</f>
      </c>
      <c r="AJ122" s="0">
        <f>MAX(0,R122-Calculator!$E$27)</f>
      </c>
      <c r="AK122" s="0">
        <f>MAX(0,S122-Calculator!$E$28)</f>
      </c>
      <c r="AL122" s="0">
        <f>MAX(0,MIN(T122,BX122-SUMPRODUCT(($T$2:$AK$2&lt;T$2)*($T122:$AK122))))</f>
      </c>
      <c r="AM122" s="0">
        <f>MAX(0,MIN(U122,BX122-SUMPRODUCT(($T$2:$AK$2&lt;U$2)*($T122:$AK122))))</f>
      </c>
      <c r="AN122" s="0">
        <f>MAX(0,MIN(V122,BX122-SUMPRODUCT(($T$2:$AK$2&lt;V$2)*($T122:$AK122))))</f>
      </c>
      <c r="AO122" s="0">
        <f>MAX(0,MIN(W122,BX122-SUMPRODUCT(($T$2:$AK$2&lt;W$2)*($T122:$AK122))))</f>
      </c>
      <c r="AP122" s="0">
        <f>MAX(0,MIN(X122,BX122-SUMPRODUCT(($T$2:$AK$2&lt;X$2)*($T122:$AK122))))</f>
      </c>
      <c r="AQ122" s="0">
        <f>MAX(0,MIN(Y122,BX122-SUMPRODUCT(($T$2:$AK$2&lt;Y$2)*($T122:$AK122))))</f>
      </c>
      <c r="AR122" s="0">
        <f>MAX(0,MIN(Z122,BX122-SUMPRODUCT(($T$2:$AK$2&lt;Z$2)*($T122:$AK122))))</f>
      </c>
      <c r="AS122" s="0">
        <f>MAX(0,MIN(AA122,BX122-SUMPRODUCT(($T$2:$AK$2&lt;AA$2)*($T122:$AK122))))</f>
      </c>
      <c r="AT122" s="0">
        <f>MAX(0,MIN(AB122,BX122-SUMPRODUCT(($T$2:$AK$2&lt;AB$2)*($T122:$AK122))))</f>
      </c>
      <c r="AU122" s="0">
        <f>MAX(0,MIN(AC122,BX122-SUMPRODUCT(($T$2:$AK$2&lt;AC$2)*($T122:$AK122))))</f>
      </c>
      <c r="AV122" s="0">
        <f>MAX(0,MIN(AD122,BX122-SUMPRODUCT(($T$2:$AK$2&lt;AD$2)*($T122:$AK122))))</f>
      </c>
      <c r="AW122" s="0">
        <f>MAX(0,MIN(AE122,BX122-SUMPRODUCT(($T$2:$AK$2&lt;AE$2)*($T122:$AK122))))</f>
      </c>
      <c r="AX122" s="0">
        <f>MAX(0,MIN(AF122,BX122-SUMPRODUCT(($T$2:$AK$2&lt;AF$2)*($T122:$AK122))))</f>
      </c>
      <c r="AY122" s="0">
        <f>MAX(0,MIN(AG122,BX122-SUMPRODUCT(($T$2:$AK$2&lt;AG$2)*($T122:$AK122))))</f>
      </c>
      <c r="AZ122" s="0">
        <f>MAX(0,MIN(AH122,BX122-SUMPRODUCT(($T$2:$AK$2&lt;AH$2)*($T122:$AK122))))</f>
      </c>
      <c r="BA122" s="0">
        <f>MAX(0,MIN(AI122,BX122-SUMPRODUCT(($T$2:$AK$2&lt;AI$2)*($T122:$AK122))))</f>
      </c>
      <c r="BB122" s="0">
        <f>MAX(0,MIN(AJ122,BX122-SUMPRODUCT(($T$2:$AK$2&lt;AJ$2)*($T122:$AK122))))</f>
      </c>
      <c r="BC122" s="0">
        <f>MAX(0,MIN(AK122,BX122-SUMPRODUCT(($T$2:$AK$2&lt;AK$2)*($T122:$AK122))))</f>
      </c>
      <c r="BD122" s="0">
        <f>T122-AL122</f>
      </c>
      <c r="BE122" s="0">
        <f>U122-AM122</f>
      </c>
      <c r="BF122" s="0">
        <f>V122-AN122</f>
      </c>
      <c r="BG122" s="0">
        <f>W122-AO122</f>
      </c>
      <c r="BH122" s="0">
        <f>X122-AP122</f>
      </c>
      <c r="BI122" s="0">
        <f>Y122-AQ122</f>
      </c>
      <c r="BJ122" s="0">
        <f>Z122-AR122</f>
      </c>
      <c r="BK122" s="0">
        <f>AA122-AS122</f>
      </c>
      <c r="BL122" s="0">
        <f>AB122-AT122</f>
      </c>
      <c r="BM122" s="0">
        <f>AC122-AU122</f>
      </c>
      <c r="BN122" s="0">
        <f>AD122-AV122</f>
      </c>
      <c r="BO122" s="0">
        <f>AE122-AW122</f>
      </c>
      <c r="BP122" s="0">
        <f>AF122-AX122</f>
      </c>
      <c r="BQ122" s="0">
        <f>AG122-AY122</f>
      </c>
      <c r="BR122" s="0">
        <f>AH122-AZ122</f>
      </c>
      <c r="BS122" s="0">
        <f>AI122-BA122</f>
      </c>
      <c r="BT122" s="0">
        <f>AJ122-BB122</f>
      </c>
      <c r="BU122" s="0">
        <f>AK122-BC122</f>
      </c>
      <c r="BV122" s="0">
        <f>SUM(B122:S122)</f>
      </c>
      <c r="BW122" s="0">
        <f>SUM(T122:AK122)</f>
      </c>
      <c r="BX122" s="0">
        <f>MAX(0,(SUM(Calculator!$E$11:$E$28)+Calculator!$C$6)-BV122+BW122)</f>
      </c>
      <c r="BY122" s="0">
        <f>SUM(BD122:BU122)</f>
      </c>
      <c r="BZ122" s="0">
        <f>BV122-BY121</f>
      </c>
      <c r="CA122" s="0">
        <f>IF(A122&lt;=IF($CD$1=0,999,$CD$1),BY122,NA())</f>
      </c>
      <c r="CB122" s="0">
        <f>IF(A122&lt;=IF($CD$1=0,999,$CD$1),A122,NA())</f>
      </c>
    </row>
    <row r="123">
      <c r="A123" s="0">
        <v>120</v>
      </c>
      <c r="B123" s="0">
        <f>BD122*(1+Calculator!$D$11/100/12)</f>
      </c>
      <c r="C123" s="0">
        <f>BE122*(1+Calculator!$D$12/100/12)</f>
      </c>
      <c r="D123" s="0">
        <f>BF122*(1+Calculator!$D$13/100/12)</f>
      </c>
      <c r="E123" s="0">
        <f>BG122*(1+Calculator!$D$14/100/12)</f>
      </c>
      <c r="F123" s="0">
        <f>BH122*(1+Calculator!$D$15/100/12)</f>
      </c>
      <c r="G123" s="0">
        <f>BI122*(1+Calculator!$D$16/100/12)</f>
      </c>
      <c r="H123" s="0">
        <f>BJ122*(1+Calculator!$D$17/100/12)</f>
      </c>
      <c r="I123" s="0">
        <f>BK122*(1+Calculator!$D$18/100/12)</f>
      </c>
      <c r="J123" s="0">
        <f>BL122*(1+Calculator!$D$19/100/12)</f>
      </c>
      <c r="K123" s="0">
        <f>BM122*(1+Calculator!$D$20/100/12)</f>
      </c>
      <c r="L123" s="0">
        <f>BN122*(1+Calculator!$D$21/100/12)</f>
      </c>
      <c r="M123" s="0">
        <f>BO122*(1+Calculator!$D$22/100/12)</f>
      </c>
      <c r="N123" s="0">
        <f>BP122*(1+Calculator!$D$23/100/12)</f>
      </c>
      <c r="O123" s="0">
        <f>BQ122*(1+Calculator!$D$24/100/12)</f>
      </c>
      <c r="P123" s="0">
        <f>BR122*(1+Calculator!$D$25/100/12)</f>
      </c>
      <c r="Q123" s="0">
        <f>BS122*(1+Calculator!$D$26/100/12)</f>
      </c>
      <c r="R123" s="0">
        <f>BT122*(1+Calculator!$D$27/100/12)</f>
      </c>
      <c r="S123" s="0">
        <f>BU122*(1+Calculator!$D$28/100/12)</f>
      </c>
      <c r="T123" s="0">
        <f>MAX(0,B123-Calculator!$E$11)</f>
      </c>
      <c r="U123" s="0">
        <f>MAX(0,C123-Calculator!$E$12)</f>
      </c>
      <c r="V123" s="0">
        <f>MAX(0,D123-Calculator!$E$13)</f>
      </c>
      <c r="W123" s="0">
        <f>MAX(0,E123-Calculator!$E$14)</f>
      </c>
      <c r="X123" s="0">
        <f>MAX(0,F123-Calculator!$E$15)</f>
      </c>
      <c r="Y123" s="0">
        <f>MAX(0,G123-Calculator!$E$16)</f>
      </c>
      <c r="Z123" s="0">
        <f>MAX(0,H123-Calculator!$E$17)</f>
      </c>
      <c r="AA123" s="0">
        <f>MAX(0,I123-Calculator!$E$18)</f>
      </c>
      <c r="AB123" s="0">
        <f>MAX(0,J123-Calculator!$E$19)</f>
      </c>
      <c r="AC123" s="0">
        <f>MAX(0,K123-Calculator!$E$20)</f>
      </c>
      <c r="AD123" s="0">
        <f>MAX(0,L123-Calculator!$E$21)</f>
      </c>
      <c r="AE123" s="0">
        <f>MAX(0,M123-Calculator!$E$22)</f>
      </c>
      <c r="AF123" s="0">
        <f>MAX(0,N123-Calculator!$E$23)</f>
      </c>
      <c r="AG123" s="0">
        <f>MAX(0,O123-Calculator!$E$24)</f>
      </c>
      <c r="AH123" s="0">
        <f>MAX(0,P123-Calculator!$E$25)</f>
      </c>
      <c r="AI123" s="0">
        <f>MAX(0,Q123-Calculator!$E$26)</f>
      </c>
      <c r="AJ123" s="0">
        <f>MAX(0,R123-Calculator!$E$27)</f>
      </c>
      <c r="AK123" s="0">
        <f>MAX(0,S123-Calculator!$E$28)</f>
      </c>
      <c r="AL123" s="0">
        <f>MAX(0,MIN(T123,BX123-SUMPRODUCT(($T$2:$AK$2&lt;T$2)*($T123:$AK123))))</f>
      </c>
      <c r="AM123" s="0">
        <f>MAX(0,MIN(U123,BX123-SUMPRODUCT(($T$2:$AK$2&lt;U$2)*($T123:$AK123))))</f>
      </c>
      <c r="AN123" s="0">
        <f>MAX(0,MIN(V123,BX123-SUMPRODUCT(($T$2:$AK$2&lt;V$2)*($T123:$AK123))))</f>
      </c>
      <c r="AO123" s="0">
        <f>MAX(0,MIN(W123,BX123-SUMPRODUCT(($T$2:$AK$2&lt;W$2)*($T123:$AK123))))</f>
      </c>
      <c r="AP123" s="0">
        <f>MAX(0,MIN(X123,BX123-SUMPRODUCT(($T$2:$AK$2&lt;X$2)*($T123:$AK123))))</f>
      </c>
      <c r="AQ123" s="0">
        <f>MAX(0,MIN(Y123,BX123-SUMPRODUCT(($T$2:$AK$2&lt;Y$2)*($T123:$AK123))))</f>
      </c>
      <c r="AR123" s="0">
        <f>MAX(0,MIN(Z123,BX123-SUMPRODUCT(($T$2:$AK$2&lt;Z$2)*($T123:$AK123))))</f>
      </c>
      <c r="AS123" s="0">
        <f>MAX(0,MIN(AA123,BX123-SUMPRODUCT(($T$2:$AK$2&lt;AA$2)*($T123:$AK123))))</f>
      </c>
      <c r="AT123" s="0">
        <f>MAX(0,MIN(AB123,BX123-SUMPRODUCT(($T$2:$AK$2&lt;AB$2)*($T123:$AK123))))</f>
      </c>
      <c r="AU123" s="0">
        <f>MAX(0,MIN(AC123,BX123-SUMPRODUCT(($T$2:$AK$2&lt;AC$2)*($T123:$AK123))))</f>
      </c>
      <c r="AV123" s="0">
        <f>MAX(0,MIN(AD123,BX123-SUMPRODUCT(($T$2:$AK$2&lt;AD$2)*($T123:$AK123))))</f>
      </c>
      <c r="AW123" s="0">
        <f>MAX(0,MIN(AE123,BX123-SUMPRODUCT(($T$2:$AK$2&lt;AE$2)*($T123:$AK123))))</f>
      </c>
      <c r="AX123" s="0">
        <f>MAX(0,MIN(AF123,BX123-SUMPRODUCT(($T$2:$AK$2&lt;AF$2)*($T123:$AK123))))</f>
      </c>
      <c r="AY123" s="0">
        <f>MAX(0,MIN(AG123,BX123-SUMPRODUCT(($T$2:$AK$2&lt;AG$2)*($T123:$AK123))))</f>
      </c>
      <c r="AZ123" s="0">
        <f>MAX(0,MIN(AH123,BX123-SUMPRODUCT(($T$2:$AK$2&lt;AH$2)*($T123:$AK123))))</f>
      </c>
      <c r="BA123" s="0">
        <f>MAX(0,MIN(AI123,BX123-SUMPRODUCT(($T$2:$AK$2&lt;AI$2)*($T123:$AK123))))</f>
      </c>
      <c r="BB123" s="0">
        <f>MAX(0,MIN(AJ123,BX123-SUMPRODUCT(($T$2:$AK$2&lt;AJ$2)*($T123:$AK123))))</f>
      </c>
      <c r="BC123" s="0">
        <f>MAX(0,MIN(AK123,BX123-SUMPRODUCT(($T$2:$AK$2&lt;AK$2)*($T123:$AK123))))</f>
      </c>
      <c r="BD123" s="0">
        <f>T123-AL123</f>
      </c>
      <c r="BE123" s="0">
        <f>U123-AM123</f>
      </c>
      <c r="BF123" s="0">
        <f>V123-AN123</f>
      </c>
      <c r="BG123" s="0">
        <f>W123-AO123</f>
      </c>
      <c r="BH123" s="0">
        <f>X123-AP123</f>
      </c>
      <c r="BI123" s="0">
        <f>Y123-AQ123</f>
      </c>
      <c r="BJ123" s="0">
        <f>Z123-AR123</f>
      </c>
      <c r="BK123" s="0">
        <f>AA123-AS123</f>
      </c>
      <c r="BL123" s="0">
        <f>AB123-AT123</f>
      </c>
      <c r="BM123" s="0">
        <f>AC123-AU123</f>
      </c>
      <c r="BN123" s="0">
        <f>AD123-AV123</f>
      </c>
      <c r="BO123" s="0">
        <f>AE123-AW123</f>
      </c>
      <c r="BP123" s="0">
        <f>AF123-AX123</f>
      </c>
      <c r="BQ123" s="0">
        <f>AG123-AY123</f>
      </c>
      <c r="BR123" s="0">
        <f>AH123-AZ123</f>
      </c>
      <c r="BS123" s="0">
        <f>AI123-BA123</f>
      </c>
      <c r="BT123" s="0">
        <f>AJ123-BB123</f>
      </c>
      <c r="BU123" s="0">
        <f>AK123-BC123</f>
      </c>
      <c r="BV123" s="0">
        <f>SUM(B123:S123)</f>
      </c>
      <c r="BW123" s="0">
        <f>SUM(T123:AK123)</f>
      </c>
      <c r="BX123" s="0">
        <f>MAX(0,(SUM(Calculator!$E$11:$E$28)+Calculator!$C$6)-BV123+BW123)</f>
      </c>
      <c r="BY123" s="0">
        <f>SUM(BD123:BU123)</f>
      </c>
      <c r="BZ123" s="0">
        <f>BV123-BY122</f>
      </c>
      <c r="CA123" s="0">
        <f>IF(A123&lt;=IF($CD$1=0,999,$CD$1),BY123,NA())</f>
      </c>
      <c r="CB123" s="0">
        <f>IF(A123&lt;=IF($CD$1=0,999,$CD$1),A123,NA())</f>
      </c>
    </row>
    <row r="124">
      <c r="A124" s="0">
        <v>121</v>
      </c>
      <c r="B124" s="0">
        <f>BD123*(1+Calculator!$D$11/100/12)</f>
      </c>
      <c r="C124" s="0">
        <f>BE123*(1+Calculator!$D$12/100/12)</f>
      </c>
      <c r="D124" s="0">
        <f>BF123*(1+Calculator!$D$13/100/12)</f>
      </c>
      <c r="E124" s="0">
        <f>BG123*(1+Calculator!$D$14/100/12)</f>
      </c>
      <c r="F124" s="0">
        <f>BH123*(1+Calculator!$D$15/100/12)</f>
      </c>
      <c r="G124" s="0">
        <f>BI123*(1+Calculator!$D$16/100/12)</f>
      </c>
      <c r="H124" s="0">
        <f>BJ123*(1+Calculator!$D$17/100/12)</f>
      </c>
      <c r="I124" s="0">
        <f>BK123*(1+Calculator!$D$18/100/12)</f>
      </c>
      <c r="J124" s="0">
        <f>BL123*(1+Calculator!$D$19/100/12)</f>
      </c>
      <c r="K124" s="0">
        <f>BM123*(1+Calculator!$D$20/100/12)</f>
      </c>
      <c r="L124" s="0">
        <f>BN123*(1+Calculator!$D$21/100/12)</f>
      </c>
      <c r="M124" s="0">
        <f>BO123*(1+Calculator!$D$22/100/12)</f>
      </c>
      <c r="N124" s="0">
        <f>BP123*(1+Calculator!$D$23/100/12)</f>
      </c>
      <c r="O124" s="0">
        <f>BQ123*(1+Calculator!$D$24/100/12)</f>
      </c>
      <c r="P124" s="0">
        <f>BR123*(1+Calculator!$D$25/100/12)</f>
      </c>
      <c r="Q124" s="0">
        <f>BS123*(1+Calculator!$D$26/100/12)</f>
      </c>
      <c r="R124" s="0">
        <f>BT123*(1+Calculator!$D$27/100/12)</f>
      </c>
      <c r="S124" s="0">
        <f>BU123*(1+Calculator!$D$28/100/12)</f>
      </c>
      <c r="T124" s="0">
        <f>MAX(0,B124-Calculator!$E$11)</f>
      </c>
      <c r="U124" s="0">
        <f>MAX(0,C124-Calculator!$E$12)</f>
      </c>
      <c r="V124" s="0">
        <f>MAX(0,D124-Calculator!$E$13)</f>
      </c>
      <c r="W124" s="0">
        <f>MAX(0,E124-Calculator!$E$14)</f>
      </c>
      <c r="X124" s="0">
        <f>MAX(0,F124-Calculator!$E$15)</f>
      </c>
      <c r="Y124" s="0">
        <f>MAX(0,G124-Calculator!$E$16)</f>
      </c>
      <c r="Z124" s="0">
        <f>MAX(0,H124-Calculator!$E$17)</f>
      </c>
      <c r="AA124" s="0">
        <f>MAX(0,I124-Calculator!$E$18)</f>
      </c>
      <c r="AB124" s="0">
        <f>MAX(0,J124-Calculator!$E$19)</f>
      </c>
      <c r="AC124" s="0">
        <f>MAX(0,K124-Calculator!$E$20)</f>
      </c>
      <c r="AD124" s="0">
        <f>MAX(0,L124-Calculator!$E$21)</f>
      </c>
      <c r="AE124" s="0">
        <f>MAX(0,M124-Calculator!$E$22)</f>
      </c>
      <c r="AF124" s="0">
        <f>MAX(0,N124-Calculator!$E$23)</f>
      </c>
      <c r="AG124" s="0">
        <f>MAX(0,O124-Calculator!$E$24)</f>
      </c>
      <c r="AH124" s="0">
        <f>MAX(0,P124-Calculator!$E$25)</f>
      </c>
      <c r="AI124" s="0">
        <f>MAX(0,Q124-Calculator!$E$26)</f>
      </c>
      <c r="AJ124" s="0">
        <f>MAX(0,R124-Calculator!$E$27)</f>
      </c>
      <c r="AK124" s="0">
        <f>MAX(0,S124-Calculator!$E$28)</f>
      </c>
      <c r="AL124" s="0">
        <f>MAX(0,MIN(T124,BX124-SUMPRODUCT(($T$2:$AK$2&lt;T$2)*($T124:$AK124))))</f>
      </c>
      <c r="AM124" s="0">
        <f>MAX(0,MIN(U124,BX124-SUMPRODUCT(($T$2:$AK$2&lt;U$2)*($T124:$AK124))))</f>
      </c>
      <c r="AN124" s="0">
        <f>MAX(0,MIN(V124,BX124-SUMPRODUCT(($T$2:$AK$2&lt;V$2)*($T124:$AK124))))</f>
      </c>
      <c r="AO124" s="0">
        <f>MAX(0,MIN(W124,BX124-SUMPRODUCT(($T$2:$AK$2&lt;W$2)*($T124:$AK124))))</f>
      </c>
      <c r="AP124" s="0">
        <f>MAX(0,MIN(X124,BX124-SUMPRODUCT(($T$2:$AK$2&lt;X$2)*($T124:$AK124))))</f>
      </c>
      <c r="AQ124" s="0">
        <f>MAX(0,MIN(Y124,BX124-SUMPRODUCT(($T$2:$AK$2&lt;Y$2)*($T124:$AK124))))</f>
      </c>
      <c r="AR124" s="0">
        <f>MAX(0,MIN(Z124,BX124-SUMPRODUCT(($T$2:$AK$2&lt;Z$2)*($T124:$AK124))))</f>
      </c>
      <c r="AS124" s="0">
        <f>MAX(0,MIN(AA124,BX124-SUMPRODUCT(($T$2:$AK$2&lt;AA$2)*($T124:$AK124))))</f>
      </c>
      <c r="AT124" s="0">
        <f>MAX(0,MIN(AB124,BX124-SUMPRODUCT(($T$2:$AK$2&lt;AB$2)*($T124:$AK124))))</f>
      </c>
      <c r="AU124" s="0">
        <f>MAX(0,MIN(AC124,BX124-SUMPRODUCT(($T$2:$AK$2&lt;AC$2)*($T124:$AK124))))</f>
      </c>
      <c r="AV124" s="0">
        <f>MAX(0,MIN(AD124,BX124-SUMPRODUCT(($T$2:$AK$2&lt;AD$2)*($T124:$AK124))))</f>
      </c>
      <c r="AW124" s="0">
        <f>MAX(0,MIN(AE124,BX124-SUMPRODUCT(($T$2:$AK$2&lt;AE$2)*($T124:$AK124))))</f>
      </c>
      <c r="AX124" s="0">
        <f>MAX(0,MIN(AF124,BX124-SUMPRODUCT(($T$2:$AK$2&lt;AF$2)*($T124:$AK124))))</f>
      </c>
      <c r="AY124" s="0">
        <f>MAX(0,MIN(AG124,BX124-SUMPRODUCT(($T$2:$AK$2&lt;AG$2)*($T124:$AK124))))</f>
      </c>
      <c r="AZ124" s="0">
        <f>MAX(0,MIN(AH124,BX124-SUMPRODUCT(($T$2:$AK$2&lt;AH$2)*($T124:$AK124))))</f>
      </c>
      <c r="BA124" s="0">
        <f>MAX(0,MIN(AI124,BX124-SUMPRODUCT(($T$2:$AK$2&lt;AI$2)*($T124:$AK124))))</f>
      </c>
      <c r="BB124" s="0">
        <f>MAX(0,MIN(AJ124,BX124-SUMPRODUCT(($T$2:$AK$2&lt;AJ$2)*($T124:$AK124))))</f>
      </c>
      <c r="BC124" s="0">
        <f>MAX(0,MIN(AK124,BX124-SUMPRODUCT(($T$2:$AK$2&lt;AK$2)*($T124:$AK124))))</f>
      </c>
      <c r="BD124" s="0">
        <f>T124-AL124</f>
      </c>
      <c r="BE124" s="0">
        <f>U124-AM124</f>
      </c>
      <c r="BF124" s="0">
        <f>V124-AN124</f>
      </c>
      <c r="BG124" s="0">
        <f>W124-AO124</f>
      </c>
      <c r="BH124" s="0">
        <f>X124-AP124</f>
      </c>
      <c r="BI124" s="0">
        <f>Y124-AQ124</f>
      </c>
      <c r="BJ124" s="0">
        <f>Z124-AR124</f>
      </c>
      <c r="BK124" s="0">
        <f>AA124-AS124</f>
      </c>
      <c r="BL124" s="0">
        <f>AB124-AT124</f>
      </c>
      <c r="BM124" s="0">
        <f>AC124-AU124</f>
      </c>
      <c r="BN124" s="0">
        <f>AD124-AV124</f>
      </c>
      <c r="BO124" s="0">
        <f>AE124-AW124</f>
      </c>
      <c r="BP124" s="0">
        <f>AF124-AX124</f>
      </c>
      <c r="BQ124" s="0">
        <f>AG124-AY124</f>
      </c>
      <c r="BR124" s="0">
        <f>AH124-AZ124</f>
      </c>
      <c r="BS124" s="0">
        <f>AI124-BA124</f>
      </c>
      <c r="BT124" s="0">
        <f>AJ124-BB124</f>
      </c>
      <c r="BU124" s="0">
        <f>AK124-BC124</f>
      </c>
      <c r="BV124" s="0">
        <f>SUM(B124:S124)</f>
      </c>
      <c r="BW124" s="0">
        <f>SUM(T124:AK124)</f>
      </c>
      <c r="BX124" s="0">
        <f>MAX(0,(SUM(Calculator!$E$11:$E$28)+Calculator!$C$6)-BV124+BW124)</f>
      </c>
      <c r="BY124" s="0">
        <f>SUM(BD124:BU124)</f>
      </c>
      <c r="BZ124" s="0">
        <f>BV124-BY123</f>
      </c>
      <c r="CA124" s="0">
        <f>IF(A124&lt;=IF($CD$1=0,999,$CD$1),BY124,NA())</f>
      </c>
      <c r="CB124" s="0">
        <f>IF(A124&lt;=IF($CD$1=0,999,$CD$1),A124,NA())</f>
      </c>
    </row>
    <row r="125">
      <c r="A125" s="0">
        <v>122</v>
      </c>
      <c r="B125" s="0">
        <f>BD124*(1+Calculator!$D$11/100/12)</f>
      </c>
      <c r="C125" s="0">
        <f>BE124*(1+Calculator!$D$12/100/12)</f>
      </c>
      <c r="D125" s="0">
        <f>BF124*(1+Calculator!$D$13/100/12)</f>
      </c>
      <c r="E125" s="0">
        <f>BG124*(1+Calculator!$D$14/100/12)</f>
      </c>
      <c r="F125" s="0">
        <f>BH124*(1+Calculator!$D$15/100/12)</f>
      </c>
      <c r="G125" s="0">
        <f>BI124*(1+Calculator!$D$16/100/12)</f>
      </c>
      <c r="H125" s="0">
        <f>BJ124*(1+Calculator!$D$17/100/12)</f>
      </c>
      <c r="I125" s="0">
        <f>BK124*(1+Calculator!$D$18/100/12)</f>
      </c>
      <c r="J125" s="0">
        <f>BL124*(1+Calculator!$D$19/100/12)</f>
      </c>
      <c r="K125" s="0">
        <f>BM124*(1+Calculator!$D$20/100/12)</f>
      </c>
      <c r="L125" s="0">
        <f>BN124*(1+Calculator!$D$21/100/12)</f>
      </c>
      <c r="M125" s="0">
        <f>BO124*(1+Calculator!$D$22/100/12)</f>
      </c>
      <c r="N125" s="0">
        <f>BP124*(1+Calculator!$D$23/100/12)</f>
      </c>
      <c r="O125" s="0">
        <f>BQ124*(1+Calculator!$D$24/100/12)</f>
      </c>
      <c r="P125" s="0">
        <f>BR124*(1+Calculator!$D$25/100/12)</f>
      </c>
      <c r="Q125" s="0">
        <f>BS124*(1+Calculator!$D$26/100/12)</f>
      </c>
      <c r="R125" s="0">
        <f>BT124*(1+Calculator!$D$27/100/12)</f>
      </c>
      <c r="S125" s="0">
        <f>BU124*(1+Calculator!$D$28/100/12)</f>
      </c>
      <c r="T125" s="0">
        <f>MAX(0,B125-Calculator!$E$11)</f>
      </c>
      <c r="U125" s="0">
        <f>MAX(0,C125-Calculator!$E$12)</f>
      </c>
      <c r="V125" s="0">
        <f>MAX(0,D125-Calculator!$E$13)</f>
      </c>
      <c r="W125" s="0">
        <f>MAX(0,E125-Calculator!$E$14)</f>
      </c>
      <c r="X125" s="0">
        <f>MAX(0,F125-Calculator!$E$15)</f>
      </c>
      <c r="Y125" s="0">
        <f>MAX(0,G125-Calculator!$E$16)</f>
      </c>
      <c r="Z125" s="0">
        <f>MAX(0,H125-Calculator!$E$17)</f>
      </c>
      <c r="AA125" s="0">
        <f>MAX(0,I125-Calculator!$E$18)</f>
      </c>
      <c r="AB125" s="0">
        <f>MAX(0,J125-Calculator!$E$19)</f>
      </c>
      <c r="AC125" s="0">
        <f>MAX(0,K125-Calculator!$E$20)</f>
      </c>
      <c r="AD125" s="0">
        <f>MAX(0,L125-Calculator!$E$21)</f>
      </c>
      <c r="AE125" s="0">
        <f>MAX(0,M125-Calculator!$E$22)</f>
      </c>
      <c r="AF125" s="0">
        <f>MAX(0,N125-Calculator!$E$23)</f>
      </c>
      <c r="AG125" s="0">
        <f>MAX(0,O125-Calculator!$E$24)</f>
      </c>
      <c r="AH125" s="0">
        <f>MAX(0,P125-Calculator!$E$25)</f>
      </c>
      <c r="AI125" s="0">
        <f>MAX(0,Q125-Calculator!$E$26)</f>
      </c>
      <c r="AJ125" s="0">
        <f>MAX(0,R125-Calculator!$E$27)</f>
      </c>
      <c r="AK125" s="0">
        <f>MAX(0,S125-Calculator!$E$28)</f>
      </c>
      <c r="AL125" s="0">
        <f>MAX(0,MIN(T125,BX125-SUMPRODUCT(($T$2:$AK$2&lt;T$2)*($T125:$AK125))))</f>
      </c>
      <c r="AM125" s="0">
        <f>MAX(0,MIN(U125,BX125-SUMPRODUCT(($T$2:$AK$2&lt;U$2)*($T125:$AK125))))</f>
      </c>
      <c r="AN125" s="0">
        <f>MAX(0,MIN(V125,BX125-SUMPRODUCT(($T$2:$AK$2&lt;V$2)*($T125:$AK125))))</f>
      </c>
      <c r="AO125" s="0">
        <f>MAX(0,MIN(W125,BX125-SUMPRODUCT(($T$2:$AK$2&lt;W$2)*($T125:$AK125))))</f>
      </c>
      <c r="AP125" s="0">
        <f>MAX(0,MIN(X125,BX125-SUMPRODUCT(($T$2:$AK$2&lt;X$2)*($T125:$AK125))))</f>
      </c>
      <c r="AQ125" s="0">
        <f>MAX(0,MIN(Y125,BX125-SUMPRODUCT(($T$2:$AK$2&lt;Y$2)*($T125:$AK125))))</f>
      </c>
      <c r="AR125" s="0">
        <f>MAX(0,MIN(Z125,BX125-SUMPRODUCT(($T$2:$AK$2&lt;Z$2)*($T125:$AK125))))</f>
      </c>
      <c r="AS125" s="0">
        <f>MAX(0,MIN(AA125,BX125-SUMPRODUCT(($T$2:$AK$2&lt;AA$2)*($T125:$AK125))))</f>
      </c>
      <c r="AT125" s="0">
        <f>MAX(0,MIN(AB125,BX125-SUMPRODUCT(($T$2:$AK$2&lt;AB$2)*($T125:$AK125))))</f>
      </c>
      <c r="AU125" s="0">
        <f>MAX(0,MIN(AC125,BX125-SUMPRODUCT(($T$2:$AK$2&lt;AC$2)*($T125:$AK125))))</f>
      </c>
      <c r="AV125" s="0">
        <f>MAX(0,MIN(AD125,BX125-SUMPRODUCT(($T$2:$AK$2&lt;AD$2)*($T125:$AK125))))</f>
      </c>
      <c r="AW125" s="0">
        <f>MAX(0,MIN(AE125,BX125-SUMPRODUCT(($T$2:$AK$2&lt;AE$2)*($T125:$AK125))))</f>
      </c>
      <c r="AX125" s="0">
        <f>MAX(0,MIN(AF125,BX125-SUMPRODUCT(($T$2:$AK$2&lt;AF$2)*($T125:$AK125))))</f>
      </c>
      <c r="AY125" s="0">
        <f>MAX(0,MIN(AG125,BX125-SUMPRODUCT(($T$2:$AK$2&lt;AG$2)*($T125:$AK125))))</f>
      </c>
      <c r="AZ125" s="0">
        <f>MAX(0,MIN(AH125,BX125-SUMPRODUCT(($T$2:$AK$2&lt;AH$2)*($T125:$AK125))))</f>
      </c>
      <c r="BA125" s="0">
        <f>MAX(0,MIN(AI125,BX125-SUMPRODUCT(($T$2:$AK$2&lt;AI$2)*($T125:$AK125))))</f>
      </c>
      <c r="BB125" s="0">
        <f>MAX(0,MIN(AJ125,BX125-SUMPRODUCT(($T$2:$AK$2&lt;AJ$2)*($T125:$AK125))))</f>
      </c>
      <c r="BC125" s="0">
        <f>MAX(0,MIN(AK125,BX125-SUMPRODUCT(($T$2:$AK$2&lt;AK$2)*($T125:$AK125))))</f>
      </c>
      <c r="BD125" s="0">
        <f>T125-AL125</f>
      </c>
      <c r="BE125" s="0">
        <f>U125-AM125</f>
      </c>
      <c r="BF125" s="0">
        <f>V125-AN125</f>
      </c>
      <c r="BG125" s="0">
        <f>W125-AO125</f>
      </c>
      <c r="BH125" s="0">
        <f>X125-AP125</f>
      </c>
      <c r="BI125" s="0">
        <f>Y125-AQ125</f>
      </c>
      <c r="BJ125" s="0">
        <f>Z125-AR125</f>
      </c>
      <c r="BK125" s="0">
        <f>AA125-AS125</f>
      </c>
      <c r="BL125" s="0">
        <f>AB125-AT125</f>
      </c>
      <c r="BM125" s="0">
        <f>AC125-AU125</f>
      </c>
      <c r="BN125" s="0">
        <f>AD125-AV125</f>
      </c>
      <c r="BO125" s="0">
        <f>AE125-AW125</f>
      </c>
      <c r="BP125" s="0">
        <f>AF125-AX125</f>
      </c>
      <c r="BQ125" s="0">
        <f>AG125-AY125</f>
      </c>
      <c r="BR125" s="0">
        <f>AH125-AZ125</f>
      </c>
      <c r="BS125" s="0">
        <f>AI125-BA125</f>
      </c>
      <c r="BT125" s="0">
        <f>AJ125-BB125</f>
      </c>
      <c r="BU125" s="0">
        <f>AK125-BC125</f>
      </c>
      <c r="BV125" s="0">
        <f>SUM(B125:S125)</f>
      </c>
      <c r="BW125" s="0">
        <f>SUM(T125:AK125)</f>
      </c>
      <c r="BX125" s="0">
        <f>MAX(0,(SUM(Calculator!$E$11:$E$28)+Calculator!$C$6)-BV125+BW125)</f>
      </c>
      <c r="BY125" s="0">
        <f>SUM(BD125:BU125)</f>
      </c>
      <c r="BZ125" s="0">
        <f>BV125-BY124</f>
      </c>
      <c r="CA125" s="0">
        <f>IF(A125&lt;=IF($CD$1=0,999,$CD$1),BY125,NA())</f>
      </c>
      <c r="CB125" s="0">
        <f>IF(A125&lt;=IF($CD$1=0,999,$CD$1),A125,NA())</f>
      </c>
    </row>
    <row r="126">
      <c r="A126" s="0">
        <v>123</v>
      </c>
      <c r="B126" s="0">
        <f>BD125*(1+Calculator!$D$11/100/12)</f>
      </c>
      <c r="C126" s="0">
        <f>BE125*(1+Calculator!$D$12/100/12)</f>
      </c>
      <c r="D126" s="0">
        <f>BF125*(1+Calculator!$D$13/100/12)</f>
      </c>
      <c r="E126" s="0">
        <f>BG125*(1+Calculator!$D$14/100/12)</f>
      </c>
      <c r="F126" s="0">
        <f>BH125*(1+Calculator!$D$15/100/12)</f>
      </c>
      <c r="G126" s="0">
        <f>BI125*(1+Calculator!$D$16/100/12)</f>
      </c>
      <c r="H126" s="0">
        <f>BJ125*(1+Calculator!$D$17/100/12)</f>
      </c>
      <c r="I126" s="0">
        <f>BK125*(1+Calculator!$D$18/100/12)</f>
      </c>
      <c r="J126" s="0">
        <f>BL125*(1+Calculator!$D$19/100/12)</f>
      </c>
      <c r="K126" s="0">
        <f>BM125*(1+Calculator!$D$20/100/12)</f>
      </c>
      <c r="L126" s="0">
        <f>BN125*(1+Calculator!$D$21/100/12)</f>
      </c>
      <c r="M126" s="0">
        <f>BO125*(1+Calculator!$D$22/100/12)</f>
      </c>
      <c r="N126" s="0">
        <f>BP125*(1+Calculator!$D$23/100/12)</f>
      </c>
      <c r="O126" s="0">
        <f>BQ125*(1+Calculator!$D$24/100/12)</f>
      </c>
      <c r="P126" s="0">
        <f>BR125*(1+Calculator!$D$25/100/12)</f>
      </c>
      <c r="Q126" s="0">
        <f>BS125*(1+Calculator!$D$26/100/12)</f>
      </c>
      <c r="R126" s="0">
        <f>BT125*(1+Calculator!$D$27/100/12)</f>
      </c>
      <c r="S126" s="0">
        <f>BU125*(1+Calculator!$D$28/100/12)</f>
      </c>
      <c r="T126" s="0">
        <f>MAX(0,B126-Calculator!$E$11)</f>
      </c>
      <c r="U126" s="0">
        <f>MAX(0,C126-Calculator!$E$12)</f>
      </c>
      <c r="V126" s="0">
        <f>MAX(0,D126-Calculator!$E$13)</f>
      </c>
      <c r="W126" s="0">
        <f>MAX(0,E126-Calculator!$E$14)</f>
      </c>
      <c r="X126" s="0">
        <f>MAX(0,F126-Calculator!$E$15)</f>
      </c>
      <c r="Y126" s="0">
        <f>MAX(0,G126-Calculator!$E$16)</f>
      </c>
      <c r="Z126" s="0">
        <f>MAX(0,H126-Calculator!$E$17)</f>
      </c>
      <c r="AA126" s="0">
        <f>MAX(0,I126-Calculator!$E$18)</f>
      </c>
      <c r="AB126" s="0">
        <f>MAX(0,J126-Calculator!$E$19)</f>
      </c>
      <c r="AC126" s="0">
        <f>MAX(0,K126-Calculator!$E$20)</f>
      </c>
      <c r="AD126" s="0">
        <f>MAX(0,L126-Calculator!$E$21)</f>
      </c>
      <c r="AE126" s="0">
        <f>MAX(0,M126-Calculator!$E$22)</f>
      </c>
      <c r="AF126" s="0">
        <f>MAX(0,N126-Calculator!$E$23)</f>
      </c>
      <c r="AG126" s="0">
        <f>MAX(0,O126-Calculator!$E$24)</f>
      </c>
      <c r="AH126" s="0">
        <f>MAX(0,P126-Calculator!$E$25)</f>
      </c>
      <c r="AI126" s="0">
        <f>MAX(0,Q126-Calculator!$E$26)</f>
      </c>
      <c r="AJ126" s="0">
        <f>MAX(0,R126-Calculator!$E$27)</f>
      </c>
      <c r="AK126" s="0">
        <f>MAX(0,S126-Calculator!$E$28)</f>
      </c>
      <c r="AL126" s="0">
        <f>MAX(0,MIN(T126,BX126-SUMPRODUCT(($T$2:$AK$2&lt;T$2)*($T126:$AK126))))</f>
      </c>
      <c r="AM126" s="0">
        <f>MAX(0,MIN(U126,BX126-SUMPRODUCT(($T$2:$AK$2&lt;U$2)*($T126:$AK126))))</f>
      </c>
      <c r="AN126" s="0">
        <f>MAX(0,MIN(V126,BX126-SUMPRODUCT(($T$2:$AK$2&lt;V$2)*($T126:$AK126))))</f>
      </c>
      <c r="AO126" s="0">
        <f>MAX(0,MIN(W126,BX126-SUMPRODUCT(($T$2:$AK$2&lt;W$2)*($T126:$AK126))))</f>
      </c>
      <c r="AP126" s="0">
        <f>MAX(0,MIN(X126,BX126-SUMPRODUCT(($T$2:$AK$2&lt;X$2)*($T126:$AK126))))</f>
      </c>
      <c r="AQ126" s="0">
        <f>MAX(0,MIN(Y126,BX126-SUMPRODUCT(($T$2:$AK$2&lt;Y$2)*($T126:$AK126))))</f>
      </c>
      <c r="AR126" s="0">
        <f>MAX(0,MIN(Z126,BX126-SUMPRODUCT(($T$2:$AK$2&lt;Z$2)*($T126:$AK126))))</f>
      </c>
      <c r="AS126" s="0">
        <f>MAX(0,MIN(AA126,BX126-SUMPRODUCT(($T$2:$AK$2&lt;AA$2)*($T126:$AK126))))</f>
      </c>
      <c r="AT126" s="0">
        <f>MAX(0,MIN(AB126,BX126-SUMPRODUCT(($T$2:$AK$2&lt;AB$2)*($T126:$AK126))))</f>
      </c>
      <c r="AU126" s="0">
        <f>MAX(0,MIN(AC126,BX126-SUMPRODUCT(($T$2:$AK$2&lt;AC$2)*($T126:$AK126))))</f>
      </c>
      <c r="AV126" s="0">
        <f>MAX(0,MIN(AD126,BX126-SUMPRODUCT(($T$2:$AK$2&lt;AD$2)*($T126:$AK126))))</f>
      </c>
      <c r="AW126" s="0">
        <f>MAX(0,MIN(AE126,BX126-SUMPRODUCT(($T$2:$AK$2&lt;AE$2)*($T126:$AK126))))</f>
      </c>
      <c r="AX126" s="0">
        <f>MAX(0,MIN(AF126,BX126-SUMPRODUCT(($T$2:$AK$2&lt;AF$2)*($T126:$AK126))))</f>
      </c>
      <c r="AY126" s="0">
        <f>MAX(0,MIN(AG126,BX126-SUMPRODUCT(($T$2:$AK$2&lt;AG$2)*($T126:$AK126))))</f>
      </c>
      <c r="AZ126" s="0">
        <f>MAX(0,MIN(AH126,BX126-SUMPRODUCT(($T$2:$AK$2&lt;AH$2)*($T126:$AK126))))</f>
      </c>
      <c r="BA126" s="0">
        <f>MAX(0,MIN(AI126,BX126-SUMPRODUCT(($T$2:$AK$2&lt;AI$2)*($T126:$AK126))))</f>
      </c>
      <c r="BB126" s="0">
        <f>MAX(0,MIN(AJ126,BX126-SUMPRODUCT(($T$2:$AK$2&lt;AJ$2)*($T126:$AK126))))</f>
      </c>
      <c r="BC126" s="0">
        <f>MAX(0,MIN(AK126,BX126-SUMPRODUCT(($T$2:$AK$2&lt;AK$2)*($T126:$AK126))))</f>
      </c>
      <c r="BD126" s="0">
        <f>T126-AL126</f>
      </c>
      <c r="BE126" s="0">
        <f>U126-AM126</f>
      </c>
      <c r="BF126" s="0">
        <f>V126-AN126</f>
      </c>
      <c r="BG126" s="0">
        <f>W126-AO126</f>
      </c>
      <c r="BH126" s="0">
        <f>X126-AP126</f>
      </c>
      <c r="BI126" s="0">
        <f>Y126-AQ126</f>
      </c>
      <c r="BJ126" s="0">
        <f>Z126-AR126</f>
      </c>
      <c r="BK126" s="0">
        <f>AA126-AS126</f>
      </c>
      <c r="BL126" s="0">
        <f>AB126-AT126</f>
      </c>
      <c r="BM126" s="0">
        <f>AC126-AU126</f>
      </c>
      <c r="BN126" s="0">
        <f>AD126-AV126</f>
      </c>
      <c r="BO126" s="0">
        <f>AE126-AW126</f>
      </c>
      <c r="BP126" s="0">
        <f>AF126-AX126</f>
      </c>
      <c r="BQ126" s="0">
        <f>AG126-AY126</f>
      </c>
      <c r="BR126" s="0">
        <f>AH126-AZ126</f>
      </c>
      <c r="BS126" s="0">
        <f>AI126-BA126</f>
      </c>
      <c r="BT126" s="0">
        <f>AJ126-BB126</f>
      </c>
      <c r="BU126" s="0">
        <f>AK126-BC126</f>
      </c>
      <c r="BV126" s="0">
        <f>SUM(B126:S126)</f>
      </c>
      <c r="BW126" s="0">
        <f>SUM(T126:AK126)</f>
      </c>
      <c r="BX126" s="0">
        <f>MAX(0,(SUM(Calculator!$E$11:$E$28)+Calculator!$C$6)-BV126+BW126)</f>
      </c>
      <c r="BY126" s="0">
        <f>SUM(BD126:BU126)</f>
      </c>
      <c r="BZ126" s="0">
        <f>BV126-BY125</f>
      </c>
      <c r="CA126" s="0">
        <f>IF(A126&lt;=IF($CD$1=0,999,$CD$1),BY126,NA())</f>
      </c>
      <c r="CB126" s="0">
        <f>IF(A126&lt;=IF($CD$1=0,999,$CD$1),A126,NA())</f>
      </c>
    </row>
    <row r="127">
      <c r="A127" s="0">
        <v>124</v>
      </c>
      <c r="B127" s="0">
        <f>BD126*(1+Calculator!$D$11/100/12)</f>
      </c>
      <c r="C127" s="0">
        <f>BE126*(1+Calculator!$D$12/100/12)</f>
      </c>
      <c r="D127" s="0">
        <f>BF126*(1+Calculator!$D$13/100/12)</f>
      </c>
      <c r="E127" s="0">
        <f>BG126*(1+Calculator!$D$14/100/12)</f>
      </c>
      <c r="F127" s="0">
        <f>BH126*(1+Calculator!$D$15/100/12)</f>
      </c>
      <c r="G127" s="0">
        <f>BI126*(1+Calculator!$D$16/100/12)</f>
      </c>
      <c r="H127" s="0">
        <f>BJ126*(1+Calculator!$D$17/100/12)</f>
      </c>
      <c r="I127" s="0">
        <f>BK126*(1+Calculator!$D$18/100/12)</f>
      </c>
      <c r="J127" s="0">
        <f>BL126*(1+Calculator!$D$19/100/12)</f>
      </c>
      <c r="K127" s="0">
        <f>BM126*(1+Calculator!$D$20/100/12)</f>
      </c>
      <c r="L127" s="0">
        <f>BN126*(1+Calculator!$D$21/100/12)</f>
      </c>
      <c r="M127" s="0">
        <f>BO126*(1+Calculator!$D$22/100/12)</f>
      </c>
      <c r="N127" s="0">
        <f>BP126*(1+Calculator!$D$23/100/12)</f>
      </c>
      <c r="O127" s="0">
        <f>BQ126*(1+Calculator!$D$24/100/12)</f>
      </c>
      <c r="P127" s="0">
        <f>BR126*(1+Calculator!$D$25/100/12)</f>
      </c>
      <c r="Q127" s="0">
        <f>BS126*(1+Calculator!$D$26/100/12)</f>
      </c>
      <c r="R127" s="0">
        <f>BT126*(1+Calculator!$D$27/100/12)</f>
      </c>
      <c r="S127" s="0">
        <f>BU126*(1+Calculator!$D$28/100/12)</f>
      </c>
      <c r="T127" s="0">
        <f>MAX(0,B127-Calculator!$E$11)</f>
      </c>
      <c r="U127" s="0">
        <f>MAX(0,C127-Calculator!$E$12)</f>
      </c>
      <c r="V127" s="0">
        <f>MAX(0,D127-Calculator!$E$13)</f>
      </c>
      <c r="W127" s="0">
        <f>MAX(0,E127-Calculator!$E$14)</f>
      </c>
      <c r="X127" s="0">
        <f>MAX(0,F127-Calculator!$E$15)</f>
      </c>
      <c r="Y127" s="0">
        <f>MAX(0,G127-Calculator!$E$16)</f>
      </c>
      <c r="Z127" s="0">
        <f>MAX(0,H127-Calculator!$E$17)</f>
      </c>
      <c r="AA127" s="0">
        <f>MAX(0,I127-Calculator!$E$18)</f>
      </c>
      <c r="AB127" s="0">
        <f>MAX(0,J127-Calculator!$E$19)</f>
      </c>
      <c r="AC127" s="0">
        <f>MAX(0,K127-Calculator!$E$20)</f>
      </c>
      <c r="AD127" s="0">
        <f>MAX(0,L127-Calculator!$E$21)</f>
      </c>
      <c r="AE127" s="0">
        <f>MAX(0,M127-Calculator!$E$22)</f>
      </c>
      <c r="AF127" s="0">
        <f>MAX(0,N127-Calculator!$E$23)</f>
      </c>
      <c r="AG127" s="0">
        <f>MAX(0,O127-Calculator!$E$24)</f>
      </c>
      <c r="AH127" s="0">
        <f>MAX(0,P127-Calculator!$E$25)</f>
      </c>
      <c r="AI127" s="0">
        <f>MAX(0,Q127-Calculator!$E$26)</f>
      </c>
      <c r="AJ127" s="0">
        <f>MAX(0,R127-Calculator!$E$27)</f>
      </c>
      <c r="AK127" s="0">
        <f>MAX(0,S127-Calculator!$E$28)</f>
      </c>
      <c r="AL127" s="0">
        <f>MAX(0,MIN(T127,BX127-SUMPRODUCT(($T$2:$AK$2&lt;T$2)*($T127:$AK127))))</f>
      </c>
      <c r="AM127" s="0">
        <f>MAX(0,MIN(U127,BX127-SUMPRODUCT(($T$2:$AK$2&lt;U$2)*($T127:$AK127))))</f>
      </c>
      <c r="AN127" s="0">
        <f>MAX(0,MIN(V127,BX127-SUMPRODUCT(($T$2:$AK$2&lt;V$2)*($T127:$AK127))))</f>
      </c>
      <c r="AO127" s="0">
        <f>MAX(0,MIN(W127,BX127-SUMPRODUCT(($T$2:$AK$2&lt;W$2)*($T127:$AK127))))</f>
      </c>
      <c r="AP127" s="0">
        <f>MAX(0,MIN(X127,BX127-SUMPRODUCT(($T$2:$AK$2&lt;X$2)*($T127:$AK127))))</f>
      </c>
      <c r="AQ127" s="0">
        <f>MAX(0,MIN(Y127,BX127-SUMPRODUCT(($T$2:$AK$2&lt;Y$2)*($T127:$AK127))))</f>
      </c>
      <c r="AR127" s="0">
        <f>MAX(0,MIN(Z127,BX127-SUMPRODUCT(($T$2:$AK$2&lt;Z$2)*($T127:$AK127))))</f>
      </c>
      <c r="AS127" s="0">
        <f>MAX(0,MIN(AA127,BX127-SUMPRODUCT(($T$2:$AK$2&lt;AA$2)*($T127:$AK127))))</f>
      </c>
      <c r="AT127" s="0">
        <f>MAX(0,MIN(AB127,BX127-SUMPRODUCT(($T$2:$AK$2&lt;AB$2)*($T127:$AK127))))</f>
      </c>
      <c r="AU127" s="0">
        <f>MAX(0,MIN(AC127,BX127-SUMPRODUCT(($T$2:$AK$2&lt;AC$2)*($T127:$AK127))))</f>
      </c>
      <c r="AV127" s="0">
        <f>MAX(0,MIN(AD127,BX127-SUMPRODUCT(($T$2:$AK$2&lt;AD$2)*($T127:$AK127))))</f>
      </c>
      <c r="AW127" s="0">
        <f>MAX(0,MIN(AE127,BX127-SUMPRODUCT(($T$2:$AK$2&lt;AE$2)*($T127:$AK127))))</f>
      </c>
      <c r="AX127" s="0">
        <f>MAX(0,MIN(AF127,BX127-SUMPRODUCT(($T$2:$AK$2&lt;AF$2)*($T127:$AK127))))</f>
      </c>
      <c r="AY127" s="0">
        <f>MAX(0,MIN(AG127,BX127-SUMPRODUCT(($T$2:$AK$2&lt;AG$2)*($T127:$AK127))))</f>
      </c>
      <c r="AZ127" s="0">
        <f>MAX(0,MIN(AH127,BX127-SUMPRODUCT(($T$2:$AK$2&lt;AH$2)*($T127:$AK127))))</f>
      </c>
      <c r="BA127" s="0">
        <f>MAX(0,MIN(AI127,BX127-SUMPRODUCT(($T$2:$AK$2&lt;AI$2)*($T127:$AK127))))</f>
      </c>
      <c r="BB127" s="0">
        <f>MAX(0,MIN(AJ127,BX127-SUMPRODUCT(($T$2:$AK$2&lt;AJ$2)*($T127:$AK127))))</f>
      </c>
      <c r="BC127" s="0">
        <f>MAX(0,MIN(AK127,BX127-SUMPRODUCT(($T$2:$AK$2&lt;AK$2)*($T127:$AK127))))</f>
      </c>
      <c r="BD127" s="0">
        <f>T127-AL127</f>
      </c>
      <c r="BE127" s="0">
        <f>U127-AM127</f>
      </c>
      <c r="BF127" s="0">
        <f>V127-AN127</f>
      </c>
      <c r="BG127" s="0">
        <f>W127-AO127</f>
      </c>
      <c r="BH127" s="0">
        <f>X127-AP127</f>
      </c>
      <c r="BI127" s="0">
        <f>Y127-AQ127</f>
      </c>
      <c r="BJ127" s="0">
        <f>Z127-AR127</f>
      </c>
      <c r="BK127" s="0">
        <f>AA127-AS127</f>
      </c>
      <c r="BL127" s="0">
        <f>AB127-AT127</f>
      </c>
      <c r="BM127" s="0">
        <f>AC127-AU127</f>
      </c>
      <c r="BN127" s="0">
        <f>AD127-AV127</f>
      </c>
      <c r="BO127" s="0">
        <f>AE127-AW127</f>
      </c>
      <c r="BP127" s="0">
        <f>AF127-AX127</f>
      </c>
      <c r="BQ127" s="0">
        <f>AG127-AY127</f>
      </c>
      <c r="BR127" s="0">
        <f>AH127-AZ127</f>
      </c>
      <c r="BS127" s="0">
        <f>AI127-BA127</f>
      </c>
      <c r="BT127" s="0">
        <f>AJ127-BB127</f>
      </c>
      <c r="BU127" s="0">
        <f>AK127-BC127</f>
      </c>
      <c r="BV127" s="0">
        <f>SUM(B127:S127)</f>
      </c>
      <c r="BW127" s="0">
        <f>SUM(T127:AK127)</f>
      </c>
      <c r="BX127" s="0">
        <f>MAX(0,(SUM(Calculator!$E$11:$E$28)+Calculator!$C$6)-BV127+BW127)</f>
      </c>
      <c r="BY127" s="0">
        <f>SUM(BD127:BU127)</f>
      </c>
      <c r="BZ127" s="0">
        <f>BV127-BY126</f>
      </c>
      <c r="CA127" s="0">
        <f>IF(A127&lt;=IF($CD$1=0,999,$CD$1),BY127,NA())</f>
      </c>
      <c r="CB127" s="0">
        <f>IF(A127&lt;=IF($CD$1=0,999,$CD$1),A127,NA())</f>
      </c>
    </row>
    <row r="128">
      <c r="A128" s="0">
        <v>125</v>
      </c>
      <c r="B128" s="0">
        <f>BD127*(1+Calculator!$D$11/100/12)</f>
      </c>
      <c r="C128" s="0">
        <f>BE127*(1+Calculator!$D$12/100/12)</f>
      </c>
      <c r="D128" s="0">
        <f>BF127*(1+Calculator!$D$13/100/12)</f>
      </c>
      <c r="E128" s="0">
        <f>BG127*(1+Calculator!$D$14/100/12)</f>
      </c>
      <c r="F128" s="0">
        <f>BH127*(1+Calculator!$D$15/100/12)</f>
      </c>
      <c r="G128" s="0">
        <f>BI127*(1+Calculator!$D$16/100/12)</f>
      </c>
      <c r="H128" s="0">
        <f>BJ127*(1+Calculator!$D$17/100/12)</f>
      </c>
      <c r="I128" s="0">
        <f>BK127*(1+Calculator!$D$18/100/12)</f>
      </c>
      <c r="J128" s="0">
        <f>BL127*(1+Calculator!$D$19/100/12)</f>
      </c>
      <c r="K128" s="0">
        <f>BM127*(1+Calculator!$D$20/100/12)</f>
      </c>
      <c r="L128" s="0">
        <f>BN127*(1+Calculator!$D$21/100/12)</f>
      </c>
      <c r="M128" s="0">
        <f>BO127*(1+Calculator!$D$22/100/12)</f>
      </c>
      <c r="N128" s="0">
        <f>BP127*(1+Calculator!$D$23/100/12)</f>
      </c>
      <c r="O128" s="0">
        <f>BQ127*(1+Calculator!$D$24/100/12)</f>
      </c>
      <c r="P128" s="0">
        <f>BR127*(1+Calculator!$D$25/100/12)</f>
      </c>
      <c r="Q128" s="0">
        <f>BS127*(1+Calculator!$D$26/100/12)</f>
      </c>
      <c r="R128" s="0">
        <f>BT127*(1+Calculator!$D$27/100/12)</f>
      </c>
      <c r="S128" s="0">
        <f>BU127*(1+Calculator!$D$28/100/12)</f>
      </c>
      <c r="T128" s="0">
        <f>MAX(0,B128-Calculator!$E$11)</f>
      </c>
      <c r="U128" s="0">
        <f>MAX(0,C128-Calculator!$E$12)</f>
      </c>
      <c r="V128" s="0">
        <f>MAX(0,D128-Calculator!$E$13)</f>
      </c>
      <c r="W128" s="0">
        <f>MAX(0,E128-Calculator!$E$14)</f>
      </c>
      <c r="X128" s="0">
        <f>MAX(0,F128-Calculator!$E$15)</f>
      </c>
      <c r="Y128" s="0">
        <f>MAX(0,G128-Calculator!$E$16)</f>
      </c>
      <c r="Z128" s="0">
        <f>MAX(0,H128-Calculator!$E$17)</f>
      </c>
      <c r="AA128" s="0">
        <f>MAX(0,I128-Calculator!$E$18)</f>
      </c>
      <c r="AB128" s="0">
        <f>MAX(0,J128-Calculator!$E$19)</f>
      </c>
      <c r="AC128" s="0">
        <f>MAX(0,K128-Calculator!$E$20)</f>
      </c>
      <c r="AD128" s="0">
        <f>MAX(0,L128-Calculator!$E$21)</f>
      </c>
      <c r="AE128" s="0">
        <f>MAX(0,M128-Calculator!$E$22)</f>
      </c>
      <c r="AF128" s="0">
        <f>MAX(0,N128-Calculator!$E$23)</f>
      </c>
      <c r="AG128" s="0">
        <f>MAX(0,O128-Calculator!$E$24)</f>
      </c>
      <c r="AH128" s="0">
        <f>MAX(0,P128-Calculator!$E$25)</f>
      </c>
      <c r="AI128" s="0">
        <f>MAX(0,Q128-Calculator!$E$26)</f>
      </c>
      <c r="AJ128" s="0">
        <f>MAX(0,R128-Calculator!$E$27)</f>
      </c>
      <c r="AK128" s="0">
        <f>MAX(0,S128-Calculator!$E$28)</f>
      </c>
      <c r="AL128" s="0">
        <f>MAX(0,MIN(T128,BX128-SUMPRODUCT(($T$2:$AK$2&lt;T$2)*($T128:$AK128))))</f>
      </c>
      <c r="AM128" s="0">
        <f>MAX(0,MIN(U128,BX128-SUMPRODUCT(($T$2:$AK$2&lt;U$2)*($T128:$AK128))))</f>
      </c>
      <c r="AN128" s="0">
        <f>MAX(0,MIN(V128,BX128-SUMPRODUCT(($T$2:$AK$2&lt;V$2)*($T128:$AK128))))</f>
      </c>
      <c r="AO128" s="0">
        <f>MAX(0,MIN(W128,BX128-SUMPRODUCT(($T$2:$AK$2&lt;W$2)*($T128:$AK128))))</f>
      </c>
      <c r="AP128" s="0">
        <f>MAX(0,MIN(X128,BX128-SUMPRODUCT(($T$2:$AK$2&lt;X$2)*($T128:$AK128))))</f>
      </c>
      <c r="AQ128" s="0">
        <f>MAX(0,MIN(Y128,BX128-SUMPRODUCT(($T$2:$AK$2&lt;Y$2)*($T128:$AK128))))</f>
      </c>
      <c r="AR128" s="0">
        <f>MAX(0,MIN(Z128,BX128-SUMPRODUCT(($T$2:$AK$2&lt;Z$2)*($T128:$AK128))))</f>
      </c>
      <c r="AS128" s="0">
        <f>MAX(0,MIN(AA128,BX128-SUMPRODUCT(($T$2:$AK$2&lt;AA$2)*($T128:$AK128))))</f>
      </c>
      <c r="AT128" s="0">
        <f>MAX(0,MIN(AB128,BX128-SUMPRODUCT(($T$2:$AK$2&lt;AB$2)*($T128:$AK128))))</f>
      </c>
      <c r="AU128" s="0">
        <f>MAX(0,MIN(AC128,BX128-SUMPRODUCT(($T$2:$AK$2&lt;AC$2)*($T128:$AK128))))</f>
      </c>
      <c r="AV128" s="0">
        <f>MAX(0,MIN(AD128,BX128-SUMPRODUCT(($T$2:$AK$2&lt;AD$2)*($T128:$AK128))))</f>
      </c>
      <c r="AW128" s="0">
        <f>MAX(0,MIN(AE128,BX128-SUMPRODUCT(($T$2:$AK$2&lt;AE$2)*($T128:$AK128))))</f>
      </c>
      <c r="AX128" s="0">
        <f>MAX(0,MIN(AF128,BX128-SUMPRODUCT(($T$2:$AK$2&lt;AF$2)*($T128:$AK128))))</f>
      </c>
      <c r="AY128" s="0">
        <f>MAX(0,MIN(AG128,BX128-SUMPRODUCT(($T$2:$AK$2&lt;AG$2)*($T128:$AK128))))</f>
      </c>
      <c r="AZ128" s="0">
        <f>MAX(0,MIN(AH128,BX128-SUMPRODUCT(($T$2:$AK$2&lt;AH$2)*($T128:$AK128))))</f>
      </c>
      <c r="BA128" s="0">
        <f>MAX(0,MIN(AI128,BX128-SUMPRODUCT(($T$2:$AK$2&lt;AI$2)*($T128:$AK128))))</f>
      </c>
      <c r="BB128" s="0">
        <f>MAX(0,MIN(AJ128,BX128-SUMPRODUCT(($T$2:$AK$2&lt;AJ$2)*($T128:$AK128))))</f>
      </c>
      <c r="BC128" s="0">
        <f>MAX(0,MIN(AK128,BX128-SUMPRODUCT(($T$2:$AK$2&lt;AK$2)*($T128:$AK128))))</f>
      </c>
      <c r="BD128" s="0">
        <f>T128-AL128</f>
      </c>
      <c r="BE128" s="0">
        <f>U128-AM128</f>
      </c>
      <c r="BF128" s="0">
        <f>V128-AN128</f>
      </c>
      <c r="BG128" s="0">
        <f>W128-AO128</f>
      </c>
      <c r="BH128" s="0">
        <f>X128-AP128</f>
      </c>
      <c r="BI128" s="0">
        <f>Y128-AQ128</f>
      </c>
      <c r="BJ128" s="0">
        <f>Z128-AR128</f>
      </c>
      <c r="BK128" s="0">
        <f>AA128-AS128</f>
      </c>
      <c r="BL128" s="0">
        <f>AB128-AT128</f>
      </c>
      <c r="BM128" s="0">
        <f>AC128-AU128</f>
      </c>
      <c r="BN128" s="0">
        <f>AD128-AV128</f>
      </c>
      <c r="BO128" s="0">
        <f>AE128-AW128</f>
      </c>
      <c r="BP128" s="0">
        <f>AF128-AX128</f>
      </c>
      <c r="BQ128" s="0">
        <f>AG128-AY128</f>
      </c>
      <c r="BR128" s="0">
        <f>AH128-AZ128</f>
      </c>
      <c r="BS128" s="0">
        <f>AI128-BA128</f>
      </c>
      <c r="BT128" s="0">
        <f>AJ128-BB128</f>
      </c>
      <c r="BU128" s="0">
        <f>AK128-BC128</f>
      </c>
      <c r="BV128" s="0">
        <f>SUM(B128:S128)</f>
      </c>
      <c r="BW128" s="0">
        <f>SUM(T128:AK128)</f>
      </c>
      <c r="BX128" s="0">
        <f>MAX(0,(SUM(Calculator!$E$11:$E$28)+Calculator!$C$6)-BV128+BW128)</f>
      </c>
      <c r="BY128" s="0">
        <f>SUM(BD128:BU128)</f>
      </c>
      <c r="BZ128" s="0">
        <f>BV128-BY127</f>
      </c>
      <c r="CA128" s="0">
        <f>IF(A128&lt;=IF($CD$1=0,999,$CD$1),BY128,NA())</f>
      </c>
      <c r="CB128" s="0">
        <f>IF(A128&lt;=IF($CD$1=0,999,$CD$1),A128,NA())</f>
      </c>
    </row>
    <row r="129">
      <c r="A129" s="0">
        <v>126</v>
      </c>
      <c r="B129" s="0">
        <f>BD128*(1+Calculator!$D$11/100/12)</f>
      </c>
      <c r="C129" s="0">
        <f>BE128*(1+Calculator!$D$12/100/12)</f>
      </c>
      <c r="D129" s="0">
        <f>BF128*(1+Calculator!$D$13/100/12)</f>
      </c>
      <c r="E129" s="0">
        <f>BG128*(1+Calculator!$D$14/100/12)</f>
      </c>
      <c r="F129" s="0">
        <f>BH128*(1+Calculator!$D$15/100/12)</f>
      </c>
      <c r="G129" s="0">
        <f>BI128*(1+Calculator!$D$16/100/12)</f>
      </c>
      <c r="H129" s="0">
        <f>BJ128*(1+Calculator!$D$17/100/12)</f>
      </c>
      <c r="I129" s="0">
        <f>BK128*(1+Calculator!$D$18/100/12)</f>
      </c>
      <c r="J129" s="0">
        <f>BL128*(1+Calculator!$D$19/100/12)</f>
      </c>
      <c r="K129" s="0">
        <f>BM128*(1+Calculator!$D$20/100/12)</f>
      </c>
      <c r="L129" s="0">
        <f>BN128*(1+Calculator!$D$21/100/12)</f>
      </c>
      <c r="M129" s="0">
        <f>BO128*(1+Calculator!$D$22/100/12)</f>
      </c>
      <c r="N129" s="0">
        <f>BP128*(1+Calculator!$D$23/100/12)</f>
      </c>
      <c r="O129" s="0">
        <f>BQ128*(1+Calculator!$D$24/100/12)</f>
      </c>
      <c r="P129" s="0">
        <f>BR128*(1+Calculator!$D$25/100/12)</f>
      </c>
      <c r="Q129" s="0">
        <f>BS128*(1+Calculator!$D$26/100/12)</f>
      </c>
      <c r="R129" s="0">
        <f>BT128*(1+Calculator!$D$27/100/12)</f>
      </c>
      <c r="S129" s="0">
        <f>BU128*(1+Calculator!$D$28/100/12)</f>
      </c>
      <c r="T129" s="0">
        <f>MAX(0,B129-Calculator!$E$11)</f>
      </c>
      <c r="U129" s="0">
        <f>MAX(0,C129-Calculator!$E$12)</f>
      </c>
      <c r="V129" s="0">
        <f>MAX(0,D129-Calculator!$E$13)</f>
      </c>
      <c r="W129" s="0">
        <f>MAX(0,E129-Calculator!$E$14)</f>
      </c>
      <c r="X129" s="0">
        <f>MAX(0,F129-Calculator!$E$15)</f>
      </c>
      <c r="Y129" s="0">
        <f>MAX(0,G129-Calculator!$E$16)</f>
      </c>
      <c r="Z129" s="0">
        <f>MAX(0,H129-Calculator!$E$17)</f>
      </c>
      <c r="AA129" s="0">
        <f>MAX(0,I129-Calculator!$E$18)</f>
      </c>
      <c r="AB129" s="0">
        <f>MAX(0,J129-Calculator!$E$19)</f>
      </c>
      <c r="AC129" s="0">
        <f>MAX(0,K129-Calculator!$E$20)</f>
      </c>
      <c r="AD129" s="0">
        <f>MAX(0,L129-Calculator!$E$21)</f>
      </c>
      <c r="AE129" s="0">
        <f>MAX(0,M129-Calculator!$E$22)</f>
      </c>
      <c r="AF129" s="0">
        <f>MAX(0,N129-Calculator!$E$23)</f>
      </c>
      <c r="AG129" s="0">
        <f>MAX(0,O129-Calculator!$E$24)</f>
      </c>
      <c r="AH129" s="0">
        <f>MAX(0,P129-Calculator!$E$25)</f>
      </c>
      <c r="AI129" s="0">
        <f>MAX(0,Q129-Calculator!$E$26)</f>
      </c>
      <c r="AJ129" s="0">
        <f>MAX(0,R129-Calculator!$E$27)</f>
      </c>
      <c r="AK129" s="0">
        <f>MAX(0,S129-Calculator!$E$28)</f>
      </c>
      <c r="AL129" s="0">
        <f>MAX(0,MIN(T129,BX129-SUMPRODUCT(($T$2:$AK$2&lt;T$2)*($T129:$AK129))))</f>
      </c>
      <c r="AM129" s="0">
        <f>MAX(0,MIN(U129,BX129-SUMPRODUCT(($T$2:$AK$2&lt;U$2)*($T129:$AK129))))</f>
      </c>
      <c r="AN129" s="0">
        <f>MAX(0,MIN(V129,BX129-SUMPRODUCT(($T$2:$AK$2&lt;V$2)*($T129:$AK129))))</f>
      </c>
      <c r="AO129" s="0">
        <f>MAX(0,MIN(W129,BX129-SUMPRODUCT(($T$2:$AK$2&lt;W$2)*($T129:$AK129))))</f>
      </c>
      <c r="AP129" s="0">
        <f>MAX(0,MIN(X129,BX129-SUMPRODUCT(($T$2:$AK$2&lt;X$2)*($T129:$AK129))))</f>
      </c>
      <c r="AQ129" s="0">
        <f>MAX(0,MIN(Y129,BX129-SUMPRODUCT(($T$2:$AK$2&lt;Y$2)*($T129:$AK129))))</f>
      </c>
      <c r="AR129" s="0">
        <f>MAX(0,MIN(Z129,BX129-SUMPRODUCT(($T$2:$AK$2&lt;Z$2)*($T129:$AK129))))</f>
      </c>
      <c r="AS129" s="0">
        <f>MAX(0,MIN(AA129,BX129-SUMPRODUCT(($T$2:$AK$2&lt;AA$2)*($T129:$AK129))))</f>
      </c>
      <c r="AT129" s="0">
        <f>MAX(0,MIN(AB129,BX129-SUMPRODUCT(($T$2:$AK$2&lt;AB$2)*($T129:$AK129))))</f>
      </c>
      <c r="AU129" s="0">
        <f>MAX(0,MIN(AC129,BX129-SUMPRODUCT(($T$2:$AK$2&lt;AC$2)*($T129:$AK129))))</f>
      </c>
      <c r="AV129" s="0">
        <f>MAX(0,MIN(AD129,BX129-SUMPRODUCT(($T$2:$AK$2&lt;AD$2)*($T129:$AK129))))</f>
      </c>
      <c r="AW129" s="0">
        <f>MAX(0,MIN(AE129,BX129-SUMPRODUCT(($T$2:$AK$2&lt;AE$2)*($T129:$AK129))))</f>
      </c>
      <c r="AX129" s="0">
        <f>MAX(0,MIN(AF129,BX129-SUMPRODUCT(($T$2:$AK$2&lt;AF$2)*($T129:$AK129))))</f>
      </c>
      <c r="AY129" s="0">
        <f>MAX(0,MIN(AG129,BX129-SUMPRODUCT(($T$2:$AK$2&lt;AG$2)*($T129:$AK129))))</f>
      </c>
      <c r="AZ129" s="0">
        <f>MAX(0,MIN(AH129,BX129-SUMPRODUCT(($T$2:$AK$2&lt;AH$2)*($T129:$AK129))))</f>
      </c>
      <c r="BA129" s="0">
        <f>MAX(0,MIN(AI129,BX129-SUMPRODUCT(($T$2:$AK$2&lt;AI$2)*($T129:$AK129))))</f>
      </c>
      <c r="BB129" s="0">
        <f>MAX(0,MIN(AJ129,BX129-SUMPRODUCT(($T$2:$AK$2&lt;AJ$2)*($T129:$AK129))))</f>
      </c>
      <c r="BC129" s="0">
        <f>MAX(0,MIN(AK129,BX129-SUMPRODUCT(($T$2:$AK$2&lt;AK$2)*($T129:$AK129))))</f>
      </c>
      <c r="BD129" s="0">
        <f>T129-AL129</f>
      </c>
      <c r="BE129" s="0">
        <f>U129-AM129</f>
      </c>
      <c r="BF129" s="0">
        <f>V129-AN129</f>
      </c>
      <c r="BG129" s="0">
        <f>W129-AO129</f>
      </c>
      <c r="BH129" s="0">
        <f>X129-AP129</f>
      </c>
      <c r="BI129" s="0">
        <f>Y129-AQ129</f>
      </c>
      <c r="BJ129" s="0">
        <f>Z129-AR129</f>
      </c>
      <c r="BK129" s="0">
        <f>AA129-AS129</f>
      </c>
      <c r="BL129" s="0">
        <f>AB129-AT129</f>
      </c>
      <c r="BM129" s="0">
        <f>AC129-AU129</f>
      </c>
      <c r="BN129" s="0">
        <f>AD129-AV129</f>
      </c>
      <c r="BO129" s="0">
        <f>AE129-AW129</f>
      </c>
      <c r="BP129" s="0">
        <f>AF129-AX129</f>
      </c>
      <c r="BQ129" s="0">
        <f>AG129-AY129</f>
      </c>
      <c r="BR129" s="0">
        <f>AH129-AZ129</f>
      </c>
      <c r="BS129" s="0">
        <f>AI129-BA129</f>
      </c>
      <c r="BT129" s="0">
        <f>AJ129-BB129</f>
      </c>
      <c r="BU129" s="0">
        <f>AK129-BC129</f>
      </c>
      <c r="BV129" s="0">
        <f>SUM(B129:S129)</f>
      </c>
      <c r="BW129" s="0">
        <f>SUM(T129:AK129)</f>
      </c>
      <c r="BX129" s="0">
        <f>MAX(0,(SUM(Calculator!$E$11:$E$28)+Calculator!$C$6)-BV129+BW129)</f>
      </c>
      <c r="BY129" s="0">
        <f>SUM(BD129:BU129)</f>
      </c>
      <c r="BZ129" s="0">
        <f>BV129-BY128</f>
      </c>
      <c r="CA129" s="0">
        <f>IF(A129&lt;=IF($CD$1=0,999,$CD$1),BY129,NA())</f>
      </c>
      <c r="CB129" s="0">
        <f>IF(A129&lt;=IF($CD$1=0,999,$CD$1),A129,NA())</f>
      </c>
    </row>
    <row r="130">
      <c r="A130" s="0">
        <v>127</v>
      </c>
      <c r="B130" s="0">
        <f>BD129*(1+Calculator!$D$11/100/12)</f>
      </c>
      <c r="C130" s="0">
        <f>BE129*(1+Calculator!$D$12/100/12)</f>
      </c>
      <c r="D130" s="0">
        <f>BF129*(1+Calculator!$D$13/100/12)</f>
      </c>
      <c r="E130" s="0">
        <f>BG129*(1+Calculator!$D$14/100/12)</f>
      </c>
      <c r="F130" s="0">
        <f>BH129*(1+Calculator!$D$15/100/12)</f>
      </c>
      <c r="G130" s="0">
        <f>BI129*(1+Calculator!$D$16/100/12)</f>
      </c>
      <c r="H130" s="0">
        <f>BJ129*(1+Calculator!$D$17/100/12)</f>
      </c>
      <c r="I130" s="0">
        <f>BK129*(1+Calculator!$D$18/100/12)</f>
      </c>
      <c r="J130" s="0">
        <f>BL129*(1+Calculator!$D$19/100/12)</f>
      </c>
      <c r="K130" s="0">
        <f>BM129*(1+Calculator!$D$20/100/12)</f>
      </c>
      <c r="L130" s="0">
        <f>BN129*(1+Calculator!$D$21/100/12)</f>
      </c>
      <c r="M130" s="0">
        <f>BO129*(1+Calculator!$D$22/100/12)</f>
      </c>
      <c r="N130" s="0">
        <f>BP129*(1+Calculator!$D$23/100/12)</f>
      </c>
      <c r="O130" s="0">
        <f>BQ129*(1+Calculator!$D$24/100/12)</f>
      </c>
      <c r="P130" s="0">
        <f>BR129*(1+Calculator!$D$25/100/12)</f>
      </c>
      <c r="Q130" s="0">
        <f>BS129*(1+Calculator!$D$26/100/12)</f>
      </c>
      <c r="R130" s="0">
        <f>BT129*(1+Calculator!$D$27/100/12)</f>
      </c>
      <c r="S130" s="0">
        <f>BU129*(1+Calculator!$D$28/100/12)</f>
      </c>
      <c r="T130" s="0">
        <f>MAX(0,B130-Calculator!$E$11)</f>
      </c>
      <c r="U130" s="0">
        <f>MAX(0,C130-Calculator!$E$12)</f>
      </c>
      <c r="V130" s="0">
        <f>MAX(0,D130-Calculator!$E$13)</f>
      </c>
      <c r="W130" s="0">
        <f>MAX(0,E130-Calculator!$E$14)</f>
      </c>
      <c r="X130" s="0">
        <f>MAX(0,F130-Calculator!$E$15)</f>
      </c>
      <c r="Y130" s="0">
        <f>MAX(0,G130-Calculator!$E$16)</f>
      </c>
      <c r="Z130" s="0">
        <f>MAX(0,H130-Calculator!$E$17)</f>
      </c>
      <c r="AA130" s="0">
        <f>MAX(0,I130-Calculator!$E$18)</f>
      </c>
      <c r="AB130" s="0">
        <f>MAX(0,J130-Calculator!$E$19)</f>
      </c>
      <c r="AC130" s="0">
        <f>MAX(0,K130-Calculator!$E$20)</f>
      </c>
      <c r="AD130" s="0">
        <f>MAX(0,L130-Calculator!$E$21)</f>
      </c>
      <c r="AE130" s="0">
        <f>MAX(0,M130-Calculator!$E$22)</f>
      </c>
      <c r="AF130" s="0">
        <f>MAX(0,N130-Calculator!$E$23)</f>
      </c>
      <c r="AG130" s="0">
        <f>MAX(0,O130-Calculator!$E$24)</f>
      </c>
      <c r="AH130" s="0">
        <f>MAX(0,P130-Calculator!$E$25)</f>
      </c>
      <c r="AI130" s="0">
        <f>MAX(0,Q130-Calculator!$E$26)</f>
      </c>
      <c r="AJ130" s="0">
        <f>MAX(0,R130-Calculator!$E$27)</f>
      </c>
      <c r="AK130" s="0">
        <f>MAX(0,S130-Calculator!$E$28)</f>
      </c>
      <c r="AL130" s="0">
        <f>MAX(0,MIN(T130,BX130-SUMPRODUCT(($T$2:$AK$2&lt;T$2)*($T130:$AK130))))</f>
      </c>
      <c r="AM130" s="0">
        <f>MAX(0,MIN(U130,BX130-SUMPRODUCT(($T$2:$AK$2&lt;U$2)*($T130:$AK130))))</f>
      </c>
      <c r="AN130" s="0">
        <f>MAX(0,MIN(V130,BX130-SUMPRODUCT(($T$2:$AK$2&lt;V$2)*($T130:$AK130))))</f>
      </c>
      <c r="AO130" s="0">
        <f>MAX(0,MIN(W130,BX130-SUMPRODUCT(($T$2:$AK$2&lt;W$2)*($T130:$AK130))))</f>
      </c>
      <c r="AP130" s="0">
        <f>MAX(0,MIN(X130,BX130-SUMPRODUCT(($T$2:$AK$2&lt;X$2)*($T130:$AK130))))</f>
      </c>
      <c r="AQ130" s="0">
        <f>MAX(0,MIN(Y130,BX130-SUMPRODUCT(($T$2:$AK$2&lt;Y$2)*($T130:$AK130))))</f>
      </c>
      <c r="AR130" s="0">
        <f>MAX(0,MIN(Z130,BX130-SUMPRODUCT(($T$2:$AK$2&lt;Z$2)*($T130:$AK130))))</f>
      </c>
      <c r="AS130" s="0">
        <f>MAX(0,MIN(AA130,BX130-SUMPRODUCT(($T$2:$AK$2&lt;AA$2)*($T130:$AK130))))</f>
      </c>
      <c r="AT130" s="0">
        <f>MAX(0,MIN(AB130,BX130-SUMPRODUCT(($T$2:$AK$2&lt;AB$2)*($T130:$AK130))))</f>
      </c>
      <c r="AU130" s="0">
        <f>MAX(0,MIN(AC130,BX130-SUMPRODUCT(($T$2:$AK$2&lt;AC$2)*($T130:$AK130))))</f>
      </c>
      <c r="AV130" s="0">
        <f>MAX(0,MIN(AD130,BX130-SUMPRODUCT(($T$2:$AK$2&lt;AD$2)*($T130:$AK130))))</f>
      </c>
      <c r="AW130" s="0">
        <f>MAX(0,MIN(AE130,BX130-SUMPRODUCT(($T$2:$AK$2&lt;AE$2)*($T130:$AK130))))</f>
      </c>
      <c r="AX130" s="0">
        <f>MAX(0,MIN(AF130,BX130-SUMPRODUCT(($T$2:$AK$2&lt;AF$2)*($T130:$AK130))))</f>
      </c>
      <c r="AY130" s="0">
        <f>MAX(0,MIN(AG130,BX130-SUMPRODUCT(($T$2:$AK$2&lt;AG$2)*($T130:$AK130))))</f>
      </c>
      <c r="AZ130" s="0">
        <f>MAX(0,MIN(AH130,BX130-SUMPRODUCT(($T$2:$AK$2&lt;AH$2)*($T130:$AK130))))</f>
      </c>
      <c r="BA130" s="0">
        <f>MAX(0,MIN(AI130,BX130-SUMPRODUCT(($T$2:$AK$2&lt;AI$2)*($T130:$AK130))))</f>
      </c>
      <c r="BB130" s="0">
        <f>MAX(0,MIN(AJ130,BX130-SUMPRODUCT(($T$2:$AK$2&lt;AJ$2)*($T130:$AK130))))</f>
      </c>
      <c r="BC130" s="0">
        <f>MAX(0,MIN(AK130,BX130-SUMPRODUCT(($T$2:$AK$2&lt;AK$2)*($T130:$AK130))))</f>
      </c>
      <c r="BD130" s="0">
        <f>T130-AL130</f>
      </c>
      <c r="BE130" s="0">
        <f>U130-AM130</f>
      </c>
      <c r="BF130" s="0">
        <f>V130-AN130</f>
      </c>
      <c r="BG130" s="0">
        <f>W130-AO130</f>
      </c>
      <c r="BH130" s="0">
        <f>X130-AP130</f>
      </c>
      <c r="BI130" s="0">
        <f>Y130-AQ130</f>
      </c>
      <c r="BJ130" s="0">
        <f>Z130-AR130</f>
      </c>
      <c r="BK130" s="0">
        <f>AA130-AS130</f>
      </c>
      <c r="BL130" s="0">
        <f>AB130-AT130</f>
      </c>
      <c r="BM130" s="0">
        <f>AC130-AU130</f>
      </c>
      <c r="BN130" s="0">
        <f>AD130-AV130</f>
      </c>
      <c r="BO130" s="0">
        <f>AE130-AW130</f>
      </c>
      <c r="BP130" s="0">
        <f>AF130-AX130</f>
      </c>
      <c r="BQ130" s="0">
        <f>AG130-AY130</f>
      </c>
      <c r="BR130" s="0">
        <f>AH130-AZ130</f>
      </c>
      <c r="BS130" s="0">
        <f>AI130-BA130</f>
      </c>
      <c r="BT130" s="0">
        <f>AJ130-BB130</f>
      </c>
      <c r="BU130" s="0">
        <f>AK130-BC130</f>
      </c>
      <c r="BV130" s="0">
        <f>SUM(B130:S130)</f>
      </c>
      <c r="BW130" s="0">
        <f>SUM(T130:AK130)</f>
      </c>
      <c r="BX130" s="0">
        <f>MAX(0,(SUM(Calculator!$E$11:$E$28)+Calculator!$C$6)-BV130+BW130)</f>
      </c>
      <c r="BY130" s="0">
        <f>SUM(BD130:BU130)</f>
      </c>
      <c r="BZ130" s="0">
        <f>BV130-BY129</f>
      </c>
      <c r="CA130" s="0">
        <f>IF(A130&lt;=IF($CD$1=0,999,$CD$1),BY130,NA())</f>
      </c>
      <c r="CB130" s="0">
        <f>IF(A130&lt;=IF($CD$1=0,999,$CD$1),A130,NA())</f>
      </c>
    </row>
    <row r="131">
      <c r="A131" s="0">
        <v>128</v>
      </c>
      <c r="B131" s="0">
        <f>BD130*(1+Calculator!$D$11/100/12)</f>
      </c>
      <c r="C131" s="0">
        <f>BE130*(1+Calculator!$D$12/100/12)</f>
      </c>
      <c r="D131" s="0">
        <f>BF130*(1+Calculator!$D$13/100/12)</f>
      </c>
      <c r="E131" s="0">
        <f>BG130*(1+Calculator!$D$14/100/12)</f>
      </c>
      <c r="F131" s="0">
        <f>BH130*(1+Calculator!$D$15/100/12)</f>
      </c>
      <c r="G131" s="0">
        <f>BI130*(1+Calculator!$D$16/100/12)</f>
      </c>
      <c r="H131" s="0">
        <f>BJ130*(1+Calculator!$D$17/100/12)</f>
      </c>
      <c r="I131" s="0">
        <f>BK130*(1+Calculator!$D$18/100/12)</f>
      </c>
      <c r="J131" s="0">
        <f>BL130*(1+Calculator!$D$19/100/12)</f>
      </c>
      <c r="K131" s="0">
        <f>BM130*(1+Calculator!$D$20/100/12)</f>
      </c>
      <c r="L131" s="0">
        <f>BN130*(1+Calculator!$D$21/100/12)</f>
      </c>
      <c r="M131" s="0">
        <f>BO130*(1+Calculator!$D$22/100/12)</f>
      </c>
      <c r="N131" s="0">
        <f>BP130*(1+Calculator!$D$23/100/12)</f>
      </c>
      <c r="O131" s="0">
        <f>BQ130*(1+Calculator!$D$24/100/12)</f>
      </c>
      <c r="P131" s="0">
        <f>BR130*(1+Calculator!$D$25/100/12)</f>
      </c>
      <c r="Q131" s="0">
        <f>BS130*(1+Calculator!$D$26/100/12)</f>
      </c>
      <c r="R131" s="0">
        <f>BT130*(1+Calculator!$D$27/100/12)</f>
      </c>
      <c r="S131" s="0">
        <f>BU130*(1+Calculator!$D$28/100/12)</f>
      </c>
      <c r="T131" s="0">
        <f>MAX(0,B131-Calculator!$E$11)</f>
      </c>
      <c r="U131" s="0">
        <f>MAX(0,C131-Calculator!$E$12)</f>
      </c>
      <c r="V131" s="0">
        <f>MAX(0,D131-Calculator!$E$13)</f>
      </c>
      <c r="W131" s="0">
        <f>MAX(0,E131-Calculator!$E$14)</f>
      </c>
      <c r="X131" s="0">
        <f>MAX(0,F131-Calculator!$E$15)</f>
      </c>
      <c r="Y131" s="0">
        <f>MAX(0,G131-Calculator!$E$16)</f>
      </c>
      <c r="Z131" s="0">
        <f>MAX(0,H131-Calculator!$E$17)</f>
      </c>
      <c r="AA131" s="0">
        <f>MAX(0,I131-Calculator!$E$18)</f>
      </c>
      <c r="AB131" s="0">
        <f>MAX(0,J131-Calculator!$E$19)</f>
      </c>
      <c r="AC131" s="0">
        <f>MAX(0,K131-Calculator!$E$20)</f>
      </c>
      <c r="AD131" s="0">
        <f>MAX(0,L131-Calculator!$E$21)</f>
      </c>
      <c r="AE131" s="0">
        <f>MAX(0,M131-Calculator!$E$22)</f>
      </c>
      <c r="AF131" s="0">
        <f>MAX(0,N131-Calculator!$E$23)</f>
      </c>
      <c r="AG131" s="0">
        <f>MAX(0,O131-Calculator!$E$24)</f>
      </c>
      <c r="AH131" s="0">
        <f>MAX(0,P131-Calculator!$E$25)</f>
      </c>
      <c r="AI131" s="0">
        <f>MAX(0,Q131-Calculator!$E$26)</f>
      </c>
      <c r="AJ131" s="0">
        <f>MAX(0,R131-Calculator!$E$27)</f>
      </c>
      <c r="AK131" s="0">
        <f>MAX(0,S131-Calculator!$E$28)</f>
      </c>
      <c r="AL131" s="0">
        <f>MAX(0,MIN(T131,BX131-SUMPRODUCT(($T$2:$AK$2&lt;T$2)*($T131:$AK131))))</f>
      </c>
      <c r="AM131" s="0">
        <f>MAX(0,MIN(U131,BX131-SUMPRODUCT(($T$2:$AK$2&lt;U$2)*($T131:$AK131))))</f>
      </c>
      <c r="AN131" s="0">
        <f>MAX(0,MIN(V131,BX131-SUMPRODUCT(($T$2:$AK$2&lt;V$2)*($T131:$AK131))))</f>
      </c>
      <c r="AO131" s="0">
        <f>MAX(0,MIN(W131,BX131-SUMPRODUCT(($T$2:$AK$2&lt;W$2)*($T131:$AK131))))</f>
      </c>
      <c r="AP131" s="0">
        <f>MAX(0,MIN(X131,BX131-SUMPRODUCT(($T$2:$AK$2&lt;X$2)*($T131:$AK131))))</f>
      </c>
      <c r="AQ131" s="0">
        <f>MAX(0,MIN(Y131,BX131-SUMPRODUCT(($T$2:$AK$2&lt;Y$2)*($T131:$AK131))))</f>
      </c>
      <c r="AR131" s="0">
        <f>MAX(0,MIN(Z131,BX131-SUMPRODUCT(($T$2:$AK$2&lt;Z$2)*($T131:$AK131))))</f>
      </c>
      <c r="AS131" s="0">
        <f>MAX(0,MIN(AA131,BX131-SUMPRODUCT(($T$2:$AK$2&lt;AA$2)*($T131:$AK131))))</f>
      </c>
      <c r="AT131" s="0">
        <f>MAX(0,MIN(AB131,BX131-SUMPRODUCT(($T$2:$AK$2&lt;AB$2)*($T131:$AK131))))</f>
      </c>
      <c r="AU131" s="0">
        <f>MAX(0,MIN(AC131,BX131-SUMPRODUCT(($T$2:$AK$2&lt;AC$2)*($T131:$AK131))))</f>
      </c>
      <c r="AV131" s="0">
        <f>MAX(0,MIN(AD131,BX131-SUMPRODUCT(($T$2:$AK$2&lt;AD$2)*($T131:$AK131))))</f>
      </c>
      <c r="AW131" s="0">
        <f>MAX(0,MIN(AE131,BX131-SUMPRODUCT(($T$2:$AK$2&lt;AE$2)*($T131:$AK131))))</f>
      </c>
      <c r="AX131" s="0">
        <f>MAX(0,MIN(AF131,BX131-SUMPRODUCT(($T$2:$AK$2&lt;AF$2)*($T131:$AK131))))</f>
      </c>
      <c r="AY131" s="0">
        <f>MAX(0,MIN(AG131,BX131-SUMPRODUCT(($T$2:$AK$2&lt;AG$2)*($T131:$AK131))))</f>
      </c>
      <c r="AZ131" s="0">
        <f>MAX(0,MIN(AH131,BX131-SUMPRODUCT(($T$2:$AK$2&lt;AH$2)*($T131:$AK131))))</f>
      </c>
      <c r="BA131" s="0">
        <f>MAX(0,MIN(AI131,BX131-SUMPRODUCT(($T$2:$AK$2&lt;AI$2)*($T131:$AK131))))</f>
      </c>
      <c r="BB131" s="0">
        <f>MAX(0,MIN(AJ131,BX131-SUMPRODUCT(($T$2:$AK$2&lt;AJ$2)*($T131:$AK131))))</f>
      </c>
      <c r="BC131" s="0">
        <f>MAX(0,MIN(AK131,BX131-SUMPRODUCT(($T$2:$AK$2&lt;AK$2)*($T131:$AK131))))</f>
      </c>
      <c r="BD131" s="0">
        <f>T131-AL131</f>
      </c>
      <c r="BE131" s="0">
        <f>U131-AM131</f>
      </c>
      <c r="BF131" s="0">
        <f>V131-AN131</f>
      </c>
      <c r="BG131" s="0">
        <f>W131-AO131</f>
      </c>
      <c r="BH131" s="0">
        <f>X131-AP131</f>
      </c>
      <c r="BI131" s="0">
        <f>Y131-AQ131</f>
      </c>
      <c r="BJ131" s="0">
        <f>Z131-AR131</f>
      </c>
      <c r="BK131" s="0">
        <f>AA131-AS131</f>
      </c>
      <c r="BL131" s="0">
        <f>AB131-AT131</f>
      </c>
      <c r="BM131" s="0">
        <f>AC131-AU131</f>
      </c>
      <c r="BN131" s="0">
        <f>AD131-AV131</f>
      </c>
      <c r="BO131" s="0">
        <f>AE131-AW131</f>
      </c>
      <c r="BP131" s="0">
        <f>AF131-AX131</f>
      </c>
      <c r="BQ131" s="0">
        <f>AG131-AY131</f>
      </c>
      <c r="BR131" s="0">
        <f>AH131-AZ131</f>
      </c>
      <c r="BS131" s="0">
        <f>AI131-BA131</f>
      </c>
      <c r="BT131" s="0">
        <f>AJ131-BB131</f>
      </c>
      <c r="BU131" s="0">
        <f>AK131-BC131</f>
      </c>
      <c r="BV131" s="0">
        <f>SUM(B131:S131)</f>
      </c>
      <c r="BW131" s="0">
        <f>SUM(T131:AK131)</f>
      </c>
      <c r="BX131" s="0">
        <f>MAX(0,(SUM(Calculator!$E$11:$E$28)+Calculator!$C$6)-BV131+BW131)</f>
      </c>
      <c r="BY131" s="0">
        <f>SUM(BD131:BU131)</f>
      </c>
      <c r="BZ131" s="0">
        <f>BV131-BY130</f>
      </c>
      <c r="CA131" s="0">
        <f>IF(A131&lt;=IF($CD$1=0,999,$CD$1),BY131,NA())</f>
      </c>
      <c r="CB131" s="0">
        <f>IF(A131&lt;=IF($CD$1=0,999,$CD$1),A131,NA())</f>
      </c>
    </row>
    <row r="132">
      <c r="A132" s="0">
        <v>129</v>
      </c>
      <c r="B132" s="0">
        <f>BD131*(1+Calculator!$D$11/100/12)</f>
      </c>
      <c r="C132" s="0">
        <f>BE131*(1+Calculator!$D$12/100/12)</f>
      </c>
      <c r="D132" s="0">
        <f>BF131*(1+Calculator!$D$13/100/12)</f>
      </c>
      <c r="E132" s="0">
        <f>BG131*(1+Calculator!$D$14/100/12)</f>
      </c>
      <c r="F132" s="0">
        <f>BH131*(1+Calculator!$D$15/100/12)</f>
      </c>
      <c r="G132" s="0">
        <f>BI131*(1+Calculator!$D$16/100/12)</f>
      </c>
      <c r="H132" s="0">
        <f>BJ131*(1+Calculator!$D$17/100/12)</f>
      </c>
      <c r="I132" s="0">
        <f>BK131*(1+Calculator!$D$18/100/12)</f>
      </c>
      <c r="J132" s="0">
        <f>BL131*(1+Calculator!$D$19/100/12)</f>
      </c>
      <c r="K132" s="0">
        <f>BM131*(1+Calculator!$D$20/100/12)</f>
      </c>
      <c r="L132" s="0">
        <f>BN131*(1+Calculator!$D$21/100/12)</f>
      </c>
      <c r="M132" s="0">
        <f>BO131*(1+Calculator!$D$22/100/12)</f>
      </c>
      <c r="N132" s="0">
        <f>BP131*(1+Calculator!$D$23/100/12)</f>
      </c>
      <c r="O132" s="0">
        <f>BQ131*(1+Calculator!$D$24/100/12)</f>
      </c>
      <c r="P132" s="0">
        <f>BR131*(1+Calculator!$D$25/100/12)</f>
      </c>
      <c r="Q132" s="0">
        <f>BS131*(1+Calculator!$D$26/100/12)</f>
      </c>
      <c r="R132" s="0">
        <f>BT131*(1+Calculator!$D$27/100/12)</f>
      </c>
      <c r="S132" s="0">
        <f>BU131*(1+Calculator!$D$28/100/12)</f>
      </c>
      <c r="T132" s="0">
        <f>MAX(0,B132-Calculator!$E$11)</f>
      </c>
      <c r="U132" s="0">
        <f>MAX(0,C132-Calculator!$E$12)</f>
      </c>
      <c r="V132" s="0">
        <f>MAX(0,D132-Calculator!$E$13)</f>
      </c>
      <c r="W132" s="0">
        <f>MAX(0,E132-Calculator!$E$14)</f>
      </c>
      <c r="X132" s="0">
        <f>MAX(0,F132-Calculator!$E$15)</f>
      </c>
      <c r="Y132" s="0">
        <f>MAX(0,G132-Calculator!$E$16)</f>
      </c>
      <c r="Z132" s="0">
        <f>MAX(0,H132-Calculator!$E$17)</f>
      </c>
      <c r="AA132" s="0">
        <f>MAX(0,I132-Calculator!$E$18)</f>
      </c>
      <c r="AB132" s="0">
        <f>MAX(0,J132-Calculator!$E$19)</f>
      </c>
      <c r="AC132" s="0">
        <f>MAX(0,K132-Calculator!$E$20)</f>
      </c>
      <c r="AD132" s="0">
        <f>MAX(0,L132-Calculator!$E$21)</f>
      </c>
      <c r="AE132" s="0">
        <f>MAX(0,M132-Calculator!$E$22)</f>
      </c>
      <c r="AF132" s="0">
        <f>MAX(0,N132-Calculator!$E$23)</f>
      </c>
      <c r="AG132" s="0">
        <f>MAX(0,O132-Calculator!$E$24)</f>
      </c>
      <c r="AH132" s="0">
        <f>MAX(0,P132-Calculator!$E$25)</f>
      </c>
      <c r="AI132" s="0">
        <f>MAX(0,Q132-Calculator!$E$26)</f>
      </c>
      <c r="AJ132" s="0">
        <f>MAX(0,R132-Calculator!$E$27)</f>
      </c>
      <c r="AK132" s="0">
        <f>MAX(0,S132-Calculator!$E$28)</f>
      </c>
      <c r="AL132" s="0">
        <f>MAX(0,MIN(T132,BX132-SUMPRODUCT(($T$2:$AK$2&lt;T$2)*($T132:$AK132))))</f>
      </c>
      <c r="AM132" s="0">
        <f>MAX(0,MIN(U132,BX132-SUMPRODUCT(($T$2:$AK$2&lt;U$2)*($T132:$AK132))))</f>
      </c>
      <c r="AN132" s="0">
        <f>MAX(0,MIN(V132,BX132-SUMPRODUCT(($T$2:$AK$2&lt;V$2)*($T132:$AK132))))</f>
      </c>
      <c r="AO132" s="0">
        <f>MAX(0,MIN(W132,BX132-SUMPRODUCT(($T$2:$AK$2&lt;W$2)*($T132:$AK132))))</f>
      </c>
      <c r="AP132" s="0">
        <f>MAX(0,MIN(X132,BX132-SUMPRODUCT(($T$2:$AK$2&lt;X$2)*($T132:$AK132))))</f>
      </c>
      <c r="AQ132" s="0">
        <f>MAX(0,MIN(Y132,BX132-SUMPRODUCT(($T$2:$AK$2&lt;Y$2)*($T132:$AK132))))</f>
      </c>
      <c r="AR132" s="0">
        <f>MAX(0,MIN(Z132,BX132-SUMPRODUCT(($T$2:$AK$2&lt;Z$2)*($T132:$AK132))))</f>
      </c>
      <c r="AS132" s="0">
        <f>MAX(0,MIN(AA132,BX132-SUMPRODUCT(($T$2:$AK$2&lt;AA$2)*($T132:$AK132))))</f>
      </c>
      <c r="AT132" s="0">
        <f>MAX(0,MIN(AB132,BX132-SUMPRODUCT(($T$2:$AK$2&lt;AB$2)*($T132:$AK132))))</f>
      </c>
      <c r="AU132" s="0">
        <f>MAX(0,MIN(AC132,BX132-SUMPRODUCT(($T$2:$AK$2&lt;AC$2)*($T132:$AK132))))</f>
      </c>
      <c r="AV132" s="0">
        <f>MAX(0,MIN(AD132,BX132-SUMPRODUCT(($T$2:$AK$2&lt;AD$2)*($T132:$AK132))))</f>
      </c>
      <c r="AW132" s="0">
        <f>MAX(0,MIN(AE132,BX132-SUMPRODUCT(($T$2:$AK$2&lt;AE$2)*($T132:$AK132))))</f>
      </c>
      <c r="AX132" s="0">
        <f>MAX(0,MIN(AF132,BX132-SUMPRODUCT(($T$2:$AK$2&lt;AF$2)*($T132:$AK132))))</f>
      </c>
      <c r="AY132" s="0">
        <f>MAX(0,MIN(AG132,BX132-SUMPRODUCT(($T$2:$AK$2&lt;AG$2)*($T132:$AK132))))</f>
      </c>
      <c r="AZ132" s="0">
        <f>MAX(0,MIN(AH132,BX132-SUMPRODUCT(($T$2:$AK$2&lt;AH$2)*($T132:$AK132))))</f>
      </c>
      <c r="BA132" s="0">
        <f>MAX(0,MIN(AI132,BX132-SUMPRODUCT(($T$2:$AK$2&lt;AI$2)*($T132:$AK132))))</f>
      </c>
      <c r="BB132" s="0">
        <f>MAX(0,MIN(AJ132,BX132-SUMPRODUCT(($T$2:$AK$2&lt;AJ$2)*($T132:$AK132))))</f>
      </c>
      <c r="BC132" s="0">
        <f>MAX(0,MIN(AK132,BX132-SUMPRODUCT(($T$2:$AK$2&lt;AK$2)*($T132:$AK132))))</f>
      </c>
      <c r="BD132" s="0">
        <f>T132-AL132</f>
      </c>
      <c r="BE132" s="0">
        <f>U132-AM132</f>
      </c>
      <c r="BF132" s="0">
        <f>V132-AN132</f>
      </c>
      <c r="BG132" s="0">
        <f>W132-AO132</f>
      </c>
      <c r="BH132" s="0">
        <f>X132-AP132</f>
      </c>
      <c r="BI132" s="0">
        <f>Y132-AQ132</f>
      </c>
      <c r="BJ132" s="0">
        <f>Z132-AR132</f>
      </c>
      <c r="BK132" s="0">
        <f>AA132-AS132</f>
      </c>
      <c r="BL132" s="0">
        <f>AB132-AT132</f>
      </c>
      <c r="BM132" s="0">
        <f>AC132-AU132</f>
      </c>
      <c r="BN132" s="0">
        <f>AD132-AV132</f>
      </c>
      <c r="BO132" s="0">
        <f>AE132-AW132</f>
      </c>
      <c r="BP132" s="0">
        <f>AF132-AX132</f>
      </c>
      <c r="BQ132" s="0">
        <f>AG132-AY132</f>
      </c>
      <c r="BR132" s="0">
        <f>AH132-AZ132</f>
      </c>
      <c r="BS132" s="0">
        <f>AI132-BA132</f>
      </c>
      <c r="BT132" s="0">
        <f>AJ132-BB132</f>
      </c>
      <c r="BU132" s="0">
        <f>AK132-BC132</f>
      </c>
      <c r="BV132" s="0">
        <f>SUM(B132:S132)</f>
      </c>
      <c r="BW132" s="0">
        <f>SUM(T132:AK132)</f>
      </c>
      <c r="BX132" s="0">
        <f>MAX(0,(SUM(Calculator!$E$11:$E$28)+Calculator!$C$6)-BV132+BW132)</f>
      </c>
      <c r="BY132" s="0">
        <f>SUM(BD132:BU132)</f>
      </c>
      <c r="BZ132" s="0">
        <f>BV132-BY131</f>
      </c>
      <c r="CA132" s="0">
        <f>IF(A132&lt;=IF($CD$1=0,999,$CD$1),BY132,NA())</f>
      </c>
      <c r="CB132" s="0">
        <f>IF(A132&lt;=IF($CD$1=0,999,$CD$1),A132,NA())</f>
      </c>
    </row>
    <row r="133">
      <c r="A133" s="0">
        <v>130</v>
      </c>
      <c r="B133" s="0">
        <f>BD132*(1+Calculator!$D$11/100/12)</f>
      </c>
      <c r="C133" s="0">
        <f>BE132*(1+Calculator!$D$12/100/12)</f>
      </c>
      <c r="D133" s="0">
        <f>BF132*(1+Calculator!$D$13/100/12)</f>
      </c>
      <c r="E133" s="0">
        <f>BG132*(1+Calculator!$D$14/100/12)</f>
      </c>
      <c r="F133" s="0">
        <f>BH132*(1+Calculator!$D$15/100/12)</f>
      </c>
      <c r="G133" s="0">
        <f>BI132*(1+Calculator!$D$16/100/12)</f>
      </c>
      <c r="H133" s="0">
        <f>BJ132*(1+Calculator!$D$17/100/12)</f>
      </c>
      <c r="I133" s="0">
        <f>BK132*(1+Calculator!$D$18/100/12)</f>
      </c>
      <c r="J133" s="0">
        <f>BL132*(1+Calculator!$D$19/100/12)</f>
      </c>
      <c r="K133" s="0">
        <f>BM132*(1+Calculator!$D$20/100/12)</f>
      </c>
      <c r="L133" s="0">
        <f>BN132*(1+Calculator!$D$21/100/12)</f>
      </c>
      <c r="M133" s="0">
        <f>BO132*(1+Calculator!$D$22/100/12)</f>
      </c>
      <c r="N133" s="0">
        <f>BP132*(1+Calculator!$D$23/100/12)</f>
      </c>
      <c r="O133" s="0">
        <f>BQ132*(1+Calculator!$D$24/100/12)</f>
      </c>
      <c r="P133" s="0">
        <f>BR132*(1+Calculator!$D$25/100/12)</f>
      </c>
      <c r="Q133" s="0">
        <f>BS132*(1+Calculator!$D$26/100/12)</f>
      </c>
      <c r="R133" s="0">
        <f>BT132*(1+Calculator!$D$27/100/12)</f>
      </c>
      <c r="S133" s="0">
        <f>BU132*(1+Calculator!$D$28/100/12)</f>
      </c>
      <c r="T133" s="0">
        <f>MAX(0,B133-Calculator!$E$11)</f>
      </c>
      <c r="U133" s="0">
        <f>MAX(0,C133-Calculator!$E$12)</f>
      </c>
      <c r="V133" s="0">
        <f>MAX(0,D133-Calculator!$E$13)</f>
      </c>
      <c r="W133" s="0">
        <f>MAX(0,E133-Calculator!$E$14)</f>
      </c>
      <c r="X133" s="0">
        <f>MAX(0,F133-Calculator!$E$15)</f>
      </c>
      <c r="Y133" s="0">
        <f>MAX(0,G133-Calculator!$E$16)</f>
      </c>
      <c r="Z133" s="0">
        <f>MAX(0,H133-Calculator!$E$17)</f>
      </c>
      <c r="AA133" s="0">
        <f>MAX(0,I133-Calculator!$E$18)</f>
      </c>
      <c r="AB133" s="0">
        <f>MAX(0,J133-Calculator!$E$19)</f>
      </c>
      <c r="AC133" s="0">
        <f>MAX(0,K133-Calculator!$E$20)</f>
      </c>
      <c r="AD133" s="0">
        <f>MAX(0,L133-Calculator!$E$21)</f>
      </c>
      <c r="AE133" s="0">
        <f>MAX(0,M133-Calculator!$E$22)</f>
      </c>
      <c r="AF133" s="0">
        <f>MAX(0,N133-Calculator!$E$23)</f>
      </c>
      <c r="AG133" s="0">
        <f>MAX(0,O133-Calculator!$E$24)</f>
      </c>
      <c r="AH133" s="0">
        <f>MAX(0,P133-Calculator!$E$25)</f>
      </c>
      <c r="AI133" s="0">
        <f>MAX(0,Q133-Calculator!$E$26)</f>
      </c>
      <c r="AJ133" s="0">
        <f>MAX(0,R133-Calculator!$E$27)</f>
      </c>
      <c r="AK133" s="0">
        <f>MAX(0,S133-Calculator!$E$28)</f>
      </c>
      <c r="AL133" s="0">
        <f>MAX(0,MIN(T133,BX133-SUMPRODUCT(($T$2:$AK$2&lt;T$2)*($T133:$AK133))))</f>
      </c>
      <c r="AM133" s="0">
        <f>MAX(0,MIN(U133,BX133-SUMPRODUCT(($T$2:$AK$2&lt;U$2)*($T133:$AK133))))</f>
      </c>
      <c r="AN133" s="0">
        <f>MAX(0,MIN(V133,BX133-SUMPRODUCT(($T$2:$AK$2&lt;V$2)*($T133:$AK133))))</f>
      </c>
      <c r="AO133" s="0">
        <f>MAX(0,MIN(W133,BX133-SUMPRODUCT(($T$2:$AK$2&lt;W$2)*($T133:$AK133))))</f>
      </c>
      <c r="AP133" s="0">
        <f>MAX(0,MIN(X133,BX133-SUMPRODUCT(($T$2:$AK$2&lt;X$2)*($T133:$AK133))))</f>
      </c>
      <c r="AQ133" s="0">
        <f>MAX(0,MIN(Y133,BX133-SUMPRODUCT(($T$2:$AK$2&lt;Y$2)*($T133:$AK133))))</f>
      </c>
      <c r="AR133" s="0">
        <f>MAX(0,MIN(Z133,BX133-SUMPRODUCT(($T$2:$AK$2&lt;Z$2)*($T133:$AK133))))</f>
      </c>
      <c r="AS133" s="0">
        <f>MAX(0,MIN(AA133,BX133-SUMPRODUCT(($T$2:$AK$2&lt;AA$2)*($T133:$AK133))))</f>
      </c>
      <c r="AT133" s="0">
        <f>MAX(0,MIN(AB133,BX133-SUMPRODUCT(($T$2:$AK$2&lt;AB$2)*($T133:$AK133))))</f>
      </c>
      <c r="AU133" s="0">
        <f>MAX(0,MIN(AC133,BX133-SUMPRODUCT(($T$2:$AK$2&lt;AC$2)*($T133:$AK133))))</f>
      </c>
      <c r="AV133" s="0">
        <f>MAX(0,MIN(AD133,BX133-SUMPRODUCT(($T$2:$AK$2&lt;AD$2)*($T133:$AK133))))</f>
      </c>
      <c r="AW133" s="0">
        <f>MAX(0,MIN(AE133,BX133-SUMPRODUCT(($T$2:$AK$2&lt;AE$2)*($T133:$AK133))))</f>
      </c>
      <c r="AX133" s="0">
        <f>MAX(0,MIN(AF133,BX133-SUMPRODUCT(($T$2:$AK$2&lt;AF$2)*($T133:$AK133))))</f>
      </c>
      <c r="AY133" s="0">
        <f>MAX(0,MIN(AG133,BX133-SUMPRODUCT(($T$2:$AK$2&lt;AG$2)*($T133:$AK133))))</f>
      </c>
      <c r="AZ133" s="0">
        <f>MAX(0,MIN(AH133,BX133-SUMPRODUCT(($T$2:$AK$2&lt;AH$2)*($T133:$AK133))))</f>
      </c>
      <c r="BA133" s="0">
        <f>MAX(0,MIN(AI133,BX133-SUMPRODUCT(($T$2:$AK$2&lt;AI$2)*($T133:$AK133))))</f>
      </c>
      <c r="BB133" s="0">
        <f>MAX(0,MIN(AJ133,BX133-SUMPRODUCT(($T$2:$AK$2&lt;AJ$2)*($T133:$AK133))))</f>
      </c>
      <c r="BC133" s="0">
        <f>MAX(0,MIN(AK133,BX133-SUMPRODUCT(($T$2:$AK$2&lt;AK$2)*($T133:$AK133))))</f>
      </c>
      <c r="BD133" s="0">
        <f>T133-AL133</f>
      </c>
      <c r="BE133" s="0">
        <f>U133-AM133</f>
      </c>
      <c r="BF133" s="0">
        <f>V133-AN133</f>
      </c>
      <c r="BG133" s="0">
        <f>W133-AO133</f>
      </c>
      <c r="BH133" s="0">
        <f>X133-AP133</f>
      </c>
      <c r="BI133" s="0">
        <f>Y133-AQ133</f>
      </c>
      <c r="BJ133" s="0">
        <f>Z133-AR133</f>
      </c>
      <c r="BK133" s="0">
        <f>AA133-AS133</f>
      </c>
      <c r="BL133" s="0">
        <f>AB133-AT133</f>
      </c>
      <c r="BM133" s="0">
        <f>AC133-AU133</f>
      </c>
      <c r="BN133" s="0">
        <f>AD133-AV133</f>
      </c>
      <c r="BO133" s="0">
        <f>AE133-AW133</f>
      </c>
      <c r="BP133" s="0">
        <f>AF133-AX133</f>
      </c>
      <c r="BQ133" s="0">
        <f>AG133-AY133</f>
      </c>
      <c r="BR133" s="0">
        <f>AH133-AZ133</f>
      </c>
      <c r="BS133" s="0">
        <f>AI133-BA133</f>
      </c>
      <c r="BT133" s="0">
        <f>AJ133-BB133</f>
      </c>
      <c r="BU133" s="0">
        <f>AK133-BC133</f>
      </c>
      <c r="BV133" s="0">
        <f>SUM(B133:S133)</f>
      </c>
      <c r="BW133" s="0">
        <f>SUM(T133:AK133)</f>
      </c>
      <c r="BX133" s="0">
        <f>MAX(0,(SUM(Calculator!$E$11:$E$28)+Calculator!$C$6)-BV133+BW133)</f>
      </c>
      <c r="BY133" s="0">
        <f>SUM(BD133:BU133)</f>
      </c>
      <c r="BZ133" s="0">
        <f>BV133-BY132</f>
      </c>
      <c r="CA133" s="0">
        <f>IF(A133&lt;=IF($CD$1=0,999,$CD$1),BY133,NA())</f>
      </c>
      <c r="CB133" s="0">
        <f>IF(A133&lt;=IF($CD$1=0,999,$CD$1),A133,NA())</f>
      </c>
    </row>
    <row r="134">
      <c r="A134" s="0">
        <v>131</v>
      </c>
      <c r="B134" s="0">
        <f>BD133*(1+Calculator!$D$11/100/12)</f>
      </c>
      <c r="C134" s="0">
        <f>BE133*(1+Calculator!$D$12/100/12)</f>
      </c>
      <c r="D134" s="0">
        <f>BF133*(1+Calculator!$D$13/100/12)</f>
      </c>
      <c r="E134" s="0">
        <f>BG133*(1+Calculator!$D$14/100/12)</f>
      </c>
      <c r="F134" s="0">
        <f>BH133*(1+Calculator!$D$15/100/12)</f>
      </c>
      <c r="G134" s="0">
        <f>BI133*(1+Calculator!$D$16/100/12)</f>
      </c>
      <c r="H134" s="0">
        <f>BJ133*(1+Calculator!$D$17/100/12)</f>
      </c>
      <c r="I134" s="0">
        <f>BK133*(1+Calculator!$D$18/100/12)</f>
      </c>
      <c r="J134" s="0">
        <f>BL133*(1+Calculator!$D$19/100/12)</f>
      </c>
      <c r="K134" s="0">
        <f>BM133*(1+Calculator!$D$20/100/12)</f>
      </c>
      <c r="L134" s="0">
        <f>BN133*(1+Calculator!$D$21/100/12)</f>
      </c>
      <c r="M134" s="0">
        <f>BO133*(1+Calculator!$D$22/100/12)</f>
      </c>
      <c r="N134" s="0">
        <f>BP133*(1+Calculator!$D$23/100/12)</f>
      </c>
      <c r="O134" s="0">
        <f>BQ133*(1+Calculator!$D$24/100/12)</f>
      </c>
      <c r="P134" s="0">
        <f>BR133*(1+Calculator!$D$25/100/12)</f>
      </c>
      <c r="Q134" s="0">
        <f>BS133*(1+Calculator!$D$26/100/12)</f>
      </c>
      <c r="R134" s="0">
        <f>BT133*(1+Calculator!$D$27/100/12)</f>
      </c>
      <c r="S134" s="0">
        <f>BU133*(1+Calculator!$D$28/100/12)</f>
      </c>
      <c r="T134" s="0">
        <f>MAX(0,B134-Calculator!$E$11)</f>
      </c>
      <c r="U134" s="0">
        <f>MAX(0,C134-Calculator!$E$12)</f>
      </c>
      <c r="V134" s="0">
        <f>MAX(0,D134-Calculator!$E$13)</f>
      </c>
      <c r="W134" s="0">
        <f>MAX(0,E134-Calculator!$E$14)</f>
      </c>
      <c r="X134" s="0">
        <f>MAX(0,F134-Calculator!$E$15)</f>
      </c>
      <c r="Y134" s="0">
        <f>MAX(0,G134-Calculator!$E$16)</f>
      </c>
      <c r="Z134" s="0">
        <f>MAX(0,H134-Calculator!$E$17)</f>
      </c>
      <c r="AA134" s="0">
        <f>MAX(0,I134-Calculator!$E$18)</f>
      </c>
      <c r="AB134" s="0">
        <f>MAX(0,J134-Calculator!$E$19)</f>
      </c>
      <c r="AC134" s="0">
        <f>MAX(0,K134-Calculator!$E$20)</f>
      </c>
      <c r="AD134" s="0">
        <f>MAX(0,L134-Calculator!$E$21)</f>
      </c>
      <c r="AE134" s="0">
        <f>MAX(0,M134-Calculator!$E$22)</f>
      </c>
      <c r="AF134" s="0">
        <f>MAX(0,N134-Calculator!$E$23)</f>
      </c>
      <c r="AG134" s="0">
        <f>MAX(0,O134-Calculator!$E$24)</f>
      </c>
      <c r="AH134" s="0">
        <f>MAX(0,P134-Calculator!$E$25)</f>
      </c>
      <c r="AI134" s="0">
        <f>MAX(0,Q134-Calculator!$E$26)</f>
      </c>
      <c r="AJ134" s="0">
        <f>MAX(0,R134-Calculator!$E$27)</f>
      </c>
      <c r="AK134" s="0">
        <f>MAX(0,S134-Calculator!$E$28)</f>
      </c>
      <c r="AL134" s="0">
        <f>MAX(0,MIN(T134,BX134-SUMPRODUCT(($T$2:$AK$2&lt;T$2)*($T134:$AK134))))</f>
      </c>
      <c r="AM134" s="0">
        <f>MAX(0,MIN(U134,BX134-SUMPRODUCT(($T$2:$AK$2&lt;U$2)*($T134:$AK134))))</f>
      </c>
      <c r="AN134" s="0">
        <f>MAX(0,MIN(V134,BX134-SUMPRODUCT(($T$2:$AK$2&lt;V$2)*($T134:$AK134))))</f>
      </c>
      <c r="AO134" s="0">
        <f>MAX(0,MIN(W134,BX134-SUMPRODUCT(($T$2:$AK$2&lt;W$2)*($T134:$AK134))))</f>
      </c>
      <c r="AP134" s="0">
        <f>MAX(0,MIN(X134,BX134-SUMPRODUCT(($T$2:$AK$2&lt;X$2)*($T134:$AK134))))</f>
      </c>
      <c r="AQ134" s="0">
        <f>MAX(0,MIN(Y134,BX134-SUMPRODUCT(($T$2:$AK$2&lt;Y$2)*($T134:$AK134))))</f>
      </c>
      <c r="AR134" s="0">
        <f>MAX(0,MIN(Z134,BX134-SUMPRODUCT(($T$2:$AK$2&lt;Z$2)*($T134:$AK134))))</f>
      </c>
      <c r="AS134" s="0">
        <f>MAX(0,MIN(AA134,BX134-SUMPRODUCT(($T$2:$AK$2&lt;AA$2)*($T134:$AK134))))</f>
      </c>
      <c r="AT134" s="0">
        <f>MAX(0,MIN(AB134,BX134-SUMPRODUCT(($T$2:$AK$2&lt;AB$2)*($T134:$AK134))))</f>
      </c>
      <c r="AU134" s="0">
        <f>MAX(0,MIN(AC134,BX134-SUMPRODUCT(($T$2:$AK$2&lt;AC$2)*($T134:$AK134))))</f>
      </c>
      <c r="AV134" s="0">
        <f>MAX(0,MIN(AD134,BX134-SUMPRODUCT(($T$2:$AK$2&lt;AD$2)*($T134:$AK134))))</f>
      </c>
      <c r="AW134" s="0">
        <f>MAX(0,MIN(AE134,BX134-SUMPRODUCT(($T$2:$AK$2&lt;AE$2)*($T134:$AK134))))</f>
      </c>
      <c r="AX134" s="0">
        <f>MAX(0,MIN(AF134,BX134-SUMPRODUCT(($T$2:$AK$2&lt;AF$2)*($T134:$AK134))))</f>
      </c>
      <c r="AY134" s="0">
        <f>MAX(0,MIN(AG134,BX134-SUMPRODUCT(($T$2:$AK$2&lt;AG$2)*($T134:$AK134))))</f>
      </c>
      <c r="AZ134" s="0">
        <f>MAX(0,MIN(AH134,BX134-SUMPRODUCT(($T$2:$AK$2&lt;AH$2)*($T134:$AK134))))</f>
      </c>
      <c r="BA134" s="0">
        <f>MAX(0,MIN(AI134,BX134-SUMPRODUCT(($T$2:$AK$2&lt;AI$2)*($T134:$AK134))))</f>
      </c>
      <c r="BB134" s="0">
        <f>MAX(0,MIN(AJ134,BX134-SUMPRODUCT(($T$2:$AK$2&lt;AJ$2)*($T134:$AK134))))</f>
      </c>
      <c r="BC134" s="0">
        <f>MAX(0,MIN(AK134,BX134-SUMPRODUCT(($T$2:$AK$2&lt;AK$2)*($T134:$AK134))))</f>
      </c>
      <c r="BD134" s="0">
        <f>T134-AL134</f>
      </c>
      <c r="BE134" s="0">
        <f>U134-AM134</f>
      </c>
      <c r="BF134" s="0">
        <f>V134-AN134</f>
      </c>
      <c r="BG134" s="0">
        <f>W134-AO134</f>
      </c>
      <c r="BH134" s="0">
        <f>X134-AP134</f>
      </c>
      <c r="BI134" s="0">
        <f>Y134-AQ134</f>
      </c>
      <c r="BJ134" s="0">
        <f>Z134-AR134</f>
      </c>
      <c r="BK134" s="0">
        <f>AA134-AS134</f>
      </c>
      <c r="BL134" s="0">
        <f>AB134-AT134</f>
      </c>
      <c r="BM134" s="0">
        <f>AC134-AU134</f>
      </c>
      <c r="BN134" s="0">
        <f>AD134-AV134</f>
      </c>
      <c r="BO134" s="0">
        <f>AE134-AW134</f>
      </c>
      <c r="BP134" s="0">
        <f>AF134-AX134</f>
      </c>
      <c r="BQ134" s="0">
        <f>AG134-AY134</f>
      </c>
      <c r="BR134" s="0">
        <f>AH134-AZ134</f>
      </c>
      <c r="BS134" s="0">
        <f>AI134-BA134</f>
      </c>
      <c r="BT134" s="0">
        <f>AJ134-BB134</f>
      </c>
      <c r="BU134" s="0">
        <f>AK134-BC134</f>
      </c>
      <c r="BV134" s="0">
        <f>SUM(B134:S134)</f>
      </c>
      <c r="BW134" s="0">
        <f>SUM(T134:AK134)</f>
      </c>
      <c r="BX134" s="0">
        <f>MAX(0,(SUM(Calculator!$E$11:$E$28)+Calculator!$C$6)-BV134+BW134)</f>
      </c>
      <c r="BY134" s="0">
        <f>SUM(BD134:BU134)</f>
      </c>
      <c r="BZ134" s="0">
        <f>BV134-BY133</f>
      </c>
      <c r="CA134" s="0">
        <f>IF(A134&lt;=IF($CD$1=0,999,$CD$1),BY134,NA())</f>
      </c>
      <c r="CB134" s="0">
        <f>IF(A134&lt;=IF($CD$1=0,999,$CD$1),A134,NA())</f>
      </c>
    </row>
    <row r="135">
      <c r="A135" s="0">
        <v>132</v>
      </c>
      <c r="B135" s="0">
        <f>BD134*(1+Calculator!$D$11/100/12)</f>
      </c>
      <c r="C135" s="0">
        <f>BE134*(1+Calculator!$D$12/100/12)</f>
      </c>
      <c r="D135" s="0">
        <f>BF134*(1+Calculator!$D$13/100/12)</f>
      </c>
      <c r="E135" s="0">
        <f>BG134*(1+Calculator!$D$14/100/12)</f>
      </c>
      <c r="F135" s="0">
        <f>BH134*(1+Calculator!$D$15/100/12)</f>
      </c>
      <c r="G135" s="0">
        <f>BI134*(1+Calculator!$D$16/100/12)</f>
      </c>
      <c r="H135" s="0">
        <f>BJ134*(1+Calculator!$D$17/100/12)</f>
      </c>
      <c r="I135" s="0">
        <f>BK134*(1+Calculator!$D$18/100/12)</f>
      </c>
      <c r="J135" s="0">
        <f>BL134*(1+Calculator!$D$19/100/12)</f>
      </c>
      <c r="K135" s="0">
        <f>BM134*(1+Calculator!$D$20/100/12)</f>
      </c>
      <c r="L135" s="0">
        <f>BN134*(1+Calculator!$D$21/100/12)</f>
      </c>
      <c r="M135" s="0">
        <f>BO134*(1+Calculator!$D$22/100/12)</f>
      </c>
      <c r="N135" s="0">
        <f>BP134*(1+Calculator!$D$23/100/12)</f>
      </c>
      <c r="O135" s="0">
        <f>BQ134*(1+Calculator!$D$24/100/12)</f>
      </c>
      <c r="P135" s="0">
        <f>BR134*(1+Calculator!$D$25/100/12)</f>
      </c>
      <c r="Q135" s="0">
        <f>BS134*(1+Calculator!$D$26/100/12)</f>
      </c>
      <c r="R135" s="0">
        <f>BT134*(1+Calculator!$D$27/100/12)</f>
      </c>
      <c r="S135" s="0">
        <f>BU134*(1+Calculator!$D$28/100/12)</f>
      </c>
      <c r="T135" s="0">
        <f>MAX(0,B135-Calculator!$E$11)</f>
      </c>
      <c r="U135" s="0">
        <f>MAX(0,C135-Calculator!$E$12)</f>
      </c>
      <c r="V135" s="0">
        <f>MAX(0,D135-Calculator!$E$13)</f>
      </c>
      <c r="W135" s="0">
        <f>MAX(0,E135-Calculator!$E$14)</f>
      </c>
      <c r="X135" s="0">
        <f>MAX(0,F135-Calculator!$E$15)</f>
      </c>
      <c r="Y135" s="0">
        <f>MAX(0,G135-Calculator!$E$16)</f>
      </c>
      <c r="Z135" s="0">
        <f>MAX(0,H135-Calculator!$E$17)</f>
      </c>
      <c r="AA135" s="0">
        <f>MAX(0,I135-Calculator!$E$18)</f>
      </c>
      <c r="AB135" s="0">
        <f>MAX(0,J135-Calculator!$E$19)</f>
      </c>
      <c r="AC135" s="0">
        <f>MAX(0,K135-Calculator!$E$20)</f>
      </c>
      <c r="AD135" s="0">
        <f>MAX(0,L135-Calculator!$E$21)</f>
      </c>
      <c r="AE135" s="0">
        <f>MAX(0,M135-Calculator!$E$22)</f>
      </c>
      <c r="AF135" s="0">
        <f>MAX(0,N135-Calculator!$E$23)</f>
      </c>
      <c r="AG135" s="0">
        <f>MAX(0,O135-Calculator!$E$24)</f>
      </c>
      <c r="AH135" s="0">
        <f>MAX(0,P135-Calculator!$E$25)</f>
      </c>
      <c r="AI135" s="0">
        <f>MAX(0,Q135-Calculator!$E$26)</f>
      </c>
      <c r="AJ135" s="0">
        <f>MAX(0,R135-Calculator!$E$27)</f>
      </c>
      <c r="AK135" s="0">
        <f>MAX(0,S135-Calculator!$E$28)</f>
      </c>
      <c r="AL135" s="0">
        <f>MAX(0,MIN(T135,BX135-SUMPRODUCT(($T$2:$AK$2&lt;T$2)*($T135:$AK135))))</f>
      </c>
      <c r="AM135" s="0">
        <f>MAX(0,MIN(U135,BX135-SUMPRODUCT(($T$2:$AK$2&lt;U$2)*($T135:$AK135))))</f>
      </c>
      <c r="AN135" s="0">
        <f>MAX(0,MIN(V135,BX135-SUMPRODUCT(($T$2:$AK$2&lt;V$2)*($T135:$AK135))))</f>
      </c>
      <c r="AO135" s="0">
        <f>MAX(0,MIN(W135,BX135-SUMPRODUCT(($T$2:$AK$2&lt;W$2)*($T135:$AK135))))</f>
      </c>
      <c r="AP135" s="0">
        <f>MAX(0,MIN(X135,BX135-SUMPRODUCT(($T$2:$AK$2&lt;X$2)*($T135:$AK135))))</f>
      </c>
      <c r="AQ135" s="0">
        <f>MAX(0,MIN(Y135,BX135-SUMPRODUCT(($T$2:$AK$2&lt;Y$2)*($T135:$AK135))))</f>
      </c>
      <c r="AR135" s="0">
        <f>MAX(0,MIN(Z135,BX135-SUMPRODUCT(($T$2:$AK$2&lt;Z$2)*($T135:$AK135))))</f>
      </c>
      <c r="AS135" s="0">
        <f>MAX(0,MIN(AA135,BX135-SUMPRODUCT(($T$2:$AK$2&lt;AA$2)*($T135:$AK135))))</f>
      </c>
      <c r="AT135" s="0">
        <f>MAX(0,MIN(AB135,BX135-SUMPRODUCT(($T$2:$AK$2&lt;AB$2)*($T135:$AK135))))</f>
      </c>
      <c r="AU135" s="0">
        <f>MAX(0,MIN(AC135,BX135-SUMPRODUCT(($T$2:$AK$2&lt;AC$2)*($T135:$AK135))))</f>
      </c>
      <c r="AV135" s="0">
        <f>MAX(0,MIN(AD135,BX135-SUMPRODUCT(($T$2:$AK$2&lt;AD$2)*($T135:$AK135))))</f>
      </c>
      <c r="AW135" s="0">
        <f>MAX(0,MIN(AE135,BX135-SUMPRODUCT(($T$2:$AK$2&lt;AE$2)*($T135:$AK135))))</f>
      </c>
      <c r="AX135" s="0">
        <f>MAX(0,MIN(AF135,BX135-SUMPRODUCT(($T$2:$AK$2&lt;AF$2)*($T135:$AK135))))</f>
      </c>
      <c r="AY135" s="0">
        <f>MAX(0,MIN(AG135,BX135-SUMPRODUCT(($T$2:$AK$2&lt;AG$2)*($T135:$AK135))))</f>
      </c>
      <c r="AZ135" s="0">
        <f>MAX(0,MIN(AH135,BX135-SUMPRODUCT(($T$2:$AK$2&lt;AH$2)*($T135:$AK135))))</f>
      </c>
      <c r="BA135" s="0">
        <f>MAX(0,MIN(AI135,BX135-SUMPRODUCT(($T$2:$AK$2&lt;AI$2)*($T135:$AK135))))</f>
      </c>
      <c r="BB135" s="0">
        <f>MAX(0,MIN(AJ135,BX135-SUMPRODUCT(($T$2:$AK$2&lt;AJ$2)*($T135:$AK135))))</f>
      </c>
      <c r="BC135" s="0">
        <f>MAX(0,MIN(AK135,BX135-SUMPRODUCT(($T$2:$AK$2&lt;AK$2)*($T135:$AK135))))</f>
      </c>
      <c r="BD135" s="0">
        <f>T135-AL135</f>
      </c>
      <c r="BE135" s="0">
        <f>U135-AM135</f>
      </c>
      <c r="BF135" s="0">
        <f>V135-AN135</f>
      </c>
      <c r="BG135" s="0">
        <f>W135-AO135</f>
      </c>
      <c r="BH135" s="0">
        <f>X135-AP135</f>
      </c>
      <c r="BI135" s="0">
        <f>Y135-AQ135</f>
      </c>
      <c r="BJ135" s="0">
        <f>Z135-AR135</f>
      </c>
      <c r="BK135" s="0">
        <f>AA135-AS135</f>
      </c>
      <c r="BL135" s="0">
        <f>AB135-AT135</f>
      </c>
      <c r="BM135" s="0">
        <f>AC135-AU135</f>
      </c>
      <c r="BN135" s="0">
        <f>AD135-AV135</f>
      </c>
      <c r="BO135" s="0">
        <f>AE135-AW135</f>
      </c>
      <c r="BP135" s="0">
        <f>AF135-AX135</f>
      </c>
      <c r="BQ135" s="0">
        <f>AG135-AY135</f>
      </c>
      <c r="BR135" s="0">
        <f>AH135-AZ135</f>
      </c>
      <c r="BS135" s="0">
        <f>AI135-BA135</f>
      </c>
      <c r="BT135" s="0">
        <f>AJ135-BB135</f>
      </c>
      <c r="BU135" s="0">
        <f>AK135-BC135</f>
      </c>
      <c r="BV135" s="0">
        <f>SUM(B135:S135)</f>
      </c>
      <c r="BW135" s="0">
        <f>SUM(T135:AK135)</f>
      </c>
      <c r="BX135" s="0">
        <f>MAX(0,(SUM(Calculator!$E$11:$E$28)+Calculator!$C$6)-BV135+BW135)</f>
      </c>
      <c r="BY135" s="0">
        <f>SUM(BD135:BU135)</f>
      </c>
      <c r="BZ135" s="0">
        <f>BV135-BY134</f>
      </c>
      <c r="CA135" s="0">
        <f>IF(A135&lt;=IF($CD$1=0,999,$CD$1),BY135,NA())</f>
      </c>
      <c r="CB135" s="0">
        <f>IF(A135&lt;=IF($CD$1=0,999,$CD$1),A135,NA())</f>
      </c>
    </row>
    <row r="136">
      <c r="A136" s="0">
        <v>133</v>
      </c>
      <c r="B136" s="0">
        <f>BD135*(1+Calculator!$D$11/100/12)</f>
      </c>
      <c r="C136" s="0">
        <f>BE135*(1+Calculator!$D$12/100/12)</f>
      </c>
      <c r="D136" s="0">
        <f>BF135*(1+Calculator!$D$13/100/12)</f>
      </c>
      <c r="E136" s="0">
        <f>BG135*(1+Calculator!$D$14/100/12)</f>
      </c>
      <c r="F136" s="0">
        <f>BH135*(1+Calculator!$D$15/100/12)</f>
      </c>
      <c r="G136" s="0">
        <f>BI135*(1+Calculator!$D$16/100/12)</f>
      </c>
      <c r="H136" s="0">
        <f>BJ135*(1+Calculator!$D$17/100/12)</f>
      </c>
      <c r="I136" s="0">
        <f>BK135*(1+Calculator!$D$18/100/12)</f>
      </c>
      <c r="J136" s="0">
        <f>BL135*(1+Calculator!$D$19/100/12)</f>
      </c>
      <c r="K136" s="0">
        <f>BM135*(1+Calculator!$D$20/100/12)</f>
      </c>
      <c r="L136" s="0">
        <f>BN135*(1+Calculator!$D$21/100/12)</f>
      </c>
      <c r="M136" s="0">
        <f>BO135*(1+Calculator!$D$22/100/12)</f>
      </c>
      <c r="N136" s="0">
        <f>BP135*(1+Calculator!$D$23/100/12)</f>
      </c>
      <c r="O136" s="0">
        <f>BQ135*(1+Calculator!$D$24/100/12)</f>
      </c>
      <c r="P136" s="0">
        <f>BR135*(1+Calculator!$D$25/100/12)</f>
      </c>
      <c r="Q136" s="0">
        <f>BS135*(1+Calculator!$D$26/100/12)</f>
      </c>
      <c r="R136" s="0">
        <f>BT135*(1+Calculator!$D$27/100/12)</f>
      </c>
      <c r="S136" s="0">
        <f>BU135*(1+Calculator!$D$28/100/12)</f>
      </c>
      <c r="T136" s="0">
        <f>MAX(0,B136-Calculator!$E$11)</f>
      </c>
      <c r="U136" s="0">
        <f>MAX(0,C136-Calculator!$E$12)</f>
      </c>
      <c r="V136" s="0">
        <f>MAX(0,D136-Calculator!$E$13)</f>
      </c>
      <c r="W136" s="0">
        <f>MAX(0,E136-Calculator!$E$14)</f>
      </c>
      <c r="X136" s="0">
        <f>MAX(0,F136-Calculator!$E$15)</f>
      </c>
      <c r="Y136" s="0">
        <f>MAX(0,G136-Calculator!$E$16)</f>
      </c>
      <c r="Z136" s="0">
        <f>MAX(0,H136-Calculator!$E$17)</f>
      </c>
      <c r="AA136" s="0">
        <f>MAX(0,I136-Calculator!$E$18)</f>
      </c>
      <c r="AB136" s="0">
        <f>MAX(0,J136-Calculator!$E$19)</f>
      </c>
      <c r="AC136" s="0">
        <f>MAX(0,K136-Calculator!$E$20)</f>
      </c>
      <c r="AD136" s="0">
        <f>MAX(0,L136-Calculator!$E$21)</f>
      </c>
      <c r="AE136" s="0">
        <f>MAX(0,M136-Calculator!$E$22)</f>
      </c>
      <c r="AF136" s="0">
        <f>MAX(0,N136-Calculator!$E$23)</f>
      </c>
      <c r="AG136" s="0">
        <f>MAX(0,O136-Calculator!$E$24)</f>
      </c>
      <c r="AH136" s="0">
        <f>MAX(0,P136-Calculator!$E$25)</f>
      </c>
      <c r="AI136" s="0">
        <f>MAX(0,Q136-Calculator!$E$26)</f>
      </c>
      <c r="AJ136" s="0">
        <f>MAX(0,R136-Calculator!$E$27)</f>
      </c>
      <c r="AK136" s="0">
        <f>MAX(0,S136-Calculator!$E$28)</f>
      </c>
      <c r="AL136" s="0">
        <f>MAX(0,MIN(T136,BX136-SUMPRODUCT(($T$2:$AK$2&lt;T$2)*($T136:$AK136))))</f>
      </c>
      <c r="AM136" s="0">
        <f>MAX(0,MIN(U136,BX136-SUMPRODUCT(($T$2:$AK$2&lt;U$2)*($T136:$AK136))))</f>
      </c>
      <c r="AN136" s="0">
        <f>MAX(0,MIN(V136,BX136-SUMPRODUCT(($T$2:$AK$2&lt;V$2)*($T136:$AK136))))</f>
      </c>
      <c r="AO136" s="0">
        <f>MAX(0,MIN(W136,BX136-SUMPRODUCT(($T$2:$AK$2&lt;W$2)*($T136:$AK136))))</f>
      </c>
      <c r="AP136" s="0">
        <f>MAX(0,MIN(X136,BX136-SUMPRODUCT(($T$2:$AK$2&lt;X$2)*($T136:$AK136))))</f>
      </c>
      <c r="AQ136" s="0">
        <f>MAX(0,MIN(Y136,BX136-SUMPRODUCT(($T$2:$AK$2&lt;Y$2)*($T136:$AK136))))</f>
      </c>
      <c r="AR136" s="0">
        <f>MAX(0,MIN(Z136,BX136-SUMPRODUCT(($T$2:$AK$2&lt;Z$2)*($T136:$AK136))))</f>
      </c>
      <c r="AS136" s="0">
        <f>MAX(0,MIN(AA136,BX136-SUMPRODUCT(($T$2:$AK$2&lt;AA$2)*($T136:$AK136))))</f>
      </c>
      <c r="AT136" s="0">
        <f>MAX(0,MIN(AB136,BX136-SUMPRODUCT(($T$2:$AK$2&lt;AB$2)*($T136:$AK136))))</f>
      </c>
      <c r="AU136" s="0">
        <f>MAX(0,MIN(AC136,BX136-SUMPRODUCT(($T$2:$AK$2&lt;AC$2)*($T136:$AK136))))</f>
      </c>
      <c r="AV136" s="0">
        <f>MAX(0,MIN(AD136,BX136-SUMPRODUCT(($T$2:$AK$2&lt;AD$2)*($T136:$AK136))))</f>
      </c>
      <c r="AW136" s="0">
        <f>MAX(0,MIN(AE136,BX136-SUMPRODUCT(($T$2:$AK$2&lt;AE$2)*($T136:$AK136))))</f>
      </c>
      <c r="AX136" s="0">
        <f>MAX(0,MIN(AF136,BX136-SUMPRODUCT(($T$2:$AK$2&lt;AF$2)*($T136:$AK136))))</f>
      </c>
      <c r="AY136" s="0">
        <f>MAX(0,MIN(AG136,BX136-SUMPRODUCT(($T$2:$AK$2&lt;AG$2)*($T136:$AK136))))</f>
      </c>
      <c r="AZ136" s="0">
        <f>MAX(0,MIN(AH136,BX136-SUMPRODUCT(($T$2:$AK$2&lt;AH$2)*($T136:$AK136))))</f>
      </c>
      <c r="BA136" s="0">
        <f>MAX(0,MIN(AI136,BX136-SUMPRODUCT(($T$2:$AK$2&lt;AI$2)*($T136:$AK136))))</f>
      </c>
      <c r="BB136" s="0">
        <f>MAX(0,MIN(AJ136,BX136-SUMPRODUCT(($T$2:$AK$2&lt;AJ$2)*($T136:$AK136))))</f>
      </c>
      <c r="BC136" s="0">
        <f>MAX(0,MIN(AK136,BX136-SUMPRODUCT(($T$2:$AK$2&lt;AK$2)*($T136:$AK136))))</f>
      </c>
      <c r="BD136" s="0">
        <f>T136-AL136</f>
      </c>
      <c r="BE136" s="0">
        <f>U136-AM136</f>
      </c>
      <c r="BF136" s="0">
        <f>V136-AN136</f>
      </c>
      <c r="BG136" s="0">
        <f>W136-AO136</f>
      </c>
      <c r="BH136" s="0">
        <f>X136-AP136</f>
      </c>
      <c r="BI136" s="0">
        <f>Y136-AQ136</f>
      </c>
      <c r="BJ136" s="0">
        <f>Z136-AR136</f>
      </c>
      <c r="BK136" s="0">
        <f>AA136-AS136</f>
      </c>
      <c r="BL136" s="0">
        <f>AB136-AT136</f>
      </c>
      <c r="BM136" s="0">
        <f>AC136-AU136</f>
      </c>
      <c r="BN136" s="0">
        <f>AD136-AV136</f>
      </c>
      <c r="BO136" s="0">
        <f>AE136-AW136</f>
      </c>
      <c r="BP136" s="0">
        <f>AF136-AX136</f>
      </c>
      <c r="BQ136" s="0">
        <f>AG136-AY136</f>
      </c>
      <c r="BR136" s="0">
        <f>AH136-AZ136</f>
      </c>
      <c r="BS136" s="0">
        <f>AI136-BA136</f>
      </c>
      <c r="BT136" s="0">
        <f>AJ136-BB136</f>
      </c>
      <c r="BU136" s="0">
        <f>AK136-BC136</f>
      </c>
      <c r="BV136" s="0">
        <f>SUM(B136:S136)</f>
      </c>
      <c r="BW136" s="0">
        <f>SUM(T136:AK136)</f>
      </c>
      <c r="BX136" s="0">
        <f>MAX(0,(SUM(Calculator!$E$11:$E$28)+Calculator!$C$6)-BV136+BW136)</f>
      </c>
      <c r="BY136" s="0">
        <f>SUM(BD136:BU136)</f>
      </c>
      <c r="BZ136" s="0">
        <f>BV136-BY135</f>
      </c>
      <c r="CA136" s="0">
        <f>IF(A136&lt;=IF($CD$1=0,999,$CD$1),BY136,NA())</f>
      </c>
      <c r="CB136" s="0">
        <f>IF(A136&lt;=IF($CD$1=0,999,$CD$1),A136,NA())</f>
      </c>
    </row>
    <row r="137">
      <c r="A137" s="0">
        <v>134</v>
      </c>
      <c r="B137" s="0">
        <f>BD136*(1+Calculator!$D$11/100/12)</f>
      </c>
      <c r="C137" s="0">
        <f>BE136*(1+Calculator!$D$12/100/12)</f>
      </c>
      <c r="D137" s="0">
        <f>BF136*(1+Calculator!$D$13/100/12)</f>
      </c>
      <c r="E137" s="0">
        <f>BG136*(1+Calculator!$D$14/100/12)</f>
      </c>
      <c r="F137" s="0">
        <f>BH136*(1+Calculator!$D$15/100/12)</f>
      </c>
      <c r="G137" s="0">
        <f>BI136*(1+Calculator!$D$16/100/12)</f>
      </c>
      <c r="H137" s="0">
        <f>BJ136*(1+Calculator!$D$17/100/12)</f>
      </c>
      <c r="I137" s="0">
        <f>BK136*(1+Calculator!$D$18/100/12)</f>
      </c>
      <c r="J137" s="0">
        <f>BL136*(1+Calculator!$D$19/100/12)</f>
      </c>
      <c r="K137" s="0">
        <f>BM136*(1+Calculator!$D$20/100/12)</f>
      </c>
      <c r="L137" s="0">
        <f>BN136*(1+Calculator!$D$21/100/12)</f>
      </c>
      <c r="M137" s="0">
        <f>BO136*(1+Calculator!$D$22/100/12)</f>
      </c>
      <c r="N137" s="0">
        <f>BP136*(1+Calculator!$D$23/100/12)</f>
      </c>
      <c r="O137" s="0">
        <f>BQ136*(1+Calculator!$D$24/100/12)</f>
      </c>
      <c r="P137" s="0">
        <f>BR136*(1+Calculator!$D$25/100/12)</f>
      </c>
      <c r="Q137" s="0">
        <f>BS136*(1+Calculator!$D$26/100/12)</f>
      </c>
      <c r="R137" s="0">
        <f>BT136*(1+Calculator!$D$27/100/12)</f>
      </c>
      <c r="S137" s="0">
        <f>BU136*(1+Calculator!$D$28/100/12)</f>
      </c>
      <c r="T137" s="0">
        <f>MAX(0,B137-Calculator!$E$11)</f>
      </c>
      <c r="U137" s="0">
        <f>MAX(0,C137-Calculator!$E$12)</f>
      </c>
      <c r="V137" s="0">
        <f>MAX(0,D137-Calculator!$E$13)</f>
      </c>
      <c r="W137" s="0">
        <f>MAX(0,E137-Calculator!$E$14)</f>
      </c>
      <c r="X137" s="0">
        <f>MAX(0,F137-Calculator!$E$15)</f>
      </c>
      <c r="Y137" s="0">
        <f>MAX(0,G137-Calculator!$E$16)</f>
      </c>
      <c r="Z137" s="0">
        <f>MAX(0,H137-Calculator!$E$17)</f>
      </c>
      <c r="AA137" s="0">
        <f>MAX(0,I137-Calculator!$E$18)</f>
      </c>
      <c r="AB137" s="0">
        <f>MAX(0,J137-Calculator!$E$19)</f>
      </c>
      <c r="AC137" s="0">
        <f>MAX(0,K137-Calculator!$E$20)</f>
      </c>
      <c r="AD137" s="0">
        <f>MAX(0,L137-Calculator!$E$21)</f>
      </c>
      <c r="AE137" s="0">
        <f>MAX(0,M137-Calculator!$E$22)</f>
      </c>
      <c r="AF137" s="0">
        <f>MAX(0,N137-Calculator!$E$23)</f>
      </c>
      <c r="AG137" s="0">
        <f>MAX(0,O137-Calculator!$E$24)</f>
      </c>
      <c r="AH137" s="0">
        <f>MAX(0,P137-Calculator!$E$25)</f>
      </c>
      <c r="AI137" s="0">
        <f>MAX(0,Q137-Calculator!$E$26)</f>
      </c>
      <c r="AJ137" s="0">
        <f>MAX(0,R137-Calculator!$E$27)</f>
      </c>
      <c r="AK137" s="0">
        <f>MAX(0,S137-Calculator!$E$28)</f>
      </c>
      <c r="AL137" s="0">
        <f>MAX(0,MIN(T137,BX137-SUMPRODUCT(($T$2:$AK$2&lt;T$2)*($T137:$AK137))))</f>
      </c>
      <c r="AM137" s="0">
        <f>MAX(0,MIN(U137,BX137-SUMPRODUCT(($T$2:$AK$2&lt;U$2)*($T137:$AK137))))</f>
      </c>
      <c r="AN137" s="0">
        <f>MAX(0,MIN(V137,BX137-SUMPRODUCT(($T$2:$AK$2&lt;V$2)*($T137:$AK137))))</f>
      </c>
      <c r="AO137" s="0">
        <f>MAX(0,MIN(W137,BX137-SUMPRODUCT(($T$2:$AK$2&lt;W$2)*($T137:$AK137))))</f>
      </c>
      <c r="AP137" s="0">
        <f>MAX(0,MIN(X137,BX137-SUMPRODUCT(($T$2:$AK$2&lt;X$2)*($T137:$AK137))))</f>
      </c>
      <c r="AQ137" s="0">
        <f>MAX(0,MIN(Y137,BX137-SUMPRODUCT(($T$2:$AK$2&lt;Y$2)*($T137:$AK137))))</f>
      </c>
      <c r="AR137" s="0">
        <f>MAX(0,MIN(Z137,BX137-SUMPRODUCT(($T$2:$AK$2&lt;Z$2)*($T137:$AK137))))</f>
      </c>
      <c r="AS137" s="0">
        <f>MAX(0,MIN(AA137,BX137-SUMPRODUCT(($T$2:$AK$2&lt;AA$2)*($T137:$AK137))))</f>
      </c>
      <c r="AT137" s="0">
        <f>MAX(0,MIN(AB137,BX137-SUMPRODUCT(($T$2:$AK$2&lt;AB$2)*($T137:$AK137))))</f>
      </c>
      <c r="AU137" s="0">
        <f>MAX(0,MIN(AC137,BX137-SUMPRODUCT(($T$2:$AK$2&lt;AC$2)*($T137:$AK137))))</f>
      </c>
      <c r="AV137" s="0">
        <f>MAX(0,MIN(AD137,BX137-SUMPRODUCT(($T$2:$AK$2&lt;AD$2)*($T137:$AK137))))</f>
      </c>
      <c r="AW137" s="0">
        <f>MAX(0,MIN(AE137,BX137-SUMPRODUCT(($T$2:$AK$2&lt;AE$2)*($T137:$AK137))))</f>
      </c>
      <c r="AX137" s="0">
        <f>MAX(0,MIN(AF137,BX137-SUMPRODUCT(($T$2:$AK$2&lt;AF$2)*($T137:$AK137))))</f>
      </c>
      <c r="AY137" s="0">
        <f>MAX(0,MIN(AG137,BX137-SUMPRODUCT(($T$2:$AK$2&lt;AG$2)*($T137:$AK137))))</f>
      </c>
      <c r="AZ137" s="0">
        <f>MAX(0,MIN(AH137,BX137-SUMPRODUCT(($T$2:$AK$2&lt;AH$2)*($T137:$AK137))))</f>
      </c>
      <c r="BA137" s="0">
        <f>MAX(0,MIN(AI137,BX137-SUMPRODUCT(($T$2:$AK$2&lt;AI$2)*($T137:$AK137))))</f>
      </c>
      <c r="BB137" s="0">
        <f>MAX(0,MIN(AJ137,BX137-SUMPRODUCT(($T$2:$AK$2&lt;AJ$2)*($T137:$AK137))))</f>
      </c>
      <c r="BC137" s="0">
        <f>MAX(0,MIN(AK137,BX137-SUMPRODUCT(($T$2:$AK$2&lt;AK$2)*($T137:$AK137))))</f>
      </c>
      <c r="BD137" s="0">
        <f>T137-AL137</f>
      </c>
      <c r="BE137" s="0">
        <f>U137-AM137</f>
      </c>
      <c r="BF137" s="0">
        <f>V137-AN137</f>
      </c>
      <c r="BG137" s="0">
        <f>W137-AO137</f>
      </c>
      <c r="BH137" s="0">
        <f>X137-AP137</f>
      </c>
      <c r="BI137" s="0">
        <f>Y137-AQ137</f>
      </c>
      <c r="BJ137" s="0">
        <f>Z137-AR137</f>
      </c>
      <c r="BK137" s="0">
        <f>AA137-AS137</f>
      </c>
      <c r="BL137" s="0">
        <f>AB137-AT137</f>
      </c>
      <c r="BM137" s="0">
        <f>AC137-AU137</f>
      </c>
      <c r="BN137" s="0">
        <f>AD137-AV137</f>
      </c>
      <c r="BO137" s="0">
        <f>AE137-AW137</f>
      </c>
      <c r="BP137" s="0">
        <f>AF137-AX137</f>
      </c>
      <c r="BQ137" s="0">
        <f>AG137-AY137</f>
      </c>
      <c r="BR137" s="0">
        <f>AH137-AZ137</f>
      </c>
      <c r="BS137" s="0">
        <f>AI137-BA137</f>
      </c>
      <c r="BT137" s="0">
        <f>AJ137-BB137</f>
      </c>
      <c r="BU137" s="0">
        <f>AK137-BC137</f>
      </c>
      <c r="BV137" s="0">
        <f>SUM(B137:S137)</f>
      </c>
      <c r="BW137" s="0">
        <f>SUM(T137:AK137)</f>
      </c>
      <c r="BX137" s="0">
        <f>MAX(0,(SUM(Calculator!$E$11:$E$28)+Calculator!$C$6)-BV137+BW137)</f>
      </c>
      <c r="BY137" s="0">
        <f>SUM(BD137:BU137)</f>
      </c>
      <c r="BZ137" s="0">
        <f>BV137-BY136</f>
      </c>
      <c r="CA137" s="0">
        <f>IF(A137&lt;=IF($CD$1=0,999,$CD$1),BY137,NA())</f>
      </c>
      <c r="CB137" s="0">
        <f>IF(A137&lt;=IF($CD$1=0,999,$CD$1),A137,NA())</f>
      </c>
    </row>
    <row r="138">
      <c r="A138" s="0">
        <v>135</v>
      </c>
      <c r="B138" s="0">
        <f>BD137*(1+Calculator!$D$11/100/12)</f>
      </c>
      <c r="C138" s="0">
        <f>BE137*(1+Calculator!$D$12/100/12)</f>
      </c>
      <c r="D138" s="0">
        <f>BF137*(1+Calculator!$D$13/100/12)</f>
      </c>
      <c r="E138" s="0">
        <f>BG137*(1+Calculator!$D$14/100/12)</f>
      </c>
      <c r="F138" s="0">
        <f>BH137*(1+Calculator!$D$15/100/12)</f>
      </c>
      <c r="G138" s="0">
        <f>BI137*(1+Calculator!$D$16/100/12)</f>
      </c>
      <c r="H138" s="0">
        <f>BJ137*(1+Calculator!$D$17/100/12)</f>
      </c>
      <c r="I138" s="0">
        <f>BK137*(1+Calculator!$D$18/100/12)</f>
      </c>
      <c r="J138" s="0">
        <f>BL137*(1+Calculator!$D$19/100/12)</f>
      </c>
      <c r="K138" s="0">
        <f>BM137*(1+Calculator!$D$20/100/12)</f>
      </c>
      <c r="L138" s="0">
        <f>BN137*(1+Calculator!$D$21/100/12)</f>
      </c>
      <c r="M138" s="0">
        <f>BO137*(1+Calculator!$D$22/100/12)</f>
      </c>
      <c r="N138" s="0">
        <f>BP137*(1+Calculator!$D$23/100/12)</f>
      </c>
      <c r="O138" s="0">
        <f>BQ137*(1+Calculator!$D$24/100/12)</f>
      </c>
      <c r="P138" s="0">
        <f>BR137*(1+Calculator!$D$25/100/12)</f>
      </c>
      <c r="Q138" s="0">
        <f>BS137*(1+Calculator!$D$26/100/12)</f>
      </c>
      <c r="R138" s="0">
        <f>BT137*(1+Calculator!$D$27/100/12)</f>
      </c>
      <c r="S138" s="0">
        <f>BU137*(1+Calculator!$D$28/100/12)</f>
      </c>
      <c r="T138" s="0">
        <f>MAX(0,B138-Calculator!$E$11)</f>
      </c>
      <c r="U138" s="0">
        <f>MAX(0,C138-Calculator!$E$12)</f>
      </c>
      <c r="V138" s="0">
        <f>MAX(0,D138-Calculator!$E$13)</f>
      </c>
      <c r="W138" s="0">
        <f>MAX(0,E138-Calculator!$E$14)</f>
      </c>
      <c r="X138" s="0">
        <f>MAX(0,F138-Calculator!$E$15)</f>
      </c>
      <c r="Y138" s="0">
        <f>MAX(0,G138-Calculator!$E$16)</f>
      </c>
      <c r="Z138" s="0">
        <f>MAX(0,H138-Calculator!$E$17)</f>
      </c>
      <c r="AA138" s="0">
        <f>MAX(0,I138-Calculator!$E$18)</f>
      </c>
      <c r="AB138" s="0">
        <f>MAX(0,J138-Calculator!$E$19)</f>
      </c>
      <c r="AC138" s="0">
        <f>MAX(0,K138-Calculator!$E$20)</f>
      </c>
      <c r="AD138" s="0">
        <f>MAX(0,L138-Calculator!$E$21)</f>
      </c>
      <c r="AE138" s="0">
        <f>MAX(0,M138-Calculator!$E$22)</f>
      </c>
      <c r="AF138" s="0">
        <f>MAX(0,N138-Calculator!$E$23)</f>
      </c>
      <c r="AG138" s="0">
        <f>MAX(0,O138-Calculator!$E$24)</f>
      </c>
      <c r="AH138" s="0">
        <f>MAX(0,P138-Calculator!$E$25)</f>
      </c>
      <c r="AI138" s="0">
        <f>MAX(0,Q138-Calculator!$E$26)</f>
      </c>
      <c r="AJ138" s="0">
        <f>MAX(0,R138-Calculator!$E$27)</f>
      </c>
      <c r="AK138" s="0">
        <f>MAX(0,S138-Calculator!$E$28)</f>
      </c>
      <c r="AL138" s="0">
        <f>MAX(0,MIN(T138,BX138-SUMPRODUCT(($T$2:$AK$2&lt;T$2)*($T138:$AK138))))</f>
      </c>
      <c r="AM138" s="0">
        <f>MAX(0,MIN(U138,BX138-SUMPRODUCT(($T$2:$AK$2&lt;U$2)*($T138:$AK138))))</f>
      </c>
      <c r="AN138" s="0">
        <f>MAX(0,MIN(V138,BX138-SUMPRODUCT(($T$2:$AK$2&lt;V$2)*($T138:$AK138))))</f>
      </c>
      <c r="AO138" s="0">
        <f>MAX(0,MIN(W138,BX138-SUMPRODUCT(($T$2:$AK$2&lt;W$2)*($T138:$AK138))))</f>
      </c>
      <c r="AP138" s="0">
        <f>MAX(0,MIN(X138,BX138-SUMPRODUCT(($T$2:$AK$2&lt;X$2)*($T138:$AK138))))</f>
      </c>
      <c r="AQ138" s="0">
        <f>MAX(0,MIN(Y138,BX138-SUMPRODUCT(($T$2:$AK$2&lt;Y$2)*($T138:$AK138))))</f>
      </c>
      <c r="AR138" s="0">
        <f>MAX(0,MIN(Z138,BX138-SUMPRODUCT(($T$2:$AK$2&lt;Z$2)*($T138:$AK138))))</f>
      </c>
      <c r="AS138" s="0">
        <f>MAX(0,MIN(AA138,BX138-SUMPRODUCT(($T$2:$AK$2&lt;AA$2)*($T138:$AK138))))</f>
      </c>
      <c r="AT138" s="0">
        <f>MAX(0,MIN(AB138,BX138-SUMPRODUCT(($T$2:$AK$2&lt;AB$2)*($T138:$AK138))))</f>
      </c>
      <c r="AU138" s="0">
        <f>MAX(0,MIN(AC138,BX138-SUMPRODUCT(($T$2:$AK$2&lt;AC$2)*($T138:$AK138))))</f>
      </c>
      <c r="AV138" s="0">
        <f>MAX(0,MIN(AD138,BX138-SUMPRODUCT(($T$2:$AK$2&lt;AD$2)*($T138:$AK138))))</f>
      </c>
      <c r="AW138" s="0">
        <f>MAX(0,MIN(AE138,BX138-SUMPRODUCT(($T$2:$AK$2&lt;AE$2)*($T138:$AK138))))</f>
      </c>
      <c r="AX138" s="0">
        <f>MAX(0,MIN(AF138,BX138-SUMPRODUCT(($T$2:$AK$2&lt;AF$2)*($T138:$AK138))))</f>
      </c>
      <c r="AY138" s="0">
        <f>MAX(0,MIN(AG138,BX138-SUMPRODUCT(($T$2:$AK$2&lt;AG$2)*($T138:$AK138))))</f>
      </c>
      <c r="AZ138" s="0">
        <f>MAX(0,MIN(AH138,BX138-SUMPRODUCT(($T$2:$AK$2&lt;AH$2)*($T138:$AK138))))</f>
      </c>
      <c r="BA138" s="0">
        <f>MAX(0,MIN(AI138,BX138-SUMPRODUCT(($T$2:$AK$2&lt;AI$2)*($T138:$AK138))))</f>
      </c>
      <c r="BB138" s="0">
        <f>MAX(0,MIN(AJ138,BX138-SUMPRODUCT(($T$2:$AK$2&lt;AJ$2)*($T138:$AK138))))</f>
      </c>
      <c r="BC138" s="0">
        <f>MAX(0,MIN(AK138,BX138-SUMPRODUCT(($T$2:$AK$2&lt;AK$2)*($T138:$AK138))))</f>
      </c>
      <c r="BD138" s="0">
        <f>T138-AL138</f>
      </c>
      <c r="BE138" s="0">
        <f>U138-AM138</f>
      </c>
      <c r="BF138" s="0">
        <f>V138-AN138</f>
      </c>
      <c r="BG138" s="0">
        <f>W138-AO138</f>
      </c>
      <c r="BH138" s="0">
        <f>X138-AP138</f>
      </c>
      <c r="BI138" s="0">
        <f>Y138-AQ138</f>
      </c>
      <c r="BJ138" s="0">
        <f>Z138-AR138</f>
      </c>
      <c r="BK138" s="0">
        <f>AA138-AS138</f>
      </c>
      <c r="BL138" s="0">
        <f>AB138-AT138</f>
      </c>
      <c r="BM138" s="0">
        <f>AC138-AU138</f>
      </c>
      <c r="BN138" s="0">
        <f>AD138-AV138</f>
      </c>
      <c r="BO138" s="0">
        <f>AE138-AW138</f>
      </c>
      <c r="BP138" s="0">
        <f>AF138-AX138</f>
      </c>
      <c r="BQ138" s="0">
        <f>AG138-AY138</f>
      </c>
      <c r="BR138" s="0">
        <f>AH138-AZ138</f>
      </c>
      <c r="BS138" s="0">
        <f>AI138-BA138</f>
      </c>
      <c r="BT138" s="0">
        <f>AJ138-BB138</f>
      </c>
      <c r="BU138" s="0">
        <f>AK138-BC138</f>
      </c>
      <c r="BV138" s="0">
        <f>SUM(B138:S138)</f>
      </c>
      <c r="BW138" s="0">
        <f>SUM(T138:AK138)</f>
      </c>
      <c r="BX138" s="0">
        <f>MAX(0,(SUM(Calculator!$E$11:$E$28)+Calculator!$C$6)-BV138+BW138)</f>
      </c>
      <c r="BY138" s="0">
        <f>SUM(BD138:BU138)</f>
      </c>
      <c r="BZ138" s="0">
        <f>BV138-BY137</f>
      </c>
      <c r="CA138" s="0">
        <f>IF(A138&lt;=IF($CD$1=0,999,$CD$1),BY138,NA())</f>
      </c>
      <c r="CB138" s="0">
        <f>IF(A138&lt;=IF($CD$1=0,999,$CD$1),A138,NA())</f>
      </c>
    </row>
    <row r="139">
      <c r="A139" s="0">
        <v>136</v>
      </c>
      <c r="B139" s="0">
        <f>BD138*(1+Calculator!$D$11/100/12)</f>
      </c>
      <c r="C139" s="0">
        <f>BE138*(1+Calculator!$D$12/100/12)</f>
      </c>
      <c r="D139" s="0">
        <f>BF138*(1+Calculator!$D$13/100/12)</f>
      </c>
      <c r="E139" s="0">
        <f>BG138*(1+Calculator!$D$14/100/12)</f>
      </c>
      <c r="F139" s="0">
        <f>BH138*(1+Calculator!$D$15/100/12)</f>
      </c>
      <c r="G139" s="0">
        <f>BI138*(1+Calculator!$D$16/100/12)</f>
      </c>
      <c r="H139" s="0">
        <f>BJ138*(1+Calculator!$D$17/100/12)</f>
      </c>
      <c r="I139" s="0">
        <f>BK138*(1+Calculator!$D$18/100/12)</f>
      </c>
      <c r="J139" s="0">
        <f>BL138*(1+Calculator!$D$19/100/12)</f>
      </c>
      <c r="K139" s="0">
        <f>BM138*(1+Calculator!$D$20/100/12)</f>
      </c>
      <c r="L139" s="0">
        <f>BN138*(1+Calculator!$D$21/100/12)</f>
      </c>
      <c r="M139" s="0">
        <f>BO138*(1+Calculator!$D$22/100/12)</f>
      </c>
      <c r="N139" s="0">
        <f>BP138*(1+Calculator!$D$23/100/12)</f>
      </c>
      <c r="O139" s="0">
        <f>BQ138*(1+Calculator!$D$24/100/12)</f>
      </c>
      <c r="P139" s="0">
        <f>BR138*(1+Calculator!$D$25/100/12)</f>
      </c>
      <c r="Q139" s="0">
        <f>BS138*(1+Calculator!$D$26/100/12)</f>
      </c>
      <c r="R139" s="0">
        <f>BT138*(1+Calculator!$D$27/100/12)</f>
      </c>
      <c r="S139" s="0">
        <f>BU138*(1+Calculator!$D$28/100/12)</f>
      </c>
      <c r="T139" s="0">
        <f>MAX(0,B139-Calculator!$E$11)</f>
      </c>
      <c r="U139" s="0">
        <f>MAX(0,C139-Calculator!$E$12)</f>
      </c>
      <c r="V139" s="0">
        <f>MAX(0,D139-Calculator!$E$13)</f>
      </c>
      <c r="W139" s="0">
        <f>MAX(0,E139-Calculator!$E$14)</f>
      </c>
      <c r="X139" s="0">
        <f>MAX(0,F139-Calculator!$E$15)</f>
      </c>
      <c r="Y139" s="0">
        <f>MAX(0,G139-Calculator!$E$16)</f>
      </c>
      <c r="Z139" s="0">
        <f>MAX(0,H139-Calculator!$E$17)</f>
      </c>
      <c r="AA139" s="0">
        <f>MAX(0,I139-Calculator!$E$18)</f>
      </c>
      <c r="AB139" s="0">
        <f>MAX(0,J139-Calculator!$E$19)</f>
      </c>
      <c r="AC139" s="0">
        <f>MAX(0,K139-Calculator!$E$20)</f>
      </c>
      <c r="AD139" s="0">
        <f>MAX(0,L139-Calculator!$E$21)</f>
      </c>
      <c r="AE139" s="0">
        <f>MAX(0,M139-Calculator!$E$22)</f>
      </c>
      <c r="AF139" s="0">
        <f>MAX(0,N139-Calculator!$E$23)</f>
      </c>
      <c r="AG139" s="0">
        <f>MAX(0,O139-Calculator!$E$24)</f>
      </c>
      <c r="AH139" s="0">
        <f>MAX(0,P139-Calculator!$E$25)</f>
      </c>
      <c r="AI139" s="0">
        <f>MAX(0,Q139-Calculator!$E$26)</f>
      </c>
      <c r="AJ139" s="0">
        <f>MAX(0,R139-Calculator!$E$27)</f>
      </c>
      <c r="AK139" s="0">
        <f>MAX(0,S139-Calculator!$E$28)</f>
      </c>
      <c r="AL139" s="0">
        <f>MAX(0,MIN(T139,BX139-SUMPRODUCT(($T$2:$AK$2&lt;T$2)*($T139:$AK139))))</f>
      </c>
      <c r="AM139" s="0">
        <f>MAX(0,MIN(U139,BX139-SUMPRODUCT(($T$2:$AK$2&lt;U$2)*($T139:$AK139))))</f>
      </c>
      <c r="AN139" s="0">
        <f>MAX(0,MIN(V139,BX139-SUMPRODUCT(($T$2:$AK$2&lt;V$2)*($T139:$AK139))))</f>
      </c>
      <c r="AO139" s="0">
        <f>MAX(0,MIN(W139,BX139-SUMPRODUCT(($T$2:$AK$2&lt;W$2)*($T139:$AK139))))</f>
      </c>
      <c r="AP139" s="0">
        <f>MAX(0,MIN(X139,BX139-SUMPRODUCT(($T$2:$AK$2&lt;X$2)*($T139:$AK139))))</f>
      </c>
      <c r="AQ139" s="0">
        <f>MAX(0,MIN(Y139,BX139-SUMPRODUCT(($T$2:$AK$2&lt;Y$2)*($T139:$AK139))))</f>
      </c>
      <c r="AR139" s="0">
        <f>MAX(0,MIN(Z139,BX139-SUMPRODUCT(($T$2:$AK$2&lt;Z$2)*($T139:$AK139))))</f>
      </c>
      <c r="AS139" s="0">
        <f>MAX(0,MIN(AA139,BX139-SUMPRODUCT(($T$2:$AK$2&lt;AA$2)*($T139:$AK139))))</f>
      </c>
      <c r="AT139" s="0">
        <f>MAX(0,MIN(AB139,BX139-SUMPRODUCT(($T$2:$AK$2&lt;AB$2)*($T139:$AK139))))</f>
      </c>
      <c r="AU139" s="0">
        <f>MAX(0,MIN(AC139,BX139-SUMPRODUCT(($T$2:$AK$2&lt;AC$2)*($T139:$AK139))))</f>
      </c>
      <c r="AV139" s="0">
        <f>MAX(0,MIN(AD139,BX139-SUMPRODUCT(($T$2:$AK$2&lt;AD$2)*($T139:$AK139))))</f>
      </c>
      <c r="AW139" s="0">
        <f>MAX(0,MIN(AE139,BX139-SUMPRODUCT(($T$2:$AK$2&lt;AE$2)*($T139:$AK139))))</f>
      </c>
      <c r="AX139" s="0">
        <f>MAX(0,MIN(AF139,BX139-SUMPRODUCT(($T$2:$AK$2&lt;AF$2)*($T139:$AK139))))</f>
      </c>
      <c r="AY139" s="0">
        <f>MAX(0,MIN(AG139,BX139-SUMPRODUCT(($T$2:$AK$2&lt;AG$2)*($T139:$AK139))))</f>
      </c>
      <c r="AZ139" s="0">
        <f>MAX(0,MIN(AH139,BX139-SUMPRODUCT(($T$2:$AK$2&lt;AH$2)*($T139:$AK139))))</f>
      </c>
      <c r="BA139" s="0">
        <f>MAX(0,MIN(AI139,BX139-SUMPRODUCT(($T$2:$AK$2&lt;AI$2)*($T139:$AK139))))</f>
      </c>
      <c r="BB139" s="0">
        <f>MAX(0,MIN(AJ139,BX139-SUMPRODUCT(($T$2:$AK$2&lt;AJ$2)*($T139:$AK139))))</f>
      </c>
      <c r="BC139" s="0">
        <f>MAX(0,MIN(AK139,BX139-SUMPRODUCT(($T$2:$AK$2&lt;AK$2)*($T139:$AK139))))</f>
      </c>
      <c r="BD139" s="0">
        <f>T139-AL139</f>
      </c>
      <c r="BE139" s="0">
        <f>U139-AM139</f>
      </c>
      <c r="BF139" s="0">
        <f>V139-AN139</f>
      </c>
      <c r="BG139" s="0">
        <f>W139-AO139</f>
      </c>
      <c r="BH139" s="0">
        <f>X139-AP139</f>
      </c>
      <c r="BI139" s="0">
        <f>Y139-AQ139</f>
      </c>
      <c r="BJ139" s="0">
        <f>Z139-AR139</f>
      </c>
      <c r="BK139" s="0">
        <f>AA139-AS139</f>
      </c>
      <c r="BL139" s="0">
        <f>AB139-AT139</f>
      </c>
      <c r="BM139" s="0">
        <f>AC139-AU139</f>
      </c>
      <c r="BN139" s="0">
        <f>AD139-AV139</f>
      </c>
      <c r="BO139" s="0">
        <f>AE139-AW139</f>
      </c>
      <c r="BP139" s="0">
        <f>AF139-AX139</f>
      </c>
      <c r="BQ139" s="0">
        <f>AG139-AY139</f>
      </c>
      <c r="BR139" s="0">
        <f>AH139-AZ139</f>
      </c>
      <c r="BS139" s="0">
        <f>AI139-BA139</f>
      </c>
      <c r="BT139" s="0">
        <f>AJ139-BB139</f>
      </c>
      <c r="BU139" s="0">
        <f>AK139-BC139</f>
      </c>
      <c r="BV139" s="0">
        <f>SUM(B139:S139)</f>
      </c>
      <c r="BW139" s="0">
        <f>SUM(T139:AK139)</f>
      </c>
      <c r="BX139" s="0">
        <f>MAX(0,(SUM(Calculator!$E$11:$E$28)+Calculator!$C$6)-BV139+BW139)</f>
      </c>
      <c r="BY139" s="0">
        <f>SUM(BD139:BU139)</f>
      </c>
      <c r="BZ139" s="0">
        <f>BV139-BY138</f>
      </c>
      <c r="CA139" s="0">
        <f>IF(A139&lt;=IF($CD$1=0,999,$CD$1),BY139,NA())</f>
      </c>
      <c r="CB139" s="0">
        <f>IF(A139&lt;=IF($CD$1=0,999,$CD$1),A139,NA())</f>
      </c>
    </row>
    <row r="140">
      <c r="A140" s="0">
        <v>137</v>
      </c>
      <c r="B140" s="0">
        <f>BD139*(1+Calculator!$D$11/100/12)</f>
      </c>
      <c r="C140" s="0">
        <f>BE139*(1+Calculator!$D$12/100/12)</f>
      </c>
      <c r="D140" s="0">
        <f>BF139*(1+Calculator!$D$13/100/12)</f>
      </c>
      <c r="E140" s="0">
        <f>BG139*(1+Calculator!$D$14/100/12)</f>
      </c>
      <c r="F140" s="0">
        <f>BH139*(1+Calculator!$D$15/100/12)</f>
      </c>
      <c r="G140" s="0">
        <f>BI139*(1+Calculator!$D$16/100/12)</f>
      </c>
      <c r="H140" s="0">
        <f>BJ139*(1+Calculator!$D$17/100/12)</f>
      </c>
      <c r="I140" s="0">
        <f>BK139*(1+Calculator!$D$18/100/12)</f>
      </c>
      <c r="J140" s="0">
        <f>BL139*(1+Calculator!$D$19/100/12)</f>
      </c>
      <c r="K140" s="0">
        <f>BM139*(1+Calculator!$D$20/100/12)</f>
      </c>
      <c r="L140" s="0">
        <f>BN139*(1+Calculator!$D$21/100/12)</f>
      </c>
      <c r="M140" s="0">
        <f>BO139*(1+Calculator!$D$22/100/12)</f>
      </c>
      <c r="N140" s="0">
        <f>BP139*(1+Calculator!$D$23/100/12)</f>
      </c>
      <c r="O140" s="0">
        <f>BQ139*(1+Calculator!$D$24/100/12)</f>
      </c>
      <c r="P140" s="0">
        <f>BR139*(1+Calculator!$D$25/100/12)</f>
      </c>
      <c r="Q140" s="0">
        <f>BS139*(1+Calculator!$D$26/100/12)</f>
      </c>
      <c r="R140" s="0">
        <f>BT139*(1+Calculator!$D$27/100/12)</f>
      </c>
      <c r="S140" s="0">
        <f>BU139*(1+Calculator!$D$28/100/12)</f>
      </c>
      <c r="T140" s="0">
        <f>MAX(0,B140-Calculator!$E$11)</f>
      </c>
      <c r="U140" s="0">
        <f>MAX(0,C140-Calculator!$E$12)</f>
      </c>
      <c r="V140" s="0">
        <f>MAX(0,D140-Calculator!$E$13)</f>
      </c>
      <c r="W140" s="0">
        <f>MAX(0,E140-Calculator!$E$14)</f>
      </c>
      <c r="X140" s="0">
        <f>MAX(0,F140-Calculator!$E$15)</f>
      </c>
      <c r="Y140" s="0">
        <f>MAX(0,G140-Calculator!$E$16)</f>
      </c>
      <c r="Z140" s="0">
        <f>MAX(0,H140-Calculator!$E$17)</f>
      </c>
      <c r="AA140" s="0">
        <f>MAX(0,I140-Calculator!$E$18)</f>
      </c>
      <c r="AB140" s="0">
        <f>MAX(0,J140-Calculator!$E$19)</f>
      </c>
      <c r="AC140" s="0">
        <f>MAX(0,K140-Calculator!$E$20)</f>
      </c>
      <c r="AD140" s="0">
        <f>MAX(0,L140-Calculator!$E$21)</f>
      </c>
      <c r="AE140" s="0">
        <f>MAX(0,M140-Calculator!$E$22)</f>
      </c>
      <c r="AF140" s="0">
        <f>MAX(0,N140-Calculator!$E$23)</f>
      </c>
      <c r="AG140" s="0">
        <f>MAX(0,O140-Calculator!$E$24)</f>
      </c>
      <c r="AH140" s="0">
        <f>MAX(0,P140-Calculator!$E$25)</f>
      </c>
      <c r="AI140" s="0">
        <f>MAX(0,Q140-Calculator!$E$26)</f>
      </c>
      <c r="AJ140" s="0">
        <f>MAX(0,R140-Calculator!$E$27)</f>
      </c>
      <c r="AK140" s="0">
        <f>MAX(0,S140-Calculator!$E$28)</f>
      </c>
      <c r="AL140" s="0">
        <f>MAX(0,MIN(T140,BX140-SUMPRODUCT(($T$2:$AK$2&lt;T$2)*($T140:$AK140))))</f>
      </c>
      <c r="AM140" s="0">
        <f>MAX(0,MIN(U140,BX140-SUMPRODUCT(($T$2:$AK$2&lt;U$2)*($T140:$AK140))))</f>
      </c>
      <c r="AN140" s="0">
        <f>MAX(0,MIN(V140,BX140-SUMPRODUCT(($T$2:$AK$2&lt;V$2)*($T140:$AK140))))</f>
      </c>
      <c r="AO140" s="0">
        <f>MAX(0,MIN(W140,BX140-SUMPRODUCT(($T$2:$AK$2&lt;W$2)*($T140:$AK140))))</f>
      </c>
      <c r="AP140" s="0">
        <f>MAX(0,MIN(X140,BX140-SUMPRODUCT(($T$2:$AK$2&lt;X$2)*($T140:$AK140))))</f>
      </c>
      <c r="AQ140" s="0">
        <f>MAX(0,MIN(Y140,BX140-SUMPRODUCT(($T$2:$AK$2&lt;Y$2)*($T140:$AK140))))</f>
      </c>
      <c r="AR140" s="0">
        <f>MAX(0,MIN(Z140,BX140-SUMPRODUCT(($T$2:$AK$2&lt;Z$2)*($T140:$AK140))))</f>
      </c>
      <c r="AS140" s="0">
        <f>MAX(0,MIN(AA140,BX140-SUMPRODUCT(($T$2:$AK$2&lt;AA$2)*($T140:$AK140))))</f>
      </c>
      <c r="AT140" s="0">
        <f>MAX(0,MIN(AB140,BX140-SUMPRODUCT(($T$2:$AK$2&lt;AB$2)*($T140:$AK140))))</f>
      </c>
      <c r="AU140" s="0">
        <f>MAX(0,MIN(AC140,BX140-SUMPRODUCT(($T$2:$AK$2&lt;AC$2)*($T140:$AK140))))</f>
      </c>
      <c r="AV140" s="0">
        <f>MAX(0,MIN(AD140,BX140-SUMPRODUCT(($T$2:$AK$2&lt;AD$2)*($T140:$AK140))))</f>
      </c>
      <c r="AW140" s="0">
        <f>MAX(0,MIN(AE140,BX140-SUMPRODUCT(($T$2:$AK$2&lt;AE$2)*($T140:$AK140))))</f>
      </c>
      <c r="AX140" s="0">
        <f>MAX(0,MIN(AF140,BX140-SUMPRODUCT(($T$2:$AK$2&lt;AF$2)*($T140:$AK140))))</f>
      </c>
      <c r="AY140" s="0">
        <f>MAX(0,MIN(AG140,BX140-SUMPRODUCT(($T$2:$AK$2&lt;AG$2)*($T140:$AK140))))</f>
      </c>
      <c r="AZ140" s="0">
        <f>MAX(0,MIN(AH140,BX140-SUMPRODUCT(($T$2:$AK$2&lt;AH$2)*($T140:$AK140))))</f>
      </c>
      <c r="BA140" s="0">
        <f>MAX(0,MIN(AI140,BX140-SUMPRODUCT(($T$2:$AK$2&lt;AI$2)*($T140:$AK140))))</f>
      </c>
      <c r="BB140" s="0">
        <f>MAX(0,MIN(AJ140,BX140-SUMPRODUCT(($T$2:$AK$2&lt;AJ$2)*($T140:$AK140))))</f>
      </c>
      <c r="BC140" s="0">
        <f>MAX(0,MIN(AK140,BX140-SUMPRODUCT(($T$2:$AK$2&lt;AK$2)*($T140:$AK140))))</f>
      </c>
      <c r="BD140" s="0">
        <f>T140-AL140</f>
      </c>
      <c r="BE140" s="0">
        <f>U140-AM140</f>
      </c>
      <c r="BF140" s="0">
        <f>V140-AN140</f>
      </c>
      <c r="BG140" s="0">
        <f>W140-AO140</f>
      </c>
      <c r="BH140" s="0">
        <f>X140-AP140</f>
      </c>
      <c r="BI140" s="0">
        <f>Y140-AQ140</f>
      </c>
      <c r="BJ140" s="0">
        <f>Z140-AR140</f>
      </c>
      <c r="BK140" s="0">
        <f>AA140-AS140</f>
      </c>
      <c r="BL140" s="0">
        <f>AB140-AT140</f>
      </c>
      <c r="BM140" s="0">
        <f>AC140-AU140</f>
      </c>
      <c r="BN140" s="0">
        <f>AD140-AV140</f>
      </c>
      <c r="BO140" s="0">
        <f>AE140-AW140</f>
      </c>
      <c r="BP140" s="0">
        <f>AF140-AX140</f>
      </c>
      <c r="BQ140" s="0">
        <f>AG140-AY140</f>
      </c>
      <c r="BR140" s="0">
        <f>AH140-AZ140</f>
      </c>
      <c r="BS140" s="0">
        <f>AI140-BA140</f>
      </c>
      <c r="BT140" s="0">
        <f>AJ140-BB140</f>
      </c>
      <c r="BU140" s="0">
        <f>AK140-BC140</f>
      </c>
      <c r="BV140" s="0">
        <f>SUM(B140:S140)</f>
      </c>
      <c r="BW140" s="0">
        <f>SUM(T140:AK140)</f>
      </c>
      <c r="BX140" s="0">
        <f>MAX(0,(SUM(Calculator!$E$11:$E$28)+Calculator!$C$6)-BV140+BW140)</f>
      </c>
      <c r="BY140" s="0">
        <f>SUM(BD140:BU140)</f>
      </c>
      <c r="BZ140" s="0">
        <f>BV140-BY139</f>
      </c>
      <c r="CA140" s="0">
        <f>IF(A140&lt;=IF($CD$1=0,999,$CD$1),BY140,NA())</f>
      </c>
      <c r="CB140" s="0">
        <f>IF(A140&lt;=IF($CD$1=0,999,$CD$1),A140,NA())</f>
      </c>
    </row>
    <row r="141">
      <c r="A141" s="0">
        <v>138</v>
      </c>
      <c r="B141" s="0">
        <f>BD140*(1+Calculator!$D$11/100/12)</f>
      </c>
      <c r="C141" s="0">
        <f>BE140*(1+Calculator!$D$12/100/12)</f>
      </c>
      <c r="D141" s="0">
        <f>BF140*(1+Calculator!$D$13/100/12)</f>
      </c>
      <c r="E141" s="0">
        <f>BG140*(1+Calculator!$D$14/100/12)</f>
      </c>
      <c r="F141" s="0">
        <f>BH140*(1+Calculator!$D$15/100/12)</f>
      </c>
      <c r="G141" s="0">
        <f>BI140*(1+Calculator!$D$16/100/12)</f>
      </c>
      <c r="H141" s="0">
        <f>BJ140*(1+Calculator!$D$17/100/12)</f>
      </c>
      <c r="I141" s="0">
        <f>BK140*(1+Calculator!$D$18/100/12)</f>
      </c>
      <c r="J141" s="0">
        <f>BL140*(1+Calculator!$D$19/100/12)</f>
      </c>
      <c r="K141" s="0">
        <f>BM140*(1+Calculator!$D$20/100/12)</f>
      </c>
      <c r="L141" s="0">
        <f>BN140*(1+Calculator!$D$21/100/12)</f>
      </c>
      <c r="M141" s="0">
        <f>BO140*(1+Calculator!$D$22/100/12)</f>
      </c>
      <c r="N141" s="0">
        <f>BP140*(1+Calculator!$D$23/100/12)</f>
      </c>
      <c r="O141" s="0">
        <f>BQ140*(1+Calculator!$D$24/100/12)</f>
      </c>
      <c r="P141" s="0">
        <f>BR140*(1+Calculator!$D$25/100/12)</f>
      </c>
      <c r="Q141" s="0">
        <f>BS140*(1+Calculator!$D$26/100/12)</f>
      </c>
      <c r="R141" s="0">
        <f>BT140*(1+Calculator!$D$27/100/12)</f>
      </c>
      <c r="S141" s="0">
        <f>BU140*(1+Calculator!$D$28/100/12)</f>
      </c>
      <c r="T141" s="0">
        <f>MAX(0,B141-Calculator!$E$11)</f>
      </c>
      <c r="U141" s="0">
        <f>MAX(0,C141-Calculator!$E$12)</f>
      </c>
      <c r="V141" s="0">
        <f>MAX(0,D141-Calculator!$E$13)</f>
      </c>
      <c r="W141" s="0">
        <f>MAX(0,E141-Calculator!$E$14)</f>
      </c>
      <c r="X141" s="0">
        <f>MAX(0,F141-Calculator!$E$15)</f>
      </c>
      <c r="Y141" s="0">
        <f>MAX(0,G141-Calculator!$E$16)</f>
      </c>
      <c r="Z141" s="0">
        <f>MAX(0,H141-Calculator!$E$17)</f>
      </c>
      <c r="AA141" s="0">
        <f>MAX(0,I141-Calculator!$E$18)</f>
      </c>
      <c r="AB141" s="0">
        <f>MAX(0,J141-Calculator!$E$19)</f>
      </c>
      <c r="AC141" s="0">
        <f>MAX(0,K141-Calculator!$E$20)</f>
      </c>
      <c r="AD141" s="0">
        <f>MAX(0,L141-Calculator!$E$21)</f>
      </c>
      <c r="AE141" s="0">
        <f>MAX(0,M141-Calculator!$E$22)</f>
      </c>
      <c r="AF141" s="0">
        <f>MAX(0,N141-Calculator!$E$23)</f>
      </c>
      <c r="AG141" s="0">
        <f>MAX(0,O141-Calculator!$E$24)</f>
      </c>
      <c r="AH141" s="0">
        <f>MAX(0,P141-Calculator!$E$25)</f>
      </c>
      <c r="AI141" s="0">
        <f>MAX(0,Q141-Calculator!$E$26)</f>
      </c>
      <c r="AJ141" s="0">
        <f>MAX(0,R141-Calculator!$E$27)</f>
      </c>
      <c r="AK141" s="0">
        <f>MAX(0,S141-Calculator!$E$28)</f>
      </c>
      <c r="AL141" s="0">
        <f>MAX(0,MIN(T141,BX141-SUMPRODUCT(($T$2:$AK$2&lt;T$2)*($T141:$AK141))))</f>
      </c>
      <c r="AM141" s="0">
        <f>MAX(0,MIN(U141,BX141-SUMPRODUCT(($T$2:$AK$2&lt;U$2)*($T141:$AK141))))</f>
      </c>
      <c r="AN141" s="0">
        <f>MAX(0,MIN(V141,BX141-SUMPRODUCT(($T$2:$AK$2&lt;V$2)*($T141:$AK141))))</f>
      </c>
      <c r="AO141" s="0">
        <f>MAX(0,MIN(W141,BX141-SUMPRODUCT(($T$2:$AK$2&lt;W$2)*($T141:$AK141))))</f>
      </c>
      <c r="AP141" s="0">
        <f>MAX(0,MIN(X141,BX141-SUMPRODUCT(($T$2:$AK$2&lt;X$2)*($T141:$AK141))))</f>
      </c>
      <c r="AQ141" s="0">
        <f>MAX(0,MIN(Y141,BX141-SUMPRODUCT(($T$2:$AK$2&lt;Y$2)*($T141:$AK141))))</f>
      </c>
      <c r="AR141" s="0">
        <f>MAX(0,MIN(Z141,BX141-SUMPRODUCT(($T$2:$AK$2&lt;Z$2)*($T141:$AK141))))</f>
      </c>
      <c r="AS141" s="0">
        <f>MAX(0,MIN(AA141,BX141-SUMPRODUCT(($T$2:$AK$2&lt;AA$2)*($T141:$AK141))))</f>
      </c>
      <c r="AT141" s="0">
        <f>MAX(0,MIN(AB141,BX141-SUMPRODUCT(($T$2:$AK$2&lt;AB$2)*($T141:$AK141))))</f>
      </c>
      <c r="AU141" s="0">
        <f>MAX(0,MIN(AC141,BX141-SUMPRODUCT(($T$2:$AK$2&lt;AC$2)*($T141:$AK141))))</f>
      </c>
      <c r="AV141" s="0">
        <f>MAX(0,MIN(AD141,BX141-SUMPRODUCT(($T$2:$AK$2&lt;AD$2)*($T141:$AK141))))</f>
      </c>
      <c r="AW141" s="0">
        <f>MAX(0,MIN(AE141,BX141-SUMPRODUCT(($T$2:$AK$2&lt;AE$2)*($T141:$AK141))))</f>
      </c>
      <c r="AX141" s="0">
        <f>MAX(0,MIN(AF141,BX141-SUMPRODUCT(($T$2:$AK$2&lt;AF$2)*($T141:$AK141))))</f>
      </c>
      <c r="AY141" s="0">
        <f>MAX(0,MIN(AG141,BX141-SUMPRODUCT(($T$2:$AK$2&lt;AG$2)*($T141:$AK141))))</f>
      </c>
      <c r="AZ141" s="0">
        <f>MAX(0,MIN(AH141,BX141-SUMPRODUCT(($T$2:$AK$2&lt;AH$2)*($T141:$AK141))))</f>
      </c>
      <c r="BA141" s="0">
        <f>MAX(0,MIN(AI141,BX141-SUMPRODUCT(($T$2:$AK$2&lt;AI$2)*($T141:$AK141))))</f>
      </c>
      <c r="BB141" s="0">
        <f>MAX(0,MIN(AJ141,BX141-SUMPRODUCT(($T$2:$AK$2&lt;AJ$2)*($T141:$AK141))))</f>
      </c>
      <c r="BC141" s="0">
        <f>MAX(0,MIN(AK141,BX141-SUMPRODUCT(($T$2:$AK$2&lt;AK$2)*($T141:$AK141))))</f>
      </c>
      <c r="BD141" s="0">
        <f>T141-AL141</f>
      </c>
      <c r="BE141" s="0">
        <f>U141-AM141</f>
      </c>
      <c r="BF141" s="0">
        <f>V141-AN141</f>
      </c>
      <c r="BG141" s="0">
        <f>W141-AO141</f>
      </c>
      <c r="BH141" s="0">
        <f>X141-AP141</f>
      </c>
      <c r="BI141" s="0">
        <f>Y141-AQ141</f>
      </c>
      <c r="BJ141" s="0">
        <f>Z141-AR141</f>
      </c>
      <c r="BK141" s="0">
        <f>AA141-AS141</f>
      </c>
      <c r="BL141" s="0">
        <f>AB141-AT141</f>
      </c>
      <c r="BM141" s="0">
        <f>AC141-AU141</f>
      </c>
      <c r="BN141" s="0">
        <f>AD141-AV141</f>
      </c>
      <c r="BO141" s="0">
        <f>AE141-AW141</f>
      </c>
      <c r="BP141" s="0">
        <f>AF141-AX141</f>
      </c>
      <c r="BQ141" s="0">
        <f>AG141-AY141</f>
      </c>
      <c r="BR141" s="0">
        <f>AH141-AZ141</f>
      </c>
      <c r="BS141" s="0">
        <f>AI141-BA141</f>
      </c>
      <c r="BT141" s="0">
        <f>AJ141-BB141</f>
      </c>
      <c r="BU141" s="0">
        <f>AK141-BC141</f>
      </c>
      <c r="BV141" s="0">
        <f>SUM(B141:S141)</f>
      </c>
      <c r="BW141" s="0">
        <f>SUM(T141:AK141)</f>
      </c>
      <c r="BX141" s="0">
        <f>MAX(0,(SUM(Calculator!$E$11:$E$28)+Calculator!$C$6)-BV141+BW141)</f>
      </c>
      <c r="BY141" s="0">
        <f>SUM(BD141:BU141)</f>
      </c>
      <c r="BZ141" s="0">
        <f>BV141-BY140</f>
      </c>
      <c r="CA141" s="0">
        <f>IF(A141&lt;=IF($CD$1=0,999,$CD$1),BY141,NA())</f>
      </c>
      <c r="CB141" s="0">
        <f>IF(A141&lt;=IF($CD$1=0,999,$CD$1),A141,NA())</f>
      </c>
    </row>
    <row r="142">
      <c r="A142" s="0">
        <v>139</v>
      </c>
      <c r="B142" s="0">
        <f>BD141*(1+Calculator!$D$11/100/12)</f>
      </c>
      <c r="C142" s="0">
        <f>BE141*(1+Calculator!$D$12/100/12)</f>
      </c>
      <c r="D142" s="0">
        <f>BF141*(1+Calculator!$D$13/100/12)</f>
      </c>
      <c r="E142" s="0">
        <f>BG141*(1+Calculator!$D$14/100/12)</f>
      </c>
      <c r="F142" s="0">
        <f>BH141*(1+Calculator!$D$15/100/12)</f>
      </c>
      <c r="G142" s="0">
        <f>BI141*(1+Calculator!$D$16/100/12)</f>
      </c>
      <c r="H142" s="0">
        <f>BJ141*(1+Calculator!$D$17/100/12)</f>
      </c>
      <c r="I142" s="0">
        <f>BK141*(1+Calculator!$D$18/100/12)</f>
      </c>
      <c r="J142" s="0">
        <f>BL141*(1+Calculator!$D$19/100/12)</f>
      </c>
      <c r="K142" s="0">
        <f>BM141*(1+Calculator!$D$20/100/12)</f>
      </c>
      <c r="L142" s="0">
        <f>BN141*(1+Calculator!$D$21/100/12)</f>
      </c>
      <c r="M142" s="0">
        <f>BO141*(1+Calculator!$D$22/100/12)</f>
      </c>
      <c r="N142" s="0">
        <f>BP141*(1+Calculator!$D$23/100/12)</f>
      </c>
      <c r="O142" s="0">
        <f>BQ141*(1+Calculator!$D$24/100/12)</f>
      </c>
      <c r="P142" s="0">
        <f>BR141*(1+Calculator!$D$25/100/12)</f>
      </c>
      <c r="Q142" s="0">
        <f>BS141*(1+Calculator!$D$26/100/12)</f>
      </c>
      <c r="R142" s="0">
        <f>BT141*(1+Calculator!$D$27/100/12)</f>
      </c>
      <c r="S142" s="0">
        <f>BU141*(1+Calculator!$D$28/100/12)</f>
      </c>
      <c r="T142" s="0">
        <f>MAX(0,B142-Calculator!$E$11)</f>
      </c>
      <c r="U142" s="0">
        <f>MAX(0,C142-Calculator!$E$12)</f>
      </c>
      <c r="V142" s="0">
        <f>MAX(0,D142-Calculator!$E$13)</f>
      </c>
      <c r="W142" s="0">
        <f>MAX(0,E142-Calculator!$E$14)</f>
      </c>
      <c r="X142" s="0">
        <f>MAX(0,F142-Calculator!$E$15)</f>
      </c>
      <c r="Y142" s="0">
        <f>MAX(0,G142-Calculator!$E$16)</f>
      </c>
      <c r="Z142" s="0">
        <f>MAX(0,H142-Calculator!$E$17)</f>
      </c>
      <c r="AA142" s="0">
        <f>MAX(0,I142-Calculator!$E$18)</f>
      </c>
      <c r="AB142" s="0">
        <f>MAX(0,J142-Calculator!$E$19)</f>
      </c>
      <c r="AC142" s="0">
        <f>MAX(0,K142-Calculator!$E$20)</f>
      </c>
      <c r="AD142" s="0">
        <f>MAX(0,L142-Calculator!$E$21)</f>
      </c>
      <c r="AE142" s="0">
        <f>MAX(0,M142-Calculator!$E$22)</f>
      </c>
      <c r="AF142" s="0">
        <f>MAX(0,N142-Calculator!$E$23)</f>
      </c>
      <c r="AG142" s="0">
        <f>MAX(0,O142-Calculator!$E$24)</f>
      </c>
      <c r="AH142" s="0">
        <f>MAX(0,P142-Calculator!$E$25)</f>
      </c>
      <c r="AI142" s="0">
        <f>MAX(0,Q142-Calculator!$E$26)</f>
      </c>
      <c r="AJ142" s="0">
        <f>MAX(0,R142-Calculator!$E$27)</f>
      </c>
      <c r="AK142" s="0">
        <f>MAX(0,S142-Calculator!$E$28)</f>
      </c>
      <c r="AL142" s="0">
        <f>MAX(0,MIN(T142,BX142-SUMPRODUCT(($T$2:$AK$2&lt;T$2)*($T142:$AK142))))</f>
      </c>
      <c r="AM142" s="0">
        <f>MAX(0,MIN(U142,BX142-SUMPRODUCT(($T$2:$AK$2&lt;U$2)*($T142:$AK142))))</f>
      </c>
      <c r="AN142" s="0">
        <f>MAX(0,MIN(V142,BX142-SUMPRODUCT(($T$2:$AK$2&lt;V$2)*($T142:$AK142))))</f>
      </c>
      <c r="AO142" s="0">
        <f>MAX(0,MIN(W142,BX142-SUMPRODUCT(($T$2:$AK$2&lt;W$2)*($T142:$AK142))))</f>
      </c>
      <c r="AP142" s="0">
        <f>MAX(0,MIN(X142,BX142-SUMPRODUCT(($T$2:$AK$2&lt;X$2)*($T142:$AK142))))</f>
      </c>
      <c r="AQ142" s="0">
        <f>MAX(0,MIN(Y142,BX142-SUMPRODUCT(($T$2:$AK$2&lt;Y$2)*($T142:$AK142))))</f>
      </c>
      <c r="AR142" s="0">
        <f>MAX(0,MIN(Z142,BX142-SUMPRODUCT(($T$2:$AK$2&lt;Z$2)*($T142:$AK142))))</f>
      </c>
      <c r="AS142" s="0">
        <f>MAX(0,MIN(AA142,BX142-SUMPRODUCT(($T$2:$AK$2&lt;AA$2)*($T142:$AK142))))</f>
      </c>
      <c r="AT142" s="0">
        <f>MAX(0,MIN(AB142,BX142-SUMPRODUCT(($T$2:$AK$2&lt;AB$2)*($T142:$AK142))))</f>
      </c>
      <c r="AU142" s="0">
        <f>MAX(0,MIN(AC142,BX142-SUMPRODUCT(($T$2:$AK$2&lt;AC$2)*($T142:$AK142))))</f>
      </c>
      <c r="AV142" s="0">
        <f>MAX(0,MIN(AD142,BX142-SUMPRODUCT(($T$2:$AK$2&lt;AD$2)*($T142:$AK142))))</f>
      </c>
      <c r="AW142" s="0">
        <f>MAX(0,MIN(AE142,BX142-SUMPRODUCT(($T$2:$AK$2&lt;AE$2)*($T142:$AK142))))</f>
      </c>
      <c r="AX142" s="0">
        <f>MAX(0,MIN(AF142,BX142-SUMPRODUCT(($T$2:$AK$2&lt;AF$2)*($T142:$AK142))))</f>
      </c>
      <c r="AY142" s="0">
        <f>MAX(0,MIN(AG142,BX142-SUMPRODUCT(($T$2:$AK$2&lt;AG$2)*($T142:$AK142))))</f>
      </c>
      <c r="AZ142" s="0">
        <f>MAX(0,MIN(AH142,BX142-SUMPRODUCT(($T$2:$AK$2&lt;AH$2)*($T142:$AK142))))</f>
      </c>
      <c r="BA142" s="0">
        <f>MAX(0,MIN(AI142,BX142-SUMPRODUCT(($T$2:$AK$2&lt;AI$2)*($T142:$AK142))))</f>
      </c>
      <c r="BB142" s="0">
        <f>MAX(0,MIN(AJ142,BX142-SUMPRODUCT(($T$2:$AK$2&lt;AJ$2)*($T142:$AK142))))</f>
      </c>
      <c r="BC142" s="0">
        <f>MAX(0,MIN(AK142,BX142-SUMPRODUCT(($T$2:$AK$2&lt;AK$2)*($T142:$AK142))))</f>
      </c>
      <c r="BD142" s="0">
        <f>T142-AL142</f>
      </c>
      <c r="BE142" s="0">
        <f>U142-AM142</f>
      </c>
      <c r="BF142" s="0">
        <f>V142-AN142</f>
      </c>
      <c r="BG142" s="0">
        <f>W142-AO142</f>
      </c>
      <c r="BH142" s="0">
        <f>X142-AP142</f>
      </c>
      <c r="BI142" s="0">
        <f>Y142-AQ142</f>
      </c>
      <c r="BJ142" s="0">
        <f>Z142-AR142</f>
      </c>
      <c r="BK142" s="0">
        <f>AA142-AS142</f>
      </c>
      <c r="BL142" s="0">
        <f>AB142-AT142</f>
      </c>
      <c r="BM142" s="0">
        <f>AC142-AU142</f>
      </c>
      <c r="BN142" s="0">
        <f>AD142-AV142</f>
      </c>
      <c r="BO142" s="0">
        <f>AE142-AW142</f>
      </c>
      <c r="BP142" s="0">
        <f>AF142-AX142</f>
      </c>
      <c r="BQ142" s="0">
        <f>AG142-AY142</f>
      </c>
      <c r="BR142" s="0">
        <f>AH142-AZ142</f>
      </c>
      <c r="BS142" s="0">
        <f>AI142-BA142</f>
      </c>
      <c r="BT142" s="0">
        <f>AJ142-BB142</f>
      </c>
      <c r="BU142" s="0">
        <f>AK142-BC142</f>
      </c>
      <c r="BV142" s="0">
        <f>SUM(B142:S142)</f>
      </c>
      <c r="BW142" s="0">
        <f>SUM(T142:AK142)</f>
      </c>
      <c r="BX142" s="0">
        <f>MAX(0,(SUM(Calculator!$E$11:$E$28)+Calculator!$C$6)-BV142+BW142)</f>
      </c>
      <c r="BY142" s="0">
        <f>SUM(BD142:BU142)</f>
      </c>
      <c r="BZ142" s="0">
        <f>BV142-BY141</f>
      </c>
      <c r="CA142" s="0">
        <f>IF(A142&lt;=IF($CD$1=0,999,$CD$1),BY142,NA())</f>
      </c>
      <c r="CB142" s="0">
        <f>IF(A142&lt;=IF($CD$1=0,999,$CD$1),A142,NA())</f>
      </c>
    </row>
    <row r="143">
      <c r="A143" s="0">
        <v>140</v>
      </c>
      <c r="B143" s="0">
        <f>BD142*(1+Calculator!$D$11/100/12)</f>
      </c>
      <c r="C143" s="0">
        <f>BE142*(1+Calculator!$D$12/100/12)</f>
      </c>
      <c r="D143" s="0">
        <f>BF142*(1+Calculator!$D$13/100/12)</f>
      </c>
      <c r="E143" s="0">
        <f>BG142*(1+Calculator!$D$14/100/12)</f>
      </c>
      <c r="F143" s="0">
        <f>BH142*(1+Calculator!$D$15/100/12)</f>
      </c>
      <c r="G143" s="0">
        <f>BI142*(1+Calculator!$D$16/100/12)</f>
      </c>
      <c r="H143" s="0">
        <f>BJ142*(1+Calculator!$D$17/100/12)</f>
      </c>
      <c r="I143" s="0">
        <f>BK142*(1+Calculator!$D$18/100/12)</f>
      </c>
      <c r="J143" s="0">
        <f>BL142*(1+Calculator!$D$19/100/12)</f>
      </c>
      <c r="K143" s="0">
        <f>BM142*(1+Calculator!$D$20/100/12)</f>
      </c>
      <c r="L143" s="0">
        <f>BN142*(1+Calculator!$D$21/100/12)</f>
      </c>
      <c r="M143" s="0">
        <f>BO142*(1+Calculator!$D$22/100/12)</f>
      </c>
      <c r="N143" s="0">
        <f>BP142*(1+Calculator!$D$23/100/12)</f>
      </c>
      <c r="O143" s="0">
        <f>BQ142*(1+Calculator!$D$24/100/12)</f>
      </c>
      <c r="P143" s="0">
        <f>BR142*(1+Calculator!$D$25/100/12)</f>
      </c>
      <c r="Q143" s="0">
        <f>BS142*(1+Calculator!$D$26/100/12)</f>
      </c>
      <c r="R143" s="0">
        <f>BT142*(1+Calculator!$D$27/100/12)</f>
      </c>
      <c r="S143" s="0">
        <f>BU142*(1+Calculator!$D$28/100/12)</f>
      </c>
      <c r="T143" s="0">
        <f>MAX(0,B143-Calculator!$E$11)</f>
      </c>
      <c r="U143" s="0">
        <f>MAX(0,C143-Calculator!$E$12)</f>
      </c>
      <c r="V143" s="0">
        <f>MAX(0,D143-Calculator!$E$13)</f>
      </c>
      <c r="W143" s="0">
        <f>MAX(0,E143-Calculator!$E$14)</f>
      </c>
      <c r="X143" s="0">
        <f>MAX(0,F143-Calculator!$E$15)</f>
      </c>
      <c r="Y143" s="0">
        <f>MAX(0,G143-Calculator!$E$16)</f>
      </c>
      <c r="Z143" s="0">
        <f>MAX(0,H143-Calculator!$E$17)</f>
      </c>
      <c r="AA143" s="0">
        <f>MAX(0,I143-Calculator!$E$18)</f>
      </c>
      <c r="AB143" s="0">
        <f>MAX(0,J143-Calculator!$E$19)</f>
      </c>
      <c r="AC143" s="0">
        <f>MAX(0,K143-Calculator!$E$20)</f>
      </c>
      <c r="AD143" s="0">
        <f>MAX(0,L143-Calculator!$E$21)</f>
      </c>
      <c r="AE143" s="0">
        <f>MAX(0,M143-Calculator!$E$22)</f>
      </c>
      <c r="AF143" s="0">
        <f>MAX(0,N143-Calculator!$E$23)</f>
      </c>
      <c r="AG143" s="0">
        <f>MAX(0,O143-Calculator!$E$24)</f>
      </c>
      <c r="AH143" s="0">
        <f>MAX(0,P143-Calculator!$E$25)</f>
      </c>
      <c r="AI143" s="0">
        <f>MAX(0,Q143-Calculator!$E$26)</f>
      </c>
      <c r="AJ143" s="0">
        <f>MAX(0,R143-Calculator!$E$27)</f>
      </c>
      <c r="AK143" s="0">
        <f>MAX(0,S143-Calculator!$E$28)</f>
      </c>
      <c r="AL143" s="0">
        <f>MAX(0,MIN(T143,BX143-SUMPRODUCT(($T$2:$AK$2&lt;T$2)*($T143:$AK143))))</f>
      </c>
      <c r="AM143" s="0">
        <f>MAX(0,MIN(U143,BX143-SUMPRODUCT(($T$2:$AK$2&lt;U$2)*($T143:$AK143))))</f>
      </c>
      <c r="AN143" s="0">
        <f>MAX(0,MIN(V143,BX143-SUMPRODUCT(($T$2:$AK$2&lt;V$2)*($T143:$AK143))))</f>
      </c>
      <c r="AO143" s="0">
        <f>MAX(0,MIN(W143,BX143-SUMPRODUCT(($T$2:$AK$2&lt;W$2)*($T143:$AK143))))</f>
      </c>
      <c r="AP143" s="0">
        <f>MAX(0,MIN(X143,BX143-SUMPRODUCT(($T$2:$AK$2&lt;X$2)*($T143:$AK143))))</f>
      </c>
      <c r="AQ143" s="0">
        <f>MAX(0,MIN(Y143,BX143-SUMPRODUCT(($T$2:$AK$2&lt;Y$2)*($T143:$AK143))))</f>
      </c>
      <c r="AR143" s="0">
        <f>MAX(0,MIN(Z143,BX143-SUMPRODUCT(($T$2:$AK$2&lt;Z$2)*($T143:$AK143))))</f>
      </c>
      <c r="AS143" s="0">
        <f>MAX(0,MIN(AA143,BX143-SUMPRODUCT(($T$2:$AK$2&lt;AA$2)*($T143:$AK143))))</f>
      </c>
      <c r="AT143" s="0">
        <f>MAX(0,MIN(AB143,BX143-SUMPRODUCT(($T$2:$AK$2&lt;AB$2)*($T143:$AK143))))</f>
      </c>
      <c r="AU143" s="0">
        <f>MAX(0,MIN(AC143,BX143-SUMPRODUCT(($T$2:$AK$2&lt;AC$2)*($T143:$AK143))))</f>
      </c>
      <c r="AV143" s="0">
        <f>MAX(0,MIN(AD143,BX143-SUMPRODUCT(($T$2:$AK$2&lt;AD$2)*($T143:$AK143))))</f>
      </c>
      <c r="AW143" s="0">
        <f>MAX(0,MIN(AE143,BX143-SUMPRODUCT(($T$2:$AK$2&lt;AE$2)*($T143:$AK143))))</f>
      </c>
      <c r="AX143" s="0">
        <f>MAX(0,MIN(AF143,BX143-SUMPRODUCT(($T$2:$AK$2&lt;AF$2)*($T143:$AK143))))</f>
      </c>
      <c r="AY143" s="0">
        <f>MAX(0,MIN(AG143,BX143-SUMPRODUCT(($T$2:$AK$2&lt;AG$2)*($T143:$AK143))))</f>
      </c>
      <c r="AZ143" s="0">
        <f>MAX(0,MIN(AH143,BX143-SUMPRODUCT(($T$2:$AK$2&lt;AH$2)*($T143:$AK143))))</f>
      </c>
      <c r="BA143" s="0">
        <f>MAX(0,MIN(AI143,BX143-SUMPRODUCT(($T$2:$AK$2&lt;AI$2)*($T143:$AK143))))</f>
      </c>
      <c r="BB143" s="0">
        <f>MAX(0,MIN(AJ143,BX143-SUMPRODUCT(($T$2:$AK$2&lt;AJ$2)*($T143:$AK143))))</f>
      </c>
      <c r="BC143" s="0">
        <f>MAX(0,MIN(AK143,BX143-SUMPRODUCT(($T$2:$AK$2&lt;AK$2)*($T143:$AK143))))</f>
      </c>
      <c r="BD143" s="0">
        <f>T143-AL143</f>
      </c>
      <c r="BE143" s="0">
        <f>U143-AM143</f>
      </c>
      <c r="BF143" s="0">
        <f>V143-AN143</f>
      </c>
      <c r="BG143" s="0">
        <f>W143-AO143</f>
      </c>
      <c r="BH143" s="0">
        <f>X143-AP143</f>
      </c>
      <c r="BI143" s="0">
        <f>Y143-AQ143</f>
      </c>
      <c r="BJ143" s="0">
        <f>Z143-AR143</f>
      </c>
      <c r="BK143" s="0">
        <f>AA143-AS143</f>
      </c>
      <c r="BL143" s="0">
        <f>AB143-AT143</f>
      </c>
      <c r="BM143" s="0">
        <f>AC143-AU143</f>
      </c>
      <c r="BN143" s="0">
        <f>AD143-AV143</f>
      </c>
      <c r="BO143" s="0">
        <f>AE143-AW143</f>
      </c>
      <c r="BP143" s="0">
        <f>AF143-AX143</f>
      </c>
      <c r="BQ143" s="0">
        <f>AG143-AY143</f>
      </c>
      <c r="BR143" s="0">
        <f>AH143-AZ143</f>
      </c>
      <c r="BS143" s="0">
        <f>AI143-BA143</f>
      </c>
      <c r="BT143" s="0">
        <f>AJ143-BB143</f>
      </c>
      <c r="BU143" s="0">
        <f>AK143-BC143</f>
      </c>
      <c r="BV143" s="0">
        <f>SUM(B143:S143)</f>
      </c>
      <c r="BW143" s="0">
        <f>SUM(T143:AK143)</f>
      </c>
      <c r="BX143" s="0">
        <f>MAX(0,(SUM(Calculator!$E$11:$E$28)+Calculator!$C$6)-BV143+BW143)</f>
      </c>
      <c r="BY143" s="0">
        <f>SUM(BD143:BU143)</f>
      </c>
      <c r="BZ143" s="0">
        <f>BV143-BY142</f>
      </c>
      <c r="CA143" s="0">
        <f>IF(A143&lt;=IF($CD$1=0,999,$CD$1),BY143,NA())</f>
      </c>
      <c r="CB143" s="0">
        <f>IF(A143&lt;=IF($CD$1=0,999,$CD$1),A143,NA())</f>
      </c>
    </row>
    <row r="144">
      <c r="A144" s="0">
        <v>141</v>
      </c>
      <c r="B144" s="0">
        <f>BD143*(1+Calculator!$D$11/100/12)</f>
      </c>
      <c r="C144" s="0">
        <f>BE143*(1+Calculator!$D$12/100/12)</f>
      </c>
      <c r="D144" s="0">
        <f>BF143*(1+Calculator!$D$13/100/12)</f>
      </c>
      <c r="E144" s="0">
        <f>BG143*(1+Calculator!$D$14/100/12)</f>
      </c>
      <c r="F144" s="0">
        <f>BH143*(1+Calculator!$D$15/100/12)</f>
      </c>
      <c r="G144" s="0">
        <f>BI143*(1+Calculator!$D$16/100/12)</f>
      </c>
      <c r="H144" s="0">
        <f>BJ143*(1+Calculator!$D$17/100/12)</f>
      </c>
      <c r="I144" s="0">
        <f>BK143*(1+Calculator!$D$18/100/12)</f>
      </c>
      <c r="J144" s="0">
        <f>BL143*(1+Calculator!$D$19/100/12)</f>
      </c>
      <c r="K144" s="0">
        <f>BM143*(1+Calculator!$D$20/100/12)</f>
      </c>
      <c r="L144" s="0">
        <f>BN143*(1+Calculator!$D$21/100/12)</f>
      </c>
      <c r="M144" s="0">
        <f>BO143*(1+Calculator!$D$22/100/12)</f>
      </c>
      <c r="N144" s="0">
        <f>BP143*(1+Calculator!$D$23/100/12)</f>
      </c>
      <c r="O144" s="0">
        <f>BQ143*(1+Calculator!$D$24/100/12)</f>
      </c>
      <c r="P144" s="0">
        <f>BR143*(1+Calculator!$D$25/100/12)</f>
      </c>
      <c r="Q144" s="0">
        <f>BS143*(1+Calculator!$D$26/100/12)</f>
      </c>
      <c r="R144" s="0">
        <f>BT143*(1+Calculator!$D$27/100/12)</f>
      </c>
      <c r="S144" s="0">
        <f>BU143*(1+Calculator!$D$28/100/12)</f>
      </c>
      <c r="T144" s="0">
        <f>MAX(0,B144-Calculator!$E$11)</f>
      </c>
      <c r="U144" s="0">
        <f>MAX(0,C144-Calculator!$E$12)</f>
      </c>
      <c r="V144" s="0">
        <f>MAX(0,D144-Calculator!$E$13)</f>
      </c>
      <c r="W144" s="0">
        <f>MAX(0,E144-Calculator!$E$14)</f>
      </c>
      <c r="X144" s="0">
        <f>MAX(0,F144-Calculator!$E$15)</f>
      </c>
      <c r="Y144" s="0">
        <f>MAX(0,G144-Calculator!$E$16)</f>
      </c>
      <c r="Z144" s="0">
        <f>MAX(0,H144-Calculator!$E$17)</f>
      </c>
      <c r="AA144" s="0">
        <f>MAX(0,I144-Calculator!$E$18)</f>
      </c>
      <c r="AB144" s="0">
        <f>MAX(0,J144-Calculator!$E$19)</f>
      </c>
      <c r="AC144" s="0">
        <f>MAX(0,K144-Calculator!$E$20)</f>
      </c>
      <c r="AD144" s="0">
        <f>MAX(0,L144-Calculator!$E$21)</f>
      </c>
      <c r="AE144" s="0">
        <f>MAX(0,M144-Calculator!$E$22)</f>
      </c>
      <c r="AF144" s="0">
        <f>MAX(0,N144-Calculator!$E$23)</f>
      </c>
      <c r="AG144" s="0">
        <f>MAX(0,O144-Calculator!$E$24)</f>
      </c>
      <c r="AH144" s="0">
        <f>MAX(0,P144-Calculator!$E$25)</f>
      </c>
      <c r="AI144" s="0">
        <f>MAX(0,Q144-Calculator!$E$26)</f>
      </c>
      <c r="AJ144" s="0">
        <f>MAX(0,R144-Calculator!$E$27)</f>
      </c>
      <c r="AK144" s="0">
        <f>MAX(0,S144-Calculator!$E$28)</f>
      </c>
      <c r="AL144" s="0">
        <f>MAX(0,MIN(T144,BX144-SUMPRODUCT(($T$2:$AK$2&lt;T$2)*($T144:$AK144))))</f>
      </c>
      <c r="AM144" s="0">
        <f>MAX(0,MIN(U144,BX144-SUMPRODUCT(($T$2:$AK$2&lt;U$2)*($T144:$AK144))))</f>
      </c>
      <c r="AN144" s="0">
        <f>MAX(0,MIN(V144,BX144-SUMPRODUCT(($T$2:$AK$2&lt;V$2)*($T144:$AK144))))</f>
      </c>
      <c r="AO144" s="0">
        <f>MAX(0,MIN(W144,BX144-SUMPRODUCT(($T$2:$AK$2&lt;W$2)*($T144:$AK144))))</f>
      </c>
      <c r="AP144" s="0">
        <f>MAX(0,MIN(X144,BX144-SUMPRODUCT(($T$2:$AK$2&lt;X$2)*($T144:$AK144))))</f>
      </c>
      <c r="AQ144" s="0">
        <f>MAX(0,MIN(Y144,BX144-SUMPRODUCT(($T$2:$AK$2&lt;Y$2)*($T144:$AK144))))</f>
      </c>
      <c r="AR144" s="0">
        <f>MAX(0,MIN(Z144,BX144-SUMPRODUCT(($T$2:$AK$2&lt;Z$2)*($T144:$AK144))))</f>
      </c>
      <c r="AS144" s="0">
        <f>MAX(0,MIN(AA144,BX144-SUMPRODUCT(($T$2:$AK$2&lt;AA$2)*($T144:$AK144))))</f>
      </c>
      <c r="AT144" s="0">
        <f>MAX(0,MIN(AB144,BX144-SUMPRODUCT(($T$2:$AK$2&lt;AB$2)*($T144:$AK144))))</f>
      </c>
      <c r="AU144" s="0">
        <f>MAX(0,MIN(AC144,BX144-SUMPRODUCT(($T$2:$AK$2&lt;AC$2)*($T144:$AK144))))</f>
      </c>
      <c r="AV144" s="0">
        <f>MAX(0,MIN(AD144,BX144-SUMPRODUCT(($T$2:$AK$2&lt;AD$2)*($T144:$AK144))))</f>
      </c>
      <c r="AW144" s="0">
        <f>MAX(0,MIN(AE144,BX144-SUMPRODUCT(($T$2:$AK$2&lt;AE$2)*($T144:$AK144))))</f>
      </c>
      <c r="AX144" s="0">
        <f>MAX(0,MIN(AF144,BX144-SUMPRODUCT(($T$2:$AK$2&lt;AF$2)*($T144:$AK144))))</f>
      </c>
      <c r="AY144" s="0">
        <f>MAX(0,MIN(AG144,BX144-SUMPRODUCT(($T$2:$AK$2&lt;AG$2)*($T144:$AK144))))</f>
      </c>
      <c r="AZ144" s="0">
        <f>MAX(0,MIN(AH144,BX144-SUMPRODUCT(($T$2:$AK$2&lt;AH$2)*($T144:$AK144))))</f>
      </c>
      <c r="BA144" s="0">
        <f>MAX(0,MIN(AI144,BX144-SUMPRODUCT(($T$2:$AK$2&lt;AI$2)*($T144:$AK144))))</f>
      </c>
      <c r="BB144" s="0">
        <f>MAX(0,MIN(AJ144,BX144-SUMPRODUCT(($T$2:$AK$2&lt;AJ$2)*($T144:$AK144))))</f>
      </c>
      <c r="BC144" s="0">
        <f>MAX(0,MIN(AK144,BX144-SUMPRODUCT(($T$2:$AK$2&lt;AK$2)*($T144:$AK144))))</f>
      </c>
      <c r="BD144" s="0">
        <f>T144-AL144</f>
      </c>
      <c r="BE144" s="0">
        <f>U144-AM144</f>
      </c>
      <c r="BF144" s="0">
        <f>V144-AN144</f>
      </c>
      <c r="BG144" s="0">
        <f>W144-AO144</f>
      </c>
      <c r="BH144" s="0">
        <f>X144-AP144</f>
      </c>
      <c r="BI144" s="0">
        <f>Y144-AQ144</f>
      </c>
      <c r="BJ144" s="0">
        <f>Z144-AR144</f>
      </c>
      <c r="BK144" s="0">
        <f>AA144-AS144</f>
      </c>
      <c r="BL144" s="0">
        <f>AB144-AT144</f>
      </c>
      <c r="BM144" s="0">
        <f>AC144-AU144</f>
      </c>
      <c r="BN144" s="0">
        <f>AD144-AV144</f>
      </c>
      <c r="BO144" s="0">
        <f>AE144-AW144</f>
      </c>
      <c r="BP144" s="0">
        <f>AF144-AX144</f>
      </c>
      <c r="BQ144" s="0">
        <f>AG144-AY144</f>
      </c>
      <c r="BR144" s="0">
        <f>AH144-AZ144</f>
      </c>
      <c r="BS144" s="0">
        <f>AI144-BA144</f>
      </c>
      <c r="BT144" s="0">
        <f>AJ144-BB144</f>
      </c>
      <c r="BU144" s="0">
        <f>AK144-BC144</f>
      </c>
      <c r="BV144" s="0">
        <f>SUM(B144:S144)</f>
      </c>
      <c r="BW144" s="0">
        <f>SUM(T144:AK144)</f>
      </c>
      <c r="BX144" s="0">
        <f>MAX(0,(SUM(Calculator!$E$11:$E$28)+Calculator!$C$6)-BV144+BW144)</f>
      </c>
      <c r="BY144" s="0">
        <f>SUM(BD144:BU144)</f>
      </c>
      <c r="BZ144" s="0">
        <f>BV144-BY143</f>
      </c>
      <c r="CA144" s="0">
        <f>IF(A144&lt;=IF($CD$1=0,999,$CD$1),BY144,NA())</f>
      </c>
      <c r="CB144" s="0">
        <f>IF(A144&lt;=IF($CD$1=0,999,$CD$1),A144,NA())</f>
      </c>
    </row>
    <row r="145">
      <c r="A145" s="0">
        <v>142</v>
      </c>
      <c r="B145" s="0">
        <f>BD144*(1+Calculator!$D$11/100/12)</f>
      </c>
      <c r="C145" s="0">
        <f>BE144*(1+Calculator!$D$12/100/12)</f>
      </c>
      <c r="D145" s="0">
        <f>BF144*(1+Calculator!$D$13/100/12)</f>
      </c>
      <c r="E145" s="0">
        <f>BG144*(1+Calculator!$D$14/100/12)</f>
      </c>
      <c r="F145" s="0">
        <f>BH144*(1+Calculator!$D$15/100/12)</f>
      </c>
      <c r="G145" s="0">
        <f>BI144*(1+Calculator!$D$16/100/12)</f>
      </c>
      <c r="H145" s="0">
        <f>BJ144*(1+Calculator!$D$17/100/12)</f>
      </c>
      <c r="I145" s="0">
        <f>BK144*(1+Calculator!$D$18/100/12)</f>
      </c>
      <c r="J145" s="0">
        <f>BL144*(1+Calculator!$D$19/100/12)</f>
      </c>
      <c r="K145" s="0">
        <f>BM144*(1+Calculator!$D$20/100/12)</f>
      </c>
      <c r="L145" s="0">
        <f>BN144*(1+Calculator!$D$21/100/12)</f>
      </c>
      <c r="M145" s="0">
        <f>BO144*(1+Calculator!$D$22/100/12)</f>
      </c>
      <c r="N145" s="0">
        <f>BP144*(1+Calculator!$D$23/100/12)</f>
      </c>
      <c r="O145" s="0">
        <f>BQ144*(1+Calculator!$D$24/100/12)</f>
      </c>
      <c r="P145" s="0">
        <f>BR144*(1+Calculator!$D$25/100/12)</f>
      </c>
      <c r="Q145" s="0">
        <f>BS144*(1+Calculator!$D$26/100/12)</f>
      </c>
      <c r="R145" s="0">
        <f>BT144*(1+Calculator!$D$27/100/12)</f>
      </c>
      <c r="S145" s="0">
        <f>BU144*(1+Calculator!$D$28/100/12)</f>
      </c>
      <c r="T145" s="0">
        <f>MAX(0,B145-Calculator!$E$11)</f>
      </c>
      <c r="U145" s="0">
        <f>MAX(0,C145-Calculator!$E$12)</f>
      </c>
      <c r="V145" s="0">
        <f>MAX(0,D145-Calculator!$E$13)</f>
      </c>
      <c r="W145" s="0">
        <f>MAX(0,E145-Calculator!$E$14)</f>
      </c>
      <c r="X145" s="0">
        <f>MAX(0,F145-Calculator!$E$15)</f>
      </c>
      <c r="Y145" s="0">
        <f>MAX(0,G145-Calculator!$E$16)</f>
      </c>
      <c r="Z145" s="0">
        <f>MAX(0,H145-Calculator!$E$17)</f>
      </c>
      <c r="AA145" s="0">
        <f>MAX(0,I145-Calculator!$E$18)</f>
      </c>
      <c r="AB145" s="0">
        <f>MAX(0,J145-Calculator!$E$19)</f>
      </c>
      <c r="AC145" s="0">
        <f>MAX(0,K145-Calculator!$E$20)</f>
      </c>
      <c r="AD145" s="0">
        <f>MAX(0,L145-Calculator!$E$21)</f>
      </c>
      <c r="AE145" s="0">
        <f>MAX(0,M145-Calculator!$E$22)</f>
      </c>
      <c r="AF145" s="0">
        <f>MAX(0,N145-Calculator!$E$23)</f>
      </c>
      <c r="AG145" s="0">
        <f>MAX(0,O145-Calculator!$E$24)</f>
      </c>
      <c r="AH145" s="0">
        <f>MAX(0,P145-Calculator!$E$25)</f>
      </c>
      <c r="AI145" s="0">
        <f>MAX(0,Q145-Calculator!$E$26)</f>
      </c>
      <c r="AJ145" s="0">
        <f>MAX(0,R145-Calculator!$E$27)</f>
      </c>
      <c r="AK145" s="0">
        <f>MAX(0,S145-Calculator!$E$28)</f>
      </c>
      <c r="AL145" s="0">
        <f>MAX(0,MIN(T145,BX145-SUMPRODUCT(($T$2:$AK$2&lt;T$2)*($T145:$AK145))))</f>
      </c>
      <c r="AM145" s="0">
        <f>MAX(0,MIN(U145,BX145-SUMPRODUCT(($T$2:$AK$2&lt;U$2)*($T145:$AK145))))</f>
      </c>
      <c r="AN145" s="0">
        <f>MAX(0,MIN(V145,BX145-SUMPRODUCT(($T$2:$AK$2&lt;V$2)*($T145:$AK145))))</f>
      </c>
      <c r="AO145" s="0">
        <f>MAX(0,MIN(W145,BX145-SUMPRODUCT(($T$2:$AK$2&lt;W$2)*($T145:$AK145))))</f>
      </c>
      <c r="AP145" s="0">
        <f>MAX(0,MIN(X145,BX145-SUMPRODUCT(($T$2:$AK$2&lt;X$2)*($T145:$AK145))))</f>
      </c>
      <c r="AQ145" s="0">
        <f>MAX(0,MIN(Y145,BX145-SUMPRODUCT(($T$2:$AK$2&lt;Y$2)*($T145:$AK145))))</f>
      </c>
      <c r="AR145" s="0">
        <f>MAX(0,MIN(Z145,BX145-SUMPRODUCT(($T$2:$AK$2&lt;Z$2)*($T145:$AK145))))</f>
      </c>
      <c r="AS145" s="0">
        <f>MAX(0,MIN(AA145,BX145-SUMPRODUCT(($T$2:$AK$2&lt;AA$2)*($T145:$AK145))))</f>
      </c>
      <c r="AT145" s="0">
        <f>MAX(0,MIN(AB145,BX145-SUMPRODUCT(($T$2:$AK$2&lt;AB$2)*($T145:$AK145))))</f>
      </c>
      <c r="AU145" s="0">
        <f>MAX(0,MIN(AC145,BX145-SUMPRODUCT(($T$2:$AK$2&lt;AC$2)*($T145:$AK145))))</f>
      </c>
      <c r="AV145" s="0">
        <f>MAX(0,MIN(AD145,BX145-SUMPRODUCT(($T$2:$AK$2&lt;AD$2)*($T145:$AK145))))</f>
      </c>
      <c r="AW145" s="0">
        <f>MAX(0,MIN(AE145,BX145-SUMPRODUCT(($T$2:$AK$2&lt;AE$2)*($T145:$AK145))))</f>
      </c>
      <c r="AX145" s="0">
        <f>MAX(0,MIN(AF145,BX145-SUMPRODUCT(($T$2:$AK$2&lt;AF$2)*($T145:$AK145))))</f>
      </c>
      <c r="AY145" s="0">
        <f>MAX(0,MIN(AG145,BX145-SUMPRODUCT(($T$2:$AK$2&lt;AG$2)*($T145:$AK145))))</f>
      </c>
      <c r="AZ145" s="0">
        <f>MAX(0,MIN(AH145,BX145-SUMPRODUCT(($T$2:$AK$2&lt;AH$2)*($T145:$AK145))))</f>
      </c>
      <c r="BA145" s="0">
        <f>MAX(0,MIN(AI145,BX145-SUMPRODUCT(($T$2:$AK$2&lt;AI$2)*($T145:$AK145))))</f>
      </c>
      <c r="BB145" s="0">
        <f>MAX(0,MIN(AJ145,BX145-SUMPRODUCT(($T$2:$AK$2&lt;AJ$2)*($T145:$AK145))))</f>
      </c>
      <c r="BC145" s="0">
        <f>MAX(0,MIN(AK145,BX145-SUMPRODUCT(($T$2:$AK$2&lt;AK$2)*($T145:$AK145))))</f>
      </c>
      <c r="BD145" s="0">
        <f>T145-AL145</f>
      </c>
      <c r="BE145" s="0">
        <f>U145-AM145</f>
      </c>
      <c r="BF145" s="0">
        <f>V145-AN145</f>
      </c>
      <c r="BG145" s="0">
        <f>W145-AO145</f>
      </c>
      <c r="BH145" s="0">
        <f>X145-AP145</f>
      </c>
      <c r="BI145" s="0">
        <f>Y145-AQ145</f>
      </c>
      <c r="BJ145" s="0">
        <f>Z145-AR145</f>
      </c>
      <c r="BK145" s="0">
        <f>AA145-AS145</f>
      </c>
      <c r="BL145" s="0">
        <f>AB145-AT145</f>
      </c>
      <c r="BM145" s="0">
        <f>AC145-AU145</f>
      </c>
      <c r="BN145" s="0">
        <f>AD145-AV145</f>
      </c>
      <c r="BO145" s="0">
        <f>AE145-AW145</f>
      </c>
      <c r="BP145" s="0">
        <f>AF145-AX145</f>
      </c>
      <c r="BQ145" s="0">
        <f>AG145-AY145</f>
      </c>
      <c r="BR145" s="0">
        <f>AH145-AZ145</f>
      </c>
      <c r="BS145" s="0">
        <f>AI145-BA145</f>
      </c>
      <c r="BT145" s="0">
        <f>AJ145-BB145</f>
      </c>
      <c r="BU145" s="0">
        <f>AK145-BC145</f>
      </c>
      <c r="BV145" s="0">
        <f>SUM(B145:S145)</f>
      </c>
      <c r="BW145" s="0">
        <f>SUM(T145:AK145)</f>
      </c>
      <c r="BX145" s="0">
        <f>MAX(0,(SUM(Calculator!$E$11:$E$28)+Calculator!$C$6)-BV145+BW145)</f>
      </c>
      <c r="BY145" s="0">
        <f>SUM(BD145:BU145)</f>
      </c>
      <c r="BZ145" s="0">
        <f>BV145-BY144</f>
      </c>
      <c r="CA145" s="0">
        <f>IF(A145&lt;=IF($CD$1=0,999,$CD$1),BY145,NA())</f>
      </c>
      <c r="CB145" s="0">
        <f>IF(A145&lt;=IF($CD$1=0,999,$CD$1),A145,NA())</f>
      </c>
    </row>
    <row r="146">
      <c r="A146" s="0">
        <v>143</v>
      </c>
      <c r="B146" s="0">
        <f>BD145*(1+Calculator!$D$11/100/12)</f>
      </c>
      <c r="C146" s="0">
        <f>BE145*(1+Calculator!$D$12/100/12)</f>
      </c>
      <c r="D146" s="0">
        <f>BF145*(1+Calculator!$D$13/100/12)</f>
      </c>
      <c r="E146" s="0">
        <f>BG145*(1+Calculator!$D$14/100/12)</f>
      </c>
      <c r="F146" s="0">
        <f>BH145*(1+Calculator!$D$15/100/12)</f>
      </c>
      <c r="G146" s="0">
        <f>BI145*(1+Calculator!$D$16/100/12)</f>
      </c>
      <c r="H146" s="0">
        <f>BJ145*(1+Calculator!$D$17/100/12)</f>
      </c>
      <c r="I146" s="0">
        <f>BK145*(1+Calculator!$D$18/100/12)</f>
      </c>
      <c r="J146" s="0">
        <f>BL145*(1+Calculator!$D$19/100/12)</f>
      </c>
      <c r="K146" s="0">
        <f>BM145*(1+Calculator!$D$20/100/12)</f>
      </c>
      <c r="L146" s="0">
        <f>BN145*(1+Calculator!$D$21/100/12)</f>
      </c>
      <c r="M146" s="0">
        <f>BO145*(1+Calculator!$D$22/100/12)</f>
      </c>
      <c r="N146" s="0">
        <f>BP145*(1+Calculator!$D$23/100/12)</f>
      </c>
      <c r="O146" s="0">
        <f>BQ145*(1+Calculator!$D$24/100/12)</f>
      </c>
      <c r="P146" s="0">
        <f>BR145*(1+Calculator!$D$25/100/12)</f>
      </c>
      <c r="Q146" s="0">
        <f>BS145*(1+Calculator!$D$26/100/12)</f>
      </c>
      <c r="R146" s="0">
        <f>BT145*(1+Calculator!$D$27/100/12)</f>
      </c>
      <c r="S146" s="0">
        <f>BU145*(1+Calculator!$D$28/100/12)</f>
      </c>
      <c r="T146" s="0">
        <f>MAX(0,B146-Calculator!$E$11)</f>
      </c>
      <c r="U146" s="0">
        <f>MAX(0,C146-Calculator!$E$12)</f>
      </c>
      <c r="V146" s="0">
        <f>MAX(0,D146-Calculator!$E$13)</f>
      </c>
      <c r="W146" s="0">
        <f>MAX(0,E146-Calculator!$E$14)</f>
      </c>
      <c r="X146" s="0">
        <f>MAX(0,F146-Calculator!$E$15)</f>
      </c>
      <c r="Y146" s="0">
        <f>MAX(0,G146-Calculator!$E$16)</f>
      </c>
      <c r="Z146" s="0">
        <f>MAX(0,H146-Calculator!$E$17)</f>
      </c>
      <c r="AA146" s="0">
        <f>MAX(0,I146-Calculator!$E$18)</f>
      </c>
      <c r="AB146" s="0">
        <f>MAX(0,J146-Calculator!$E$19)</f>
      </c>
      <c r="AC146" s="0">
        <f>MAX(0,K146-Calculator!$E$20)</f>
      </c>
      <c r="AD146" s="0">
        <f>MAX(0,L146-Calculator!$E$21)</f>
      </c>
      <c r="AE146" s="0">
        <f>MAX(0,M146-Calculator!$E$22)</f>
      </c>
      <c r="AF146" s="0">
        <f>MAX(0,N146-Calculator!$E$23)</f>
      </c>
      <c r="AG146" s="0">
        <f>MAX(0,O146-Calculator!$E$24)</f>
      </c>
      <c r="AH146" s="0">
        <f>MAX(0,P146-Calculator!$E$25)</f>
      </c>
      <c r="AI146" s="0">
        <f>MAX(0,Q146-Calculator!$E$26)</f>
      </c>
      <c r="AJ146" s="0">
        <f>MAX(0,R146-Calculator!$E$27)</f>
      </c>
      <c r="AK146" s="0">
        <f>MAX(0,S146-Calculator!$E$28)</f>
      </c>
      <c r="AL146" s="0">
        <f>MAX(0,MIN(T146,BX146-SUMPRODUCT(($T$2:$AK$2&lt;T$2)*($T146:$AK146))))</f>
      </c>
      <c r="AM146" s="0">
        <f>MAX(0,MIN(U146,BX146-SUMPRODUCT(($T$2:$AK$2&lt;U$2)*($T146:$AK146))))</f>
      </c>
      <c r="AN146" s="0">
        <f>MAX(0,MIN(V146,BX146-SUMPRODUCT(($T$2:$AK$2&lt;V$2)*($T146:$AK146))))</f>
      </c>
      <c r="AO146" s="0">
        <f>MAX(0,MIN(W146,BX146-SUMPRODUCT(($T$2:$AK$2&lt;W$2)*($T146:$AK146))))</f>
      </c>
      <c r="AP146" s="0">
        <f>MAX(0,MIN(X146,BX146-SUMPRODUCT(($T$2:$AK$2&lt;X$2)*($T146:$AK146))))</f>
      </c>
      <c r="AQ146" s="0">
        <f>MAX(0,MIN(Y146,BX146-SUMPRODUCT(($T$2:$AK$2&lt;Y$2)*($T146:$AK146))))</f>
      </c>
      <c r="AR146" s="0">
        <f>MAX(0,MIN(Z146,BX146-SUMPRODUCT(($T$2:$AK$2&lt;Z$2)*($T146:$AK146))))</f>
      </c>
      <c r="AS146" s="0">
        <f>MAX(0,MIN(AA146,BX146-SUMPRODUCT(($T$2:$AK$2&lt;AA$2)*($T146:$AK146))))</f>
      </c>
      <c r="AT146" s="0">
        <f>MAX(0,MIN(AB146,BX146-SUMPRODUCT(($T$2:$AK$2&lt;AB$2)*($T146:$AK146))))</f>
      </c>
      <c r="AU146" s="0">
        <f>MAX(0,MIN(AC146,BX146-SUMPRODUCT(($T$2:$AK$2&lt;AC$2)*($T146:$AK146))))</f>
      </c>
      <c r="AV146" s="0">
        <f>MAX(0,MIN(AD146,BX146-SUMPRODUCT(($T$2:$AK$2&lt;AD$2)*($T146:$AK146))))</f>
      </c>
      <c r="AW146" s="0">
        <f>MAX(0,MIN(AE146,BX146-SUMPRODUCT(($T$2:$AK$2&lt;AE$2)*($T146:$AK146))))</f>
      </c>
      <c r="AX146" s="0">
        <f>MAX(0,MIN(AF146,BX146-SUMPRODUCT(($T$2:$AK$2&lt;AF$2)*($T146:$AK146))))</f>
      </c>
      <c r="AY146" s="0">
        <f>MAX(0,MIN(AG146,BX146-SUMPRODUCT(($T$2:$AK$2&lt;AG$2)*($T146:$AK146))))</f>
      </c>
      <c r="AZ146" s="0">
        <f>MAX(0,MIN(AH146,BX146-SUMPRODUCT(($T$2:$AK$2&lt;AH$2)*($T146:$AK146))))</f>
      </c>
      <c r="BA146" s="0">
        <f>MAX(0,MIN(AI146,BX146-SUMPRODUCT(($T$2:$AK$2&lt;AI$2)*($T146:$AK146))))</f>
      </c>
      <c r="BB146" s="0">
        <f>MAX(0,MIN(AJ146,BX146-SUMPRODUCT(($T$2:$AK$2&lt;AJ$2)*($T146:$AK146))))</f>
      </c>
      <c r="BC146" s="0">
        <f>MAX(0,MIN(AK146,BX146-SUMPRODUCT(($T$2:$AK$2&lt;AK$2)*($T146:$AK146))))</f>
      </c>
      <c r="BD146" s="0">
        <f>T146-AL146</f>
      </c>
      <c r="BE146" s="0">
        <f>U146-AM146</f>
      </c>
      <c r="BF146" s="0">
        <f>V146-AN146</f>
      </c>
      <c r="BG146" s="0">
        <f>W146-AO146</f>
      </c>
      <c r="BH146" s="0">
        <f>X146-AP146</f>
      </c>
      <c r="BI146" s="0">
        <f>Y146-AQ146</f>
      </c>
      <c r="BJ146" s="0">
        <f>Z146-AR146</f>
      </c>
      <c r="BK146" s="0">
        <f>AA146-AS146</f>
      </c>
      <c r="BL146" s="0">
        <f>AB146-AT146</f>
      </c>
      <c r="BM146" s="0">
        <f>AC146-AU146</f>
      </c>
      <c r="BN146" s="0">
        <f>AD146-AV146</f>
      </c>
      <c r="BO146" s="0">
        <f>AE146-AW146</f>
      </c>
      <c r="BP146" s="0">
        <f>AF146-AX146</f>
      </c>
      <c r="BQ146" s="0">
        <f>AG146-AY146</f>
      </c>
      <c r="BR146" s="0">
        <f>AH146-AZ146</f>
      </c>
      <c r="BS146" s="0">
        <f>AI146-BA146</f>
      </c>
      <c r="BT146" s="0">
        <f>AJ146-BB146</f>
      </c>
      <c r="BU146" s="0">
        <f>AK146-BC146</f>
      </c>
      <c r="BV146" s="0">
        <f>SUM(B146:S146)</f>
      </c>
      <c r="BW146" s="0">
        <f>SUM(T146:AK146)</f>
      </c>
      <c r="BX146" s="0">
        <f>MAX(0,(SUM(Calculator!$E$11:$E$28)+Calculator!$C$6)-BV146+BW146)</f>
      </c>
      <c r="BY146" s="0">
        <f>SUM(BD146:BU146)</f>
      </c>
      <c r="BZ146" s="0">
        <f>BV146-BY145</f>
      </c>
      <c r="CA146" s="0">
        <f>IF(A146&lt;=IF($CD$1=0,999,$CD$1),BY146,NA())</f>
      </c>
      <c r="CB146" s="0">
        <f>IF(A146&lt;=IF($CD$1=0,999,$CD$1),A146,NA())</f>
      </c>
    </row>
    <row r="147">
      <c r="A147" s="0">
        <v>144</v>
      </c>
      <c r="B147" s="0">
        <f>BD146*(1+Calculator!$D$11/100/12)</f>
      </c>
      <c r="C147" s="0">
        <f>BE146*(1+Calculator!$D$12/100/12)</f>
      </c>
      <c r="D147" s="0">
        <f>BF146*(1+Calculator!$D$13/100/12)</f>
      </c>
      <c r="E147" s="0">
        <f>BG146*(1+Calculator!$D$14/100/12)</f>
      </c>
      <c r="F147" s="0">
        <f>BH146*(1+Calculator!$D$15/100/12)</f>
      </c>
      <c r="G147" s="0">
        <f>BI146*(1+Calculator!$D$16/100/12)</f>
      </c>
      <c r="H147" s="0">
        <f>BJ146*(1+Calculator!$D$17/100/12)</f>
      </c>
      <c r="I147" s="0">
        <f>BK146*(1+Calculator!$D$18/100/12)</f>
      </c>
      <c r="J147" s="0">
        <f>BL146*(1+Calculator!$D$19/100/12)</f>
      </c>
      <c r="K147" s="0">
        <f>BM146*(1+Calculator!$D$20/100/12)</f>
      </c>
      <c r="L147" s="0">
        <f>BN146*(1+Calculator!$D$21/100/12)</f>
      </c>
      <c r="M147" s="0">
        <f>BO146*(1+Calculator!$D$22/100/12)</f>
      </c>
      <c r="N147" s="0">
        <f>BP146*(1+Calculator!$D$23/100/12)</f>
      </c>
      <c r="O147" s="0">
        <f>BQ146*(1+Calculator!$D$24/100/12)</f>
      </c>
      <c r="P147" s="0">
        <f>BR146*(1+Calculator!$D$25/100/12)</f>
      </c>
      <c r="Q147" s="0">
        <f>BS146*(1+Calculator!$D$26/100/12)</f>
      </c>
      <c r="R147" s="0">
        <f>BT146*(1+Calculator!$D$27/100/12)</f>
      </c>
      <c r="S147" s="0">
        <f>BU146*(1+Calculator!$D$28/100/12)</f>
      </c>
      <c r="T147" s="0">
        <f>MAX(0,B147-Calculator!$E$11)</f>
      </c>
      <c r="U147" s="0">
        <f>MAX(0,C147-Calculator!$E$12)</f>
      </c>
      <c r="V147" s="0">
        <f>MAX(0,D147-Calculator!$E$13)</f>
      </c>
      <c r="W147" s="0">
        <f>MAX(0,E147-Calculator!$E$14)</f>
      </c>
      <c r="X147" s="0">
        <f>MAX(0,F147-Calculator!$E$15)</f>
      </c>
      <c r="Y147" s="0">
        <f>MAX(0,G147-Calculator!$E$16)</f>
      </c>
      <c r="Z147" s="0">
        <f>MAX(0,H147-Calculator!$E$17)</f>
      </c>
      <c r="AA147" s="0">
        <f>MAX(0,I147-Calculator!$E$18)</f>
      </c>
      <c r="AB147" s="0">
        <f>MAX(0,J147-Calculator!$E$19)</f>
      </c>
      <c r="AC147" s="0">
        <f>MAX(0,K147-Calculator!$E$20)</f>
      </c>
      <c r="AD147" s="0">
        <f>MAX(0,L147-Calculator!$E$21)</f>
      </c>
      <c r="AE147" s="0">
        <f>MAX(0,M147-Calculator!$E$22)</f>
      </c>
      <c r="AF147" s="0">
        <f>MAX(0,N147-Calculator!$E$23)</f>
      </c>
      <c r="AG147" s="0">
        <f>MAX(0,O147-Calculator!$E$24)</f>
      </c>
      <c r="AH147" s="0">
        <f>MAX(0,P147-Calculator!$E$25)</f>
      </c>
      <c r="AI147" s="0">
        <f>MAX(0,Q147-Calculator!$E$26)</f>
      </c>
      <c r="AJ147" s="0">
        <f>MAX(0,R147-Calculator!$E$27)</f>
      </c>
      <c r="AK147" s="0">
        <f>MAX(0,S147-Calculator!$E$28)</f>
      </c>
      <c r="AL147" s="0">
        <f>MAX(0,MIN(T147,BX147-SUMPRODUCT(($T$2:$AK$2&lt;T$2)*($T147:$AK147))))</f>
      </c>
      <c r="AM147" s="0">
        <f>MAX(0,MIN(U147,BX147-SUMPRODUCT(($T$2:$AK$2&lt;U$2)*($T147:$AK147))))</f>
      </c>
      <c r="AN147" s="0">
        <f>MAX(0,MIN(V147,BX147-SUMPRODUCT(($T$2:$AK$2&lt;V$2)*($T147:$AK147))))</f>
      </c>
      <c r="AO147" s="0">
        <f>MAX(0,MIN(W147,BX147-SUMPRODUCT(($T$2:$AK$2&lt;W$2)*($T147:$AK147))))</f>
      </c>
      <c r="AP147" s="0">
        <f>MAX(0,MIN(X147,BX147-SUMPRODUCT(($T$2:$AK$2&lt;X$2)*($T147:$AK147))))</f>
      </c>
      <c r="AQ147" s="0">
        <f>MAX(0,MIN(Y147,BX147-SUMPRODUCT(($T$2:$AK$2&lt;Y$2)*($T147:$AK147))))</f>
      </c>
      <c r="AR147" s="0">
        <f>MAX(0,MIN(Z147,BX147-SUMPRODUCT(($T$2:$AK$2&lt;Z$2)*($T147:$AK147))))</f>
      </c>
      <c r="AS147" s="0">
        <f>MAX(0,MIN(AA147,BX147-SUMPRODUCT(($T$2:$AK$2&lt;AA$2)*($T147:$AK147))))</f>
      </c>
      <c r="AT147" s="0">
        <f>MAX(0,MIN(AB147,BX147-SUMPRODUCT(($T$2:$AK$2&lt;AB$2)*($T147:$AK147))))</f>
      </c>
      <c r="AU147" s="0">
        <f>MAX(0,MIN(AC147,BX147-SUMPRODUCT(($T$2:$AK$2&lt;AC$2)*($T147:$AK147))))</f>
      </c>
      <c r="AV147" s="0">
        <f>MAX(0,MIN(AD147,BX147-SUMPRODUCT(($T$2:$AK$2&lt;AD$2)*($T147:$AK147))))</f>
      </c>
      <c r="AW147" s="0">
        <f>MAX(0,MIN(AE147,BX147-SUMPRODUCT(($T$2:$AK$2&lt;AE$2)*($T147:$AK147))))</f>
      </c>
      <c r="AX147" s="0">
        <f>MAX(0,MIN(AF147,BX147-SUMPRODUCT(($T$2:$AK$2&lt;AF$2)*($T147:$AK147))))</f>
      </c>
      <c r="AY147" s="0">
        <f>MAX(0,MIN(AG147,BX147-SUMPRODUCT(($T$2:$AK$2&lt;AG$2)*($T147:$AK147))))</f>
      </c>
      <c r="AZ147" s="0">
        <f>MAX(0,MIN(AH147,BX147-SUMPRODUCT(($T$2:$AK$2&lt;AH$2)*($T147:$AK147))))</f>
      </c>
      <c r="BA147" s="0">
        <f>MAX(0,MIN(AI147,BX147-SUMPRODUCT(($T$2:$AK$2&lt;AI$2)*($T147:$AK147))))</f>
      </c>
      <c r="BB147" s="0">
        <f>MAX(0,MIN(AJ147,BX147-SUMPRODUCT(($T$2:$AK$2&lt;AJ$2)*($T147:$AK147))))</f>
      </c>
      <c r="BC147" s="0">
        <f>MAX(0,MIN(AK147,BX147-SUMPRODUCT(($T$2:$AK$2&lt;AK$2)*($T147:$AK147))))</f>
      </c>
      <c r="BD147" s="0">
        <f>T147-AL147</f>
      </c>
      <c r="BE147" s="0">
        <f>U147-AM147</f>
      </c>
      <c r="BF147" s="0">
        <f>V147-AN147</f>
      </c>
      <c r="BG147" s="0">
        <f>W147-AO147</f>
      </c>
      <c r="BH147" s="0">
        <f>X147-AP147</f>
      </c>
      <c r="BI147" s="0">
        <f>Y147-AQ147</f>
      </c>
      <c r="BJ147" s="0">
        <f>Z147-AR147</f>
      </c>
      <c r="BK147" s="0">
        <f>AA147-AS147</f>
      </c>
      <c r="BL147" s="0">
        <f>AB147-AT147</f>
      </c>
      <c r="BM147" s="0">
        <f>AC147-AU147</f>
      </c>
      <c r="BN147" s="0">
        <f>AD147-AV147</f>
      </c>
      <c r="BO147" s="0">
        <f>AE147-AW147</f>
      </c>
      <c r="BP147" s="0">
        <f>AF147-AX147</f>
      </c>
      <c r="BQ147" s="0">
        <f>AG147-AY147</f>
      </c>
      <c r="BR147" s="0">
        <f>AH147-AZ147</f>
      </c>
      <c r="BS147" s="0">
        <f>AI147-BA147</f>
      </c>
      <c r="BT147" s="0">
        <f>AJ147-BB147</f>
      </c>
      <c r="BU147" s="0">
        <f>AK147-BC147</f>
      </c>
      <c r="BV147" s="0">
        <f>SUM(B147:S147)</f>
      </c>
      <c r="BW147" s="0">
        <f>SUM(T147:AK147)</f>
      </c>
      <c r="BX147" s="0">
        <f>MAX(0,(SUM(Calculator!$E$11:$E$28)+Calculator!$C$6)-BV147+BW147)</f>
      </c>
      <c r="BY147" s="0">
        <f>SUM(BD147:BU147)</f>
      </c>
      <c r="BZ147" s="0">
        <f>BV147-BY146</f>
      </c>
      <c r="CA147" s="0">
        <f>IF(A147&lt;=IF($CD$1=0,999,$CD$1),BY147,NA())</f>
      </c>
      <c r="CB147" s="0">
        <f>IF(A147&lt;=IF($CD$1=0,999,$CD$1),A147,NA())</f>
      </c>
    </row>
    <row r="148">
      <c r="A148" s="0">
        <v>145</v>
      </c>
      <c r="B148" s="0">
        <f>BD147*(1+Calculator!$D$11/100/12)</f>
      </c>
      <c r="C148" s="0">
        <f>BE147*(1+Calculator!$D$12/100/12)</f>
      </c>
      <c r="D148" s="0">
        <f>BF147*(1+Calculator!$D$13/100/12)</f>
      </c>
      <c r="E148" s="0">
        <f>BG147*(1+Calculator!$D$14/100/12)</f>
      </c>
      <c r="F148" s="0">
        <f>BH147*(1+Calculator!$D$15/100/12)</f>
      </c>
      <c r="G148" s="0">
        <f>BI147*(1+Calculator!$D$16/100/12)</f>
      </c>
      <c r="H148" s="0">
        <f>BJ147*(1+Calculator!$D$17/100/12)</f>
      </c>
      <c r="I148" s="0">
        <f>BK147*(1+Calculator!$D$18/100/12)</f>
      </c>
      <c r="J148" s="0">
        <f>BL147*(1+Calculator!$D$19/100/12)</f>
      </c>
      <c r="K148" s="0">
        <f>BM147*(1+Calculator!$D$20/100/12)</f>
      </c>
      <c r="L148" s="0">
        <f>BN147*(1+Calculator!$D$21/100/12)</f>
      </c>
      <c r="M148" s="0">
        <f>BO147*(1+Calculator!$D$22/100/12)</f>
      </c>
      <c r="N148" s="0">
        <f>BP147*(1+Calculator!$D$23/100/12)</f>
      </c>
      <c r="O148" s="0">
        <f>BQ147*(1+Calculator!$D$24/100/12)</f>
      </c>
      <c r="P148" s="0">
        <f>BR147*(1+Calculator!$D$25/100/12)</f>
      </c>
      <c r="Q148" s="0">
        <f>BS147*(1+Calculator!$D$26/100/12)</f>
      </c>
      <c r="R148" s="0">
        <f>BT147*(1+Calculator!$D$27/100/12)</f>
      </c>
      <c r="S148" s="0">
        <f>BU147*(1+Calculator!$D$28/100/12)</f>
      </c>
      <c r="T148" s="0">
        <f>MAX(0,B148-Calculator!$E$11)</f>
      </c>
      <c r="U148" s="0">
        <f>MAX(0,C148-Calculator!$E$12)</f>
      </c>
      <c r="V148" s="0">
        <f>MAX(0,D148-Calculator!$E$13)</f>
      </c>
      <c r="W148" s="0">
        <f>MAX(0,E148-Calculator!$E$14)</f>
      </c>
      <c r="X148" s="0">
        <f>MAX(0,F148-Calculator!$E$15)</f>
      </c>
      <c r="Y148" s="0">
        <f>MAX(0,G148-Calculator!$E$16)</f>
      </c>
      <c r="Z148" s="0">
        <f>MAX(0,H148-Calculator!$E$17)</f>
      </c>
      <c r="AA148" s="0">
        <f>MAX(0,I148-Calculator!$E$18)</f>
      </c>
      <c r="AB148" s="0">
        <f>MAX(0,J148-Calculator!$E$19)</f>
      </c>
      <c r="AC148" s="0">
        <f>MAX(0,K148-Calculator!$E$20)</f>
      </c>
      <c r="AD148" s="0">
        <f>MAX(0,L148-Calculator!$E$21)</f>
      </c>
      <c r="AE148" s="0">
        <f>MAX(0,M148-Calculator!$E$22)</f>
      </c>
      <c r="AF148" s="0">
        <f>MAX(0,N148-Calculator!$E$23)</f>
      </c>
      <c r="AG148" s="0">
        <f>MAX(0,O148-Calculator!$E$24)</f>
      </c>
      <c r="AH148" s="0">
        <f>MAX(0,P148-Calculator!$E$25)</f>
      </c>
      <c r="AI148" s="0">
        <f>MAX(0,Q148-Calculator!$E$26)</f>
      </c>
      <c r="AJ148" s="0">
        <f>MAX(0,R148-Calculator!$E$27)</f>
      </c>
      <c r="AK148" s="0">
        <f>MAX(0,S148-Calculator!$E$28)</f>
      </c>
      <c r="AL148" s="0">
        <f>MAX(0,MIN(T148,BX148-SUMPRODUCT(($T$2:$AK$2&lt;T$2)*($T148:$AK148))))</f>
      </c>
      <c r="AM148" s="0">
        <f>MAX(0,MIN(U148,BX148-SUMPRODUCT(($T$2:$AK$2&lt;U$2)*($T148:$AK148))))</f>
      </c>
      <c r="AN148" s="0">
        <f>MAX(0,MIN(V148,BX148-SUMPRODUCT(($T$2:$AK$2&lt;V$2)*($T148:$AK148))))</f>
      </c>
      <c r="AO148" s="0">
        <f>MAX(0,MIN(W148,BX148-SUMPRODUCT(($T$2:$AK$2&lt;W$2)*($T148:$AK148))))</f>
      </c>
      <c r="AP148" s="0">
        <f>MAX(0,MIN(X148,BX148-SUMPRODUCT(($T$2:$AK$2&lt;X$2)*($T148:$AK148))))</f>
      </c>
      <c r="AQ148" s="0">
        <f>MAX(0,MIN(Y148,BX148-SUMPRODUCT(($T$2:$AK$2&lt;Y$2)*($T148:$AK148))))</f>
      </c>
      <c r="AR148" s="0">
        <f>MAX(0,MIN(Z148,BX148-SUMPRODUCT(($T$2:$AK$2&lt;Z$2)*($T148:$AK148))))</f>
      </c>
      <c r="AS148" s="0">
        <f>MAX(0,MIN(AA148,BX148-SUMPRODUCT(($T$2:$AK$2&lt;AA$2)*($T148:$AK148))))</f>
      </c>
      <c r="AT148" s="0">
        <f>MAX(0,MIN(AB148,BX148-SUMPRODUCT(($T$2:$AK$2&lt;AB$2)*($T148:$AK148))))</f>
      </c>
      <c r="AU148" s="0">
        <f>MAX(0,MIN(AC148,BX148-SUMPRODUCT(($T$2:$AK$2&lt;AC$2)*($T148:$AK148))))</f>
      </c>
      <c r="AV148" s="0">
        <f>MAX(0,MIN(AD148,BX148-SUMPRODUCT(($T$2:$AK$2&lt;AD$2)*($T148:$AK148))))</f>
      </c>
      <c r="AW148" s="0">
        <f>MAX(0,MIN(AE148,BX148-SUMPRODUCT(($T$2:$AK$2&lt;AE$2)*($T148:$AK148))))</f>
      </c>
      <c r="AX148" s="0">
        <f>MAX(0,MIN(AF148,BX148-SUMPRODUCT(($T$2:$AK$2&lt;AF$2)*($T148:$AK148))))</f>
      </c>
      <c r="AY148" s="0">
        <f>MAX(0,MIN(AG148,BX148-SUMPRODUCT(($T$2:$AK$2&lt;AG$2)*($T148:$AK148))))</f>
      </c>
      <c r="AZ148" s="0">
        <f>MAX(0,MIN(AH148,BX148-SUMPRODUCT(($T$2:$AK$2&lt;AH$2)*($T148:$AK148))))</f>
      </c>
      <c r="BA148" s="0">
        <f>MAX(0,MIN(AI148,BX148-SUMPRODUCT(($T$2:$AK$2&lt;AI$2)*($T148:$AK148))))</f>
      </c>
      <c r="BB148" s="0">
        <f>MAX(0,MIN(AJ148,BX148-SUMPRODUCT(($T$2:$AK$2&lt;AJ$2)*($T148:$AK148))))</f>
      </c>
      <c r="BC148" s="0">
        <f>MAX(0,MIN(AK148,BX148-SUMPRODUCT(($T$2:$AK$2&lt;AK$2)*($T148:$AK148))))</f>
      </c>
      <c r="BD148" s="0">
        <f>T148-AL148</f>
      </c>
      <c r="BE148" s="0">
        <f>U148-AM148</f>
      </c>
      <c r="BF148" s="0">
        <f>V148-AN148</f>
      </c>
      <c r="BG148" s="0">
        <f>W148-AO148</f>
      </c>
      <c r="BH148" s="0">
        <f>X148-AP148</f>
      </c>
      <c r="BI148" s="0">
        <f>Y148-AQ148</f>
      </c>
      <c r="BJ148" s="0">
        <f>Z148-AR148</f>
      </c>
      <c r="BK148" s="0">
        <f>AA148-AS148</f>
      </c>
      <c r="BL148" s="0">
        <f>AB148-AT148</f>
      </c>
      <c r="BM148" s="0">
        <f>AC148-AU148</f>
      </c>
      <c r="BN148" s="0">
        <f>AD148-AV148</f>
      </c>
      <c r="BO148" s="0">
        <f>AE148-AW148</f>
      </c>
      <c r="BP148" s="0">
        <f>AF148-AX148</f>
      </c>
      <c r="BQ148" s="0">
        <f>AG148-AY148</f>
      </c>
      <c r="BR148" s="0">
        <f>AH148-AZ148</f>
      </c>
      <c r="BS148" s="0">
        <f>AI148-BA148</f>
      </c>
      <c r="BT148" s="0">
        <f>AJ148-BB148</f>
      </c>
      <c r="BU148" s="0">
        <f>AK148-BC148</f>
      </c>
      <c r="BV148" s="0">
        <f>SUM(B148:S148)</f>
      </c>
      <c r="BW148" s="0">
        <f>SUM(T148:AK148)</f>
      </c>
      <c r="BX148" s="0">
        <f>MAX(0,(SUM(Calculator!$E$11:$E$28)+Calculator!$C$6)-BV148+BW148)</f>
      </c>
      <c r="BY148" s="0">
        <f>SUM(BD148:BU148)</f>
      </c>
      <c r="BZ148" s="0">
        <f>BV148-BY147</f>
      </c>
      <c r="CA148" s="0">
        <f>IF(A148&lt;=IF($CD$1=0,999,$CD$1),BY148,NA())</f>
      </c>
      <c r="CB148" s="0">
        <f>IF(A148&lt;=IF($CD$1=0,999,$CD$1),A148,NA())</f>
      </c>
    </row>
    <row r="149">
      <c r="A149" s="0">
        <v>146</v>
      </c>
      <c r="B149" s="0">
        <f>BD148*(1+Calculator!$D$11/100/12)</f>
      </c>
      <c r="C149" s="0">
        <f>BE148*(1+Calculator!$D$12/100/12)</f>
      </c>
      <c r="D149" s="0">
        <f>BF148*(1+Calculator!$D$13/100/12)</f>
      </c>
      <c r="E149" s="0">
        <f>BG148*(1+Calculator!$D$14/100/12)</f>
      </c>
      <c r="F149" s="0">
        <f>BH148*(1+Calculator!$D$15/100/12)</f>
      </c>
      <c r="G149" s="0">
        <f>BI148*(1+Calculator!$D$16/100/12)</f>
      </c>
      <c r="H149" s="0">
        <f>BJ148*(1+Calculator!$D$17/100/12)</f>
      </c>
      <c r="I149" s="0">
        <f>BK148*(1+Calculator!$D$18/100/12)</f>
      </c>
      <c r="J149" s="0">
        <f>BL148*(1+Calculator!$D$19/100/12)</f>
      </c>
      <c r="K149" s="0">
        <f>BM148*(1+Calculator!$D$20/100/12)</f>
      </c>
      <c r="L149" s="0">
        <f>BN148*(1+Calculator!$D$21/100/12)</f>
      </c>
      <c r="M149" s="0">
        <f>BO148*(1+Calculator!$D$22/100/12)</f>
      </c>
      <c r="N149" s="0">
        <f>BP148*(1+Calculator!$D$23/100/12)</f>
      </c>
      <c r="O149" s="0">
        <f>BQ148*(1+Calculator!$D$24/100/12)</f>
      </c>
      <c r="P149" s="0">
        <f>BR148*(1+Calculator!$D$25/100/12)</f>
      </c>
      <c r="Q149" s="0">
        <f>BS148*(1+Calculator!$D$26/100/12)</f>
      </c>
      <c r="R149" s="0">
        <f>BT148*(1+Calculator!$D$27/100/12)</f>
      </c>
      <c r="S149" s="0">
        <f>BU148*(1+Calculator!$D$28/100/12)</f>
      </c>
      <c r="T149" s="0">
        <f>MAX(0,B149-Calculator!$E$11)</f>
      </c>
      <c r="U149" s="0">
        <f>MAX(0,C149-Calculator!$E$12)</f>
      </c>
      <c r="V149" s="0">
        <f>MAX(0,D149-Calculator!$E$13)</f>
      </c>
      <c r="W149" s="0">
        <f>MAX(0,E149-Calculator!$E$14)</f>
      </c>
      <c r="X149" s="0">
        <f>MAX(0,F149-Calculator!$E$15)</f>
      </c>
      <c r="Y149" s="0">
        <f>MAX(0,G149-Calculator!$E$16)</f>
      </c>
      <c r="Z149" s="0">
        <f>MAX(0,H149-Calculator!$E$17)</f>
      </c>
      <c r="AA149" s="0">
        <f>MAX(0,I149-Calculator!$E$18)</f>
      </c>
      <c r="AB149" s="0">
        <f>MAX(0,J149-Calculator!$E$19)</f>
      </c>
      <c r="AC149" s="0">
        <f>MAX(0,K149-Calculator!$E$20)</f>
      </c>
      <c r="AD149" s="0">
        <f>MAX(0,L149-Calculator!$E$21)</f>
      </c>
      <c r="AE149" s="0">
        <f>MAX(0,M149-Calculator!$E$22)</f>
      </c>
      <c r="AF149" s="0">
        <f>MAX(0,N149-Calculator!$E$23)</f>
      </c>
      <c r="AG149" s="0">
        <f>MAX(0,O149-Calculator!$E$24)</f>
      </c>
      <c r="AH149" s="0">
        <f>MAX(0,P149-Calculator!$E$25)</f>
      </c>
      <c r="AI149" s="0">
        <f>MAX(0,Q149-Calculator!$E$26)</f>
      </c>
      <c r="AJ149" s="0">
        <f>MAX(0,R149-Calculator!$E$27)</f>
      </c>
      <c r="AK149" s="0">
        <f>MAX(0,S149-Calculator!$E$28)</f>
      </c>
      <c r="AL149" s="0">
        <f>MAX(0,MIN(T149,BX149-SUMPRODUCT(($T$2:$AK$2&lt;T$2)*($T149:$AK149))))</f>
      </c>
      <c r="AM149" s="0">
        <f>MAX(0,MIN(U149,BX149-SUMPRODUCT(($T$2:$AK$2&lt;U$2)*($T149:$AK149))))</f>
      </c>
      <c r="AN149" s="0">
        <f>MAX(0,MIN(V149,BX149-SUMPRODUCT(($T$2:$AK$2&lt;V$2)*($T149:$AK149))))</f>
      </c>
      <c r="AO149" s="0">
        <f>MAX(0,MIN(W149,BX149-SUMPRODUCT(($T$2:$AK$2&lt;W$2)*($T149:$AK149))))</f>
      </c>
      <c r="AP149" s="0">
        <f>MAX(0,MIN(X149,BX149-SUMPRODUCT(($T$2:$AK$2&lt;X$2)*($T149:$AK149))))</f>
      </c>
      <c r="AQ149" s="0">
        <f>MAX(0,MIN(Y149,BX149-SUMPRODUCT(($T$2:$AK$2&lt;Y$2)*($T149:$AK149))))</f>
      </c>
      <c r="AR149" s="0">
        <f>MAX(0,MIN(Z149,BX149-SUMPRODUCT(($T$2:$AK$2&lt;Z$2)*($T149:$AK149))))</f>
      </c>
      <c r="AS149" s="0">
        <f>MAX(0,MIN(AA149,BX149-SUMPRODUCT(($T$2:$AK$2&lt;AA$2)*($T149:$AK149))))</f>
      </c>
      <c r="AT149" s="0">
        <f>MAX(0,MIN(AB149,BX149-SUMPRODUCT(($T$2:$AK$2&lt;AB$2)*($T149:$AK149))))</f>
      </c>
      <c r="AU149" s="0">
        <f>MAX(0,MIN(AC149,BX149-SUMPRODUCT(($T$2:$AK$2&lt;AC$2)*($T149:$AK149))))</f>
      </c>
      <c r="AV149" s="0">
        <f>MAX(0,MIN(AD149,BX149-SUMPRODUCT(($T$2:$AK$2&lt;AD$2)*($T149:$AK149))))</f>
      </c>
      <c r="AW149" s="0">
        <f>MAX(0,MIN(AE149,BX149-SUMPRODUCT(($T$2:$AK$2&lt;AE$2)*($T149:$AK149))))</f>
      </c>
      <c r="AX149" s="0">
        <f>MAX(0,MIN(AF149,BX149-SUMPRODUCT(($T$2:$AK$2&lt;AF$2)*($T149:$AK149))))</f>
      </c>
      <c r="AY149" s="0">
        <f>MAX(0,MIN(AG149,BX149-SUMPRODUCT(($T$2:$AK$2&lt;AG$2)*($T149:$AK149))))</f>
      </c>
      <c r="AZ149" s="0">
        <f>MAX(0,MIN(AH149,BX149-SUMPRODUCT(($T$2:$AK$2&lt;AH$2)*($T149:$AK149))))</f>
      </c>
      <c r="BA149" s="0">
        <f>MAX(0,MIN(AI149,BX149-SUMPRODUCT(($T$2:$AK$2&lt;AI$2)*($T149:$AK149))))</f>
      </c>
      <c r="BB149" s="0">
        <f>MAX(0,MIN(AJ149,BX149-SUMPRODUCT(($T$2:$AK$2&lt;AJ$2)*($T149:$AK149))))</f>
      </c>
      <c r="BC149" s="0">
        <f>MAX(0,MIN(AK149,BX149-SUMPRODUCT(($T$2:$AK$2&lt;AK$2)*($T149:$AK149))))</f>
      </c>
      <c r="BD149" s="0">
        <f>T149-AL149</f>
      </c>
      <c r="BE149" s="0">
        <f>U149-AM149</f>
      </c>
      <c r="BF149" s="0">
        <f>V149-AN149</f>
      </c>
      <c r="BG149" s="0">
        <f>W149-AO149</f>
      </c>
      <c r="BH149" s="0">
        <f>X149-AP149</f>
      </c>
      <c r="BI149" s="0">
        <f>Y149-AQ149</f>
      </c>
      <c r="BJ149" s="0">
        <f>Z149-AR149</f>
      </c>
      <c r="BK149" s="0">
        <f>AA149-AS149</f>
      </c>
      <c r="BL149" s="0">
        <f>AB149-AT149</f>
      </c>
      <c r="BM149" s="0">
        <f>AC149-AU149</f>
      </c>
      <c r="BN149" s="0">
        <f>AD149-AV149</f>
      </c>
      <c r="BO149" s="0">
        <f>AE149-AW149</f>
      </c>
      <c r="BP149" s="0">
        <f>AF149-AX149</f>
      </c>
      <c r="BQ149" s="0">
        <f>AG149-AY149</f>
      </c>
      <c r="BR149" s="0">
        <f>AH149-AZ149</f>
      </c>
      <c r="BS149" s="0">
        <f>AI149-BA149</f>
      </c>
      <c r="BT149" s="0">
        <f>AJ149-BB149</f>
      </c>
      <c r="BU149" s="0">
        <f>AK149-BC149</f>
      </c>
      <c r="BV149" s="0">
        <f>SUM(B149:S149)</f>
      </c>
      <c r="BW149" s="0">
        <f>SUM(T149:AK149)</f>
      </c>
      <c r="BX149" s="0">
        <f>MAX(0,(SUM(Calculator!$E$11:$E$28)+Calculator!$C$6)-BV149+BW149)</f>
      </c>
      <c r="BY149" s="0">
        <f>SUM(BD149:BU149)</f>
      </c>
      <c r="BZ149" s="0">
        <f>BV149-BY148</f>
      </c>
      <c r="CA149" s="0">
        <f>IF(A149&lt;=IF($CD$1=0,999,$CD$1),BY149,NA())</f>
      </c>
      <c r="CB149" s="0">
        <f>IF(A149&lt;=IF($CD$1=0,999,$CD$1),A149,NA())</f>
      </c>
    </row>
    <row r="150">
      <c r="A150" s="0">
        <v>147</v>
      </c>
      <c r="B150" s="0">
        <f>BD149*(1+Calculator!$D$11/100/12)</f>
      </c>
      <c r="C150" s="0">
        <f>BE149*(1+Calculator!$D$12/100/12)</f>
      </c>
      <c r="D150" s="0">
        <f>BF149*(1+Calculator!$D$13/100/12)</f>
      </c>
      <c r="E150" s="0">
        <f>BG149*(1+Calculator!$D$14/100/12)</f>
      </c>
      <c r="F150" s="0">
        <f>BH149*(1+Calculator!$D$15/100/12)</f>
      </c>
      <c r="G150" s="0">
        <f>BI149*(1+Calculator!$D$16/100/12)</f>
      </c>
      <c r="H150" s="0">
        <f>BJ149*(1+Calculator!$D$17/100/12)</f>
      </c>
      <c r="I150" s="0">
        <f>BK149*(1+Calculator!$D$18/100/12)</f>
      </c>
      <c r="J150" s="0">
        <f>BL149*(1+Calculator!$D$19/100/12)</f>
      </c>
      <c r="K150" s="0">
        <f>BM149*(1+Calculator!$D$20/100/12)</f>
      </c>
      <c r="L150" s="0">
        <f>BN149*(1+Calculator!$D$21/100/12)</f>
      </c>
      <c r="M150" s="0">
        <f>BO149*(1+Calculator!$D$22/100/12)</f>
      </c>
      <c r="N150" s="0">
        <f>BP149*(1+Calculator!$D$23/100/12)</f>
      </c>
      <c r="O150" s="0">
        <f>BQ149*(1+Calculator!$D$24/100/12)</f>
      </c>
      <c r="P150" s="0">
        <f>BR149*(1+Calculator!$D$25/100/12)</f>
      </c>
      <c r="Q150" s="0">
        <f>BS149*(1+Calculator!$D$26/100/12)</f>
      </c>
      <c r="R150" s="0">
        <f>BT149*(1+Calculator!$D$27/100/12)</f>
      </c>
      <c r="S150" s="0">
        <f>BU149*(1+Calculator!$D$28/100/12)</f>
      </c>
      <c r="T150" s="0">
        <f>MAX(0,B150-Calculator!$E$11)</f>
      </c>
      <c r="U150" s="0">
        <f>MAX(0,C150-Calculator!$E$12)</f>
      </c>
      <c r="V150" s="0">
        <f>MAX(0,D150-Calculator!$E$13)</f>
      </c>
      <c r="W150" s="0">
        <f>MAX(0,E150-Calculator!$E$14)</f>
      </c>
      <c r="X150" s="0">
        <f>MAX(0,F150-Calculator!$E$15)</f>
      </c>
      <c r="Y150" s="0">
        <f>MAX(0,G150-Calculator!$E$16)</f>
      </c>
      <c r="Z150" s="0">
        <f>MAX(0,H150-Calculator!$E$17)</f>
      </c>
      <c r="AA150" s="0">
        <f>MAX(0,I150-Calculator!$E$18)</f>
      </c>
      <c r="AB150" s="0">
        <f>MAX(0,J150-Calculator!$E$19)</f>
      </c>
      <c r="AC150" s="0">
        <f>MAX(0,K150-Calculator!$E$20)</f>
      </c>
      <c r="AD150" s="0">
        <f>MAX(0,L150-Calculator!$E$21)</f>
      </c>
      <c r="AE150" s="0">
        <f>MAX(0,M150-Calculator!$E$22)</f>
      </c>
      <c r="AF150" s="0">
        <f>MAX(0,N150-Calculator!$E$23)</f>
      </c>
      <c r="AG150" s="0">
        <f>MAX(0,O150-Calculator!$E$24)</f>
      </c>
      <c r="AH150" s="0">
        <f>MAX(0,P150-Calculator!$E$25)</f>
      </c>
      <c r="AI150" s="0">
        <f>MAX(0,Q150-Calculator!$E$26)</f>
      </c>
      <c r="AJ150" s="0">
        <f>MAX(0,R150-Calculator!$E$27)</f>
      </c>
      <c r="AK150" s="0">
        <f>MAX(0,S150-Calculator!$E$28)</f>
      </c>
      <c r="AL150" s="0">
        <f>MAX(0,MIN(T150,BX150-SUMPRODUCT(($T$2:$AK$2&lt;T$2)*($T150:$AK150))))</f>
      </c>
      <c r="AM150" s="0">
        <f>MAX(0,MIN(U150,BX150-SUMPRODUCT(($T$2:$AK$2&lt;U$2)*($T150:$AK150))))</f>
      </c>
      <c r="AN150" s="0">
        <f>MAX(0,MIN(V150,BX150-SUMPRODUCT(($T$2:$AK$2&lt;V$2)*($T150:$AK150))))</f>
      </c>
      <c r="AO150" s="0">
        <f>MAX(0,MIN(W150,BX150-SUMPRODUCT(($T$2:$AK$2&lt;W$2)*($T150:$AK150))))</f>
      </c>
      <c r="AP150" s="0">
        <f>MAX(0,MIN(X150,BX150-SUMPRODUCT(($T$2:$AK$2&lt;X$2)*($T150:$AK150))))</f>
      </c>
      <c r="AQ150" s="0">
        <f>MAX(0,MIN(Y150,BX150-SUMPRODUCT(($T$2:$AK$2&lt;Y$2)*($T150:$AK150))))</f>
      </c>
      <c r="AR150" s="0">
        <f>MAX(0,MIN(Z150,BX150-SUMPRODUCT(($T$2:$AK$2&lt;Z$2)*($T150:$AK150))))</f>
      </c>
      <c r="AS150" s="0">
        <f>MAX(0,MIN(AA150,BX150-SUMPRODUCT(($T$2:$AK$2&lt;AA$2)*($T150:$AK150))))</f>
      </c>
      <c r="AT150" s="0">
        <f>MAX(0,MIN(AB150,BX150-SUMPRODUCT(($T$2:$AK$2&lt;AB$2)*($T150:$AK150))))</f>
      </c>
      <c r="AU150" s="0">
        <f>MAX(0,MIN(AC150,BX150-SUMPRODUCT(($T$2:$AK$2&lt;AC$2)*($T150:$AK150))))</f>
      </c>
      <c r="AV150" s="0">
        <f>MAX(0,MIN(AD150,BX150-SUMPRODUCT(($T$2:$AK$2&lt;AD$2)*($T150:$AK150))))</f>
      </c>
      <c r="AW150" s="0">
        <f>MAX(0,MIN(AE150,BX150-SUMPRODUCT(($T$2:$AK$2&lt;AE$2)*($T150:$AK150))))</f>
      </c>
      <c r="AX150" s="0">
        <f>MAX(0,MIN(AF150,BX150-SUMPRODUCT(($T$2:$AK$2&lt;AF$2)*($T150:$AK150))))</f>
      </c>
      <c r="AY150" s="0">
        <f>MAX(0,MIN(AG150,BX150-SUMPRODUCT(($T$2:$AK$2&lt;AG$2)*($T150:$AK150))))</f>
      </c>
      <c r="AZ150" s="0">
        <f>MAX(0,MIN(AH150,BX150-SUMPRODUCT(($T$2:$AK$2&lt;AH$2)*($T150:$AK150))))</f>
      </c>
      <c r="BA150" s="0">
        <f>MAX(0,MIN(AI150,BX150-SUMPRODUCT(($T$2:$AK$2&lt;AI$2)*($T150:$AK150))))</f>
      </c>
      <c r="BB150" s="0">
        <f>MAX(0,MIN(AJ150,BX150-SUMPRODUCT(($T$2:$AK$2&lt;AJ$2)*($T150:$AK150))))</f>
      </c>
      <c r="BC150" s="0">
        <f>MAX(0,MIN(AK150,BX150-SUMPRODUCT(($T$2:$AK$2&lt;AK$2)*($T150:$AK150))))</f>
      </c>
      <c r="BD150" s="0">
        <f>T150-AL150</f>
      </c>
      <c r="BE150" s="0">
        <f>U150-AM150</f>
      </c>
      <c r="BF150" s="0">
        <f>V150-AN150</f>
      </c>
      <c r="BG150" s="0">
        <f>W150-AO150</f>
      </c>
      <c r="BH150" s="0">
        <f>X150-AP150</f>
      </c>
      <c r="BI150" s="0">
        <f>Y150-AQ150</f>
      </c>
      <c r="BJ150" s="0">
        <f>Z150-AR150</f>
      </c>
      <c r="BK150" s="0">
        <f>AA150-AS150</f>
      </c>
      <c r="BL150" s="0">
        <f>AB150-AT150</f>
      </c>
      <c r="BM150" s="0">
        <f>AC150-AU150</f>
      </c>
      <c r="BN150" s="0">
        <f>AD150-AV150</f>
      </c>
      <c r="BO150" s="0">
        <f>AE150-AW150</f>
      </c>
      <c r="BP150" s="0">
        <f>AF150-AX150</f>
      </c>
      <c r="BQ150" s="0">
        <f>AG150-AY150</f>
      </c>
      <c r="BR150" s="0">
        <f>AH150-AZ150</f>
      </c>
      <c r="BS150" s="0">
        <f>AI150-BA150</f>
      </c>
      <c r="BT150" s="0">
        <f>AJ150-BB150</f>
      </c>
      <c r="BU150" s="0">
        <f>AK150-BC150</f>
      </c>
      <c r="BV150" s="0">
        <f>SUM(B150:S150)</f>
      </c>
      <c r="BW150" s="0">
        <f>SUM(T150:AK150)</f>
      </c>
      <c r="BX150" s="0">
        <f>MAX(0,(SUM(Calculator!$E$11:$E$28)+Calculator!$C$6)-BV150+BW150)</f>
      </c>
      <c r="BY150" s="0">
        <f>SUM(BD150:BU150)</f>
      </c>
      <c r="BZ150" s="0">
        <f>BV150-BY149</f>
      </c>
      <c r="CA150" s="0">
        <f>IF(A150&lt;=IF($CD$1=0,999,$CD$1),BY150,NA())</f>
      </c>
      <c r="CB150" s="0">
        <f>IF(A150&lt;=IF($CD$1=0,999,$CD$1),A150,NA())</f>
      </c>
    </row>
    <row r="151">
      <c r="A151" s="0">
        <v>148</v>
      </c>
      <c r="B151" s="0">
        <f>BD150*(1+Calculator!$D$11/100/12)</f>
      </c>
      <c r="C151" s="0">
        <f>BE150*(1+Calculator!$D$12/100/12)</f>
      </c>
      <c r="D151" s="0">
        <f>BF150*(1+Calculator!$D$13/100/12)</f>
      </c>
      <c r="E151" s="0">
        <f>BG150*(1+Calculator!$D$14/100/12)</f>
      </c>
      <c r="F151" s="0">
        <f>BH150*(1+Calculator!$D$15/100/12)</f>
      </c>
      <c r="G151" s="0">
        <f>BI150*(1+Calculator!$D$16/100/12)</f>
      </c>
      <c r="H151" s="0">
        <f>BJ150*(1+Calculator!$D$17/100/12)</f>
      </c>
      <c r="I151" s="0">
        <f>BK150*(1+Calculator!$D$18/100/12)</f>
      </c>
      <c r="J151" s="0">
        <f>BL150*(1+Calculator!$D$19/100/12)</f>
      </c>
      <c r="K151" s="0">
        <f>BM150*(1+Calculator!$D$20/100/12)</f>
      </c>
      <c r="L151" s="0">
        <f>BN150*(1+Calculator!$D$21/100/12)</f>
      </c>
      <c r="M151" s="0">
        <f>BO150*(1+Calculator!$D$22/100/12)</f>
      </c>
      <c r="N151" s="0">
        <f>BP150*(1+Calculator!$D$23/100/12)</f>
      </c>
      <c r="O151" s="0">
        <f>BQ150*(1+Calculator!$D$24/100/12)</f>
      </c>
      <c r="P151" s="0">
        <f>BR150*(1+Calculator!$D$25/100/12)</f>
      </c>
      <c r="Q151" s="0">
        <f>BS150*(1+Calculator!$D$26/100/12)</f>
      </c>
      <c r="R151" s="0">
        <f>BT150*(1+Calculator!$D$27/100/12)</f>
      </c>
      <c r="S151" s="0">
        <f>BU150*(1+Calculator!$D$28/100/12)</f>
      </c>
      <c r="T151" s="0">
        <f>MAX(0,B151-Calculator!$E$11)</f>
      </c>
      <c r="U151" s="0">
        <f>MAX(0,C151-Calculator!$E$12)</f>
      </c>
      <c r="V151" s="0">
        <f>MAX(0,D151-Calculator!$E$13)</f>
      </c>
      <c r="W151" s="0">
        <f>MAX(0,E151-Calculator!$E$14)</f>
      </c>
      <c r="X151" s="0">
        <f>MAX(0,F151-Calculator!$E$15)</f>
      </c>
      <c r="Y151" s="0">
        <f>MAX(0,G151-Calculator!$E$16)</f>
      </c>
      <c r="Z151" s="0">
        <f>MAX(0,H151-Calculator!$E$17)</f>
      </c>
      <c r="AA151" s="0">
        <f>MAX(0,I151-Calculator!$E$18)</f>
      </c>
      <c r="AB151" s="0">
        <f>MAX(0,J151-Calculator!$E$19)</f>
      </c>
      <c r="AC151" s="0">
        <f>MAX(0,K151-Calculator!$E$20)</f>
      </c>
      <c r="AD151" s="0">
        <f>MAX(0,L151-Calculator!$E$21)</f>
      </c>
      <c r="AE151" s="0">
        <f>MAX(0,M151-Calculator!$E$22)</f>
      </c>
      <c r="AF151" s="0">
        <f>MAX(0,N151-Calculator!$E$23)</f>
      </c>
      <c r="AG151" s="0">
        <f>MAX(0,O151-Calculator!$E$24)</f>
      </c>
      <c r="AH151" s="0">
        <f>MAX(0,P151-Calculator!$E$25)</f>
      </c>
      <c r="AI151" s="0">
        <f>MAX(0,Q151-Calculator!$E$26)</f>
      </c>
      <c r="AJ151" s="0">
        <f>MAX(0,R151-Calculator!$E$27)</f>
      </c>
      <c r="AK151" s="0">
        <f>MAX(0,S151-Calculator!$E$28)</f>
      </c>
      <c r="AL151" s="0">
        <f>MAX(0,MIN(T151,BX151-SUMPRODUCT(($T$2:$AK$2&lt;T$2)*($T151:$AK151))))</f>
      </c>
      <c r="AM151" s="0">
        <f>MAX(0,MIN(U151,BX151-SUMPRODUCT(($T$2:$AK$2&lt;U$2)*($T151:$AK151))))</f>
      </c>
      <c r="AN151" s="0">
        <f>MAX(0,MIN(V151,BX151-SUMPRODUCT(($T$2:$AK$2&lt;V$2)*($T151:$AK151))))</f>
      </c>
      <c r="AO151" s="0">
        <f>MAX(0,MIN(W151,BX151-SUMPRODUCT(($T$2:$AK$2&lt;W$2)*($T151:$AK151))))</f>
      </c>
      <c r="AP151" s="0">
        <f>MAX(0,MIN(X151,BX151-SUMPRODUCT(($T$2:$AK$2&lt;X$2)*($T151:$AK151))))</f>
      </c>
      <c r="AQ151" s="0">
        <f>MAX(0,MIN(Y151,BX151-SUMPRODUCT(($T$2:$AK$2&lt;Y$2)*($T151:$AK151))))</f>
      </c>
      <c r="AR151" s="0">
        <f>MAX(0,MIN(Z151,BX151-SUMPRODUCT(($T$2:$AK$2&lt;Z$2)*($T151:$AK151))))</f>
      </c>
      <c r="AS151" s="0">
        <f>MAX(0,MIN(AA151,BX151-SUMPRODUCT(($T$2:$AK$2&lt;AA$2)*($T151:$AK151))))</f>
      </c>
      <c r="AT151" s="0">
        <f>MAX(0,MIN(AB151,BX151-SUMPRODUCT(($T$2:$AK$2&lt;AB$2)*($T151:$AK151))))</f>
      </c>
      <c r="AU151" s="0">
        <f>MAX(0,MIN(AC151,BX151-SUMPRODUCT(($T$2:$AK$2&lt;AC$2)*($T151:$AK151))))</f>
      </c>
      <c r="AV151" s="0">
        <f>MAX(0,MIN(AD151,BX151-SUMPRODUCT(($T$2:$AK$2&lt;AD$2)*($T151:$AK151))))</f>
      </c>
      <c r="AW151" s="0">
        <f>MAX(0,MIN(AE151,BX151-SUMPRODUCT(($T$2:$AK$2&lt;AE$2)*($T151:$AK151))))</f>
      </c>
      <c r="AX151" s="0">
        <f>MAX(0,MIN(AF151,BX151-SUMPRODUCT(($T$2:$AK$2&lt;AF$2)*($T151:$AK151))))</f>
      </c>
      <c r="AY151" s="0">
        <f>MAX(0,MIN(AG151,BX151-SUMPRODUCT(($T$2:$AK$2&lt;AG$2)*($T151:$AK151))))</f>
      </c>
      <c r="AZ151" s="0">
        <f>MAX(0,MIN(AH151,BX151-SUMPRODUCT(($T$2:$AK$2&lt;AH$2)*($T151:$AK151))))</f>
      </c>
      <c r="BA151" s="0">
        <f>MAX(0,MIN(AI151,BX151-SUMPRODUCT(($T$2:$AK$2&lt;AI$2)*($T151:$AK151))))</f>
      </c>
      <c r="BB151" s="0">
        <f>MAX(0,MIN(AJ151,BX151-SUMPRODUCT(($T$2:$AK$2&lt;AJ$2)*($T151:$AK151))))</f>
      </c>
      <c r="BC151" s="0">
        <f>MAX(0,MIN(AK151,BX151-SUMPRODUCT(($T$2:$AK$2&lt;AK$2)*($T151:$AK151))))</f>
      </c>
      <c r="BD151" s="0">
        <f>T151-AL151</f>
      </c>
      <c r="BE151" s="0">
        <f>U151-AM151</f>
      </c>
      <c r="BF151" s="0">
        <f>V151-AN151</f>
      </c>
      <c r="BG151" s="0">
        <f>W151-AO151</f>
      </c>
      <c r="BH151" s="0">
        <f>X151-AP151</f>
      </c>
      <c r="BI151" s="0">
        <f>Y151-AQ151</f>
      </c>
      <c r="BJ151" s="0">
        <f>Z151-AR151</f>
      </c>
      <c r="BK151" s="0">
        <f>AA151-AS151</f>
      </c>
      <c r="BL151" s="0">
        <f>AB151-AT151</f>
      </c>
      <c r="BM151" s="0">
        <f>AC151-AU151</f>
      </c>
      <c r="BN151" s="0">
        <f>AD151-AV151</f>
      </c>
      <c r="BO151" s="0">
        <f>AE151-AW151</f>
      </c>
      <c r="BP151" s="0">
        <f>AF151-AX151</f>
      </c>
      <c r="BQ151" s="0">
        <f>AG151-AY151</f>
      </c>
      <c r="BR151" s="0">
        <f>AH151-AZ151</f>
      </c>
      <c r="BS151" s="0">
        <f>AI151-BA151</f>
      </c>
      <c r="BT151" s="0">
        <f>AJ151-BB151</f>
      </c>
      <c r="BU151" s="0">
        <f>AK151-BC151</f>
      </c>
      <c r="BV151" s="0">
        <f>SUM(B151:S151)</f>
      </c>
      <c r="BW151" s="0">
        <f>SUM(T151:AK151)</f>
      </c>
      <c r="BX151" s="0">
        <f>MAX(0,(SUM(Calculator!$E$11:$E$28)+Calculator!$C$6)-BV151+BW151)</f>
      </c>
      <c r="BY151" s="0">
        <f>SUM(BD151:BU151)</f>
      </c>
      <c r="BZ151" s="0">
        <f>BV151-BY150</f>
      </c>
      <c r="CA151" s="0">
        <f>IF(A151&lt;=IF($CD$1=0,999,$CD$1),BY151,NA())</f>
      </c>
      <c r="CB151" s="0">
        <f>IF(A151&lt;=IF($CD$1=0,999,$CD$1),A151,NA())</f>
      </c>
    </row>
    <row r="152">
      <c r="A152" s="0">
        <v>149</v>
      </c>
      <c r="B152" s="0">
        <f>BD151*(1+Calculator!$D$11/100/12)</f>
      </c>
      <c r="C152" s="0">
        <f>BE151*(1+Calculator!$D$12/100/12)</f>
      </c>
      <c r="D152" s="0">
        <f>BF151*(1+Calculator!$D$13/100/12)</f>
      </c>
      <c r="E152" s="0">
        <f>BG151*(1+Calculator!$D$14/100/12)</f>
      </c>
      <c r="F152" s="0">
        <f>BH151*(1+Calculator!$D$15/100/12)</f>
      </c>
      <c r="G152" s="0">
        <f>BI151*(1+Calculator!$D$16/100/12)</f>
      </c>
      <c r="H152" s="0">
        <f>BJ151*(1+Calculator!$D$17/100/12)</f>
      </c>
      <c r="I152" s="0">
        <f>BK151*(1+Calculator!$D$18/100/12)</f>
      </c>
      <c r="J152" s="0">
        <f>BL151*(1+Calculator!$D$19/100/12)</f>
      </c>
      <c r="K152" s="0">
        <f>BM151*(1+Calculator!$D$20/100/12)</f>
      </c>
      <c r="L152" s="0">
        <f>BN151*(1+Calculator!$D$21/100/12)</f>
      </c>
      <c r="M152" s="0">
        <f>BO151*(1+Calculator!$D$22/100/12)</f>
      </c>
      <c r="N152" s="0">
        <f>BP151*(1+Calculator!$D$23/100/12)</f>
      </c>
      <c r="O152" s="0">
        <f>BQ151*(1+Calculator!$D$24/100/12)</f>
      </c>
      <c r="P152" s="0">
        <f>BR151*(1+Calculator!$D$25/100/12)</f>
      </c>
      <c r="Q152" s="0">
        <f>BS151*(1+Calculator!$D$26/100/12)</f>
      </c>
      <c r="R152" s="0">
        <f>BT151*(1+Calculator!$D$27/100/12)</f>
      </c>
      <c r="S152" s="0">
        <f>BU151*(1+Calculator!$D$28/100/12)</f>
      </c>
      <c r="T152" s="0">
        <f>MAX(0,B152-Calculator!$E$11)</f>
      </c>
      <c r="U152" s="0">
        <f>MAX(0,C152-Calculator!$E$12)</f>
      </c>
      <c r="V152" s="0">
        <f>MAX(0,D152-Calculator!$E$13)</f>
      </c>
      <c r="W152" s="0">
        <f>MAX(0,E152-Calculator!$E$14)</f>
      </c>
      <c r="X152" s="0">
        <f>MAX(0,F152-Calculator!$E$15)</f>
      </c>
      <c r="Y152" s="0">
        <f>MAX(0,G152-Calculator!$E$16)</f>
      </c>
      <c r="Z152" s="0">
        <f>MAX(0,H152-Calculator!$E$17)</f>
      </c>
      <c r="AA152" s="0">
        <f>MAX(0,I152-Calculator!$E$18)</f>
      </c>
      <c r="AB152" s="0">
        <f>MAX(0,J152-Calculator!$E$19)</f>
      </c>
      <c r="AC152" s="0">
        <f>MAX(0,K152-Calculator!$E$20)</f>
      </c>
      <c r="AD152" s="0">
        <f>MAX(0,L152-Calculator!$E$21)</f>
      </c>
      <c r="AE152" s="0">
        <f>MAX(0,M152-Calculator!$E$22)</f>
      </c>
      <c r="AF152" s="0">
        <f>MAX(0,N152-Calculator!$E$23)</f>
      </c>
      <c r="AG152" s="0">
        <f>MAX(0,O152-Calculator!$E$24)</f>
      </c>
      <c r="AH152" s="0">
        <f>MAX(0,P152-Calculator!$E$25)</f>
      </c>
      <c r="AI152" s="0">
        <f>MAX(0,Q152-Calculator!$E$26)</f>
      </c>
      <c r="AJ152" s="0">
        <f>MAX(0,R152-Calculator!$E$27)</f>
      </c>
      <c r="AK152" s="0">
        <f>MAX(0,S152-Calculator!$E$28)</f>
      </c>
      <c r="AL152" s="0">
        <f>MAX(0,MIN(T152,BX152-SUMPRODUCT(($T$2:$AK$2&lt;T$2)*($T152:$AK152))))</f>
      </c>
      <c r="AM152" s="0">
        <f>MAX(0,MIN(U152,BX152-SUMPRODUCT(($T$2:$AK$2&lt;U$2)*($T152:$AK152))))</f>
      </c>
      <c r="AN152" s="0">
        <f>MAX(0,MIN(V152,BX152-SUMPRODUCT(($T$2:$AK$2&lt;V$2)*($T152:$AK152))))</f>
      </c>
      <c r="AO152" s="0">
        <f>MAX(0,MIN(W152,BX152-SUMPRODUCT(($T$2:$AK$2&lt;W$2)*($T152:$AK152))))</f>
      </c>
      <c r="AP152" s="0">
        <f>MAX(0,MIN(X152,BX152-SUMPRODUCT(($T$2:$AK$2&lt;X$2)*($T152:$AK152))))</f>
      </c>
      <c r="AQ152" s="0">
        <f>MAX(0,MIN(Y152,BX152-SUMPRODUCT(($T$2:$AK$2&lt;Y$2)*($T152:$AK152))))</f>
      </c>
      <c r="AR152" s="0">
        <f>MAX(0,MIN(Z152,BX152-SUMPRODUCT(($T$2:$AK$2&lt;Z$2)*($T152:$AK152))))</f>
      </c>
      <c r="AS152" s="0">
        <f>MAX(0,MIN(AA152,BX152-SUMPRODUCT(($T$2:$AK$2&lt;AA$2)*($T152:$AK152))))</f>
      </c>
      <c r="AT152" s="0">
        <f>MAX(0,MIN(AB152,BX152-SUMPRODUCT(($T$2:$AK$2&lt;AB$2)*($T152:$AK152))))</f>
      </c>
      <c r="AU152" s="0">
        <f>MAX(0,MIN(AC152,BX152-SUMPRODUCT(($T$2:$AK$2&lt;AC$2)*($T152:$AK152))))</f>
      </c>
      <c r="AV152" s="0">
        <f>MAX(0,MIN(AD152,BX152-SUMPRODUCT(($T$2:$AK$2&lt;AD$2)*($T152:$AK152))))</f>
      </c>
      <c r="AW152" s="0">
        <f>MAX(0,MIN(AE152,BX152-SUMPRODUCT(($T$2:$AK$2&lt;AE$2)*($T152:$AK152))))</f>
      </c>
      <c r="AX152" s="0">
        <f>MAX(0,MIN(AF152,BX152-SUMPRODUCT(($T$2:$AK$2&lt;AF$2)*($T152:$AK152))))</f>
      </c>
      <c r="AY152" s="0">
        <f>MAX(0,MIN(AG152,BX152-SUMPRODUCT(($T$2:$AK$2&lt;AG$2)*($T152:$AK152))))</f>
      </c>
      <c r="AZ152" s="0">
        <f>MAX(0,MIN(AH152,BX152-SUMPRODUCT(($T$2:$AK$2&lt;AH$2)*($T152:$AK152))))</f>
      </c>
      <c r="BA152" s="0">
        <f>MAX(0,MIN(AI152,BX152-SUMPRODUCT(($T$2:$AK$2&lt;AI$2)*($T152:$AK152))))</f>
      </c>
      <c r="BB152" s="0">
        <f>MAX(0,MIN(AJ152,BX152-SUMPRODUCT(($T$2:$AK$2&lt;AJ$2)*($T152:$AK152))))</f>
      </c>
      <c r="BC152" s="0">
        <f>MAX(0,MIN(AK152,BX152-SUMPRODUCT(($T$2:$AK$2&lt;AK$2)*($T152:$AK152))))</f>
      </c>
      <c r="BD152" s="0">
        <f>T152-AL152</f>
      </c>
      <c r="BE152" s="0">
        <f>U152-AM152</f>
      </c>
      <c r="BF152" s="0">
        <f>V152-AN152</f>
      </c>
      <c r="BG152" s="0">
        <f>W152-AO152</f>
      </c>
      <c r="BH152" s="0">
        <f>X152-AP152</f>
      </c>
      <c r="BI152" s="0">
        <f>Y152-AQ152</f>
      </c>
      <c r="BJ152" s="0">
        <f>Z152-AR152</f>
      </c>
      <c r="BK152" s="0">
        <f>AA152-AS152</f>
      </c>
      <c r="BL152" s="0">
        <f>AB152-AT152</f>
      </c>
      <c r="BM152" s="0">
        <f>AC152-AU152</f>
      </c>
      <c r="BN152" s="0">
        <f>AD152-AV152</f>
      </c>
      <c r="BO152" s="0">
        <f>AE152-AW152</f>
      </c>
      <c r="BP152" s="0">
        <f>AF152-AX152</f>
      </c>
      <c r="BQ152" s="0">
        <f>AG152-AY152</f>
      </c>
      <c r="BR152" s="0">
        <f>AH152-AZ152</f>
      </c>
      <c r="BS152" s="0">
        <f>AI152-BA152</f>
      </c>
      <c r="BT152" s="0">
        <f>AJ152-BB152</f>
      </c>
      <c r="BU152" s="0">
        <f>AK152-BC152</f>
      </c>
      <c r="BV152" s="0">
        <f>SUM(B152:S152)</f>
      </c>
      <c r="BW152" s="0">
        <f>SUM(T152:AK152)</f>
      </c>
      <c r="BX152" s="0">
        <f>MAX(0,(SUM(Calculator!$E$11:$E$28)+Calculator!$C$6)-BV152+BW152)</f>
      </c>
      <c r="BY152" s="0">
        <f>SUM(BD152:BU152)</f>
      </c>
      <c r="BZ152" s="0">
        <f>BV152-BY151</f>
      </c>
      <c r="CA152" s="0">
        <f>IF(A152&lt;=IF($CD$1=0,999,$CD$1),BY152,NA())</f>
      </c>
      <c r="CB152" s="0">
        <f>IF(A152&lt;=IF($CD$1=0,999,$CD$1),A152,NA())</f>
      </c>
    </row>
    <row r="153">
      <c r="A153" s="0">
        <v>150</v>
      </c>
      <c r="B153" s="0">
        <f>BD152*(1+Calculator!$D$11/100/12)</f>
      </c>
      <c r="C153" s="0">
        <f>BE152*(1+Calculator!$D$12/100/12)</f>
      </c>
      <c r="D153" s="0">
        <f>BF152*(1+Calculator!$D$13/100/12)</f>
      </c>
      <c r="E153" s="0">
        <f>BG152*(1+Calculator!$D$14/100/12)</f>
      </c>
      <c r="F153" s="0">
        <f>BH152*(1+Calculator!$D$15/100/12)</f>
      </c>
      <c r="G153" s="0">
        <f>BI152*(1+Calculator!$D$16/100/12)</f>
      </c>
      <c r="H153" s="0">
        <f>BJ152*(1+Calculator!$D$17/100/12)</f>
      </c>
      <c r="I153" s="0">
        <f>BK152*(1+Calculator!$D$18/100/12)</f>
      </c>
      <c r="J153" s="0">
        <f>BL152*(1+Calculator!$D$19/100/12)</f>
      </c>
      <c r="K153" s="0">
        <f>BM152*(1+Calculator!$D$20/100/12)</f>
      </c>
      <c r="L153" s="0">
        <f>BN152*(1+Calculator!$D$21/100/12)</f>
      </c>
      <c r="M153" s="0">
        <f>BO152*(1+Calculator!$D$22/100/12)</f>
      </c>
      <c r="N153" s="0">
        <f>BP152*(1+Calculator!$D$23/100/12)</f>
      </c>
      <c r="O153" s="0">
        <f>BQ152*(1+Calculator!$D$24/100/12)</f>
      </c>
      <c r="P153" s="0">
        <f>BR152*(1+Calculator!$D$25/100/12)</f>
      </c>
      <c r="Q153" s="0">
        <f>BS152*(1+Calculator!$D$26/100/12)</f>
      </c>
      <c r="R153" s="0">
        <f>BT152*(1+Calculator!$D$27/100/12)</f>
      </c>
      <c r="S153" s="0">
        <f>BU152*(1+Calculator!$D$28/100/12)</f>
      </c>
      <c r="T153" s="0">
        <f>MAX(0,B153-Calculator!$E$11)</f>
      </c>
      <c r="U153" s="0">
        <f>MAX(0,C153-Calculator!$E$12)</f>
      </c>
      <c r="V153" s="0">
        <f>MAX(0,D153-Calculator!$E$13)</f>
      </c>
      <c r="W153" s="0">
        <f>MAX(0,E153-Calculator!$E$14)</f>
      </c>
      <c r="X153" s="0">
        <f>MAX(0,F153-Calculator!$E$15)</f>
      </c>
      <c r="Y153" s="0">
        <f>MAX(0,G153-Calculator!$E$16)</f>
      </c>
      <c r="Z153" s="0">
        <f>MAX(0,H153-Calculator!$E$17)</f>
      </c>
      <c r="AA153" s="0">
        <f>MAX(0,I153-Calculator!$E$18)</f>
      </c>
      <c r="AB153" s="0">
        <f>MAX(0,J153-Calculator!$E$19)</f>
      </c>
      <c r="AC153" s="0">
        <f>MAX(0,K153-Calculator!$E$20)</f>
      </c>
      <c r="AD153" s="0">
        <f>MAX(0,L153-Calculator!$E$21)</f>
      </c>
      <c r="AE153" s="0">
        <f>MAX(0,M153-Calculator!$E$22)</f>
      </c>
      <c r="AF153" s="0">
        <f>MAX(0,N153-Calculator!$E$23)</f>
      </c>
      <c r="AG153" s="0">
        <f>MAX(0,O153-Calculator!$E$24)</f>
      </c>
      <c r="AH153" s="0">
        <f>MAX(0,P153-Calculator!$E$25)</f>
      </c>
      <c r="AI153" s="0">
        <f>MAX(0,Q153-Calculator!$E$26)</f>
      </c>
      <c r="AJ153" s="0">
        <f>MAX(0,R153-Calculator!$E$27)</f>
      </c>
      <c r="AK153" s="0">
        <f>MAX(0,S153-Calculator!$E$28)</f>
      </c>
      <c r="AL153" s="0">
        <f>MAX(0,MIN(T153,BX153-SUMPRODUCT(($T$2:$AK$2&lt;T$2)*($T153:$AK153))))</f>
      </c>
      <c r="AM153" s="0">
        <f>MAX(0,MIN(U153,BX153-SUMPRODUCT(($T$2:$AK$2&lt;U$2)*($T153:$AK153))))</f>
      </c>
      <c r="AN153" s="0">
        <f>MAX(0,MIN(V153,BX153-SUMPRODUCT(($T$2:$AK$2&lt;V$2)*($T153:$AK153))))</f>
      </c>
      <c r="AO153" s="0">
        <f>MAX(0,MIN(W153,BX153-SUMPRODUCT(($T$2:$AK$2&lt;W$2)*($T153:$AK153))))</f>
      </c>
      <c r="AP153" s="0">
        <f>MAX(0,MIN(X153,BX153-SUMPRODUCT(($T$2:$AK$2&lt;X$2)*($T153:$AK153))))</f>
      </c>
      <c r="AQ153" s="0">
        <f>MAX(0,MIN(Y153,BX153-SUMPRODUCT(($T$2:$AK$2&lt;Y$2)*($T153:$AK153))))</f>
      </c>
      <c r="AR153" s="0">
        <f>MAX(0,MIN(Z153,BX153-SUMPRODUCT(($T$2:$AK$2&lt;Z$2)*($T153:$AK153))))</f>
      </c>
      <c r="AS153" s="0">
        <f>MAX(0,MIN(AA153,BX153-SUMPRODUCT(($T$2:$AK$2&lt;AA$2)*($T153:$AK153))))</f>
      </c>
      <c r="AT153" s="0">
        <f>MAX(0,MIN(AB153,BX153-SUMPRODUCT(($T$2:$AK$2&lt;AB$2)*($T153:$AK153))))</f>
      </c>
      <c r="AU153" s="0">
        <f>MAX(0,MIN(AC153,BX153-SUMPRODUCT(($T$2:$AK$2&lt;AC$2)*($T153:$AK153))))</f>
      </c>
      <c r="AV153" s="0">
        <f>MAX(0,MIN(AD153,BX153-SUMPRODUCT(($T$2:$AK$2&lt;AD$2)*($T153:$AK153))))</f>
      </c>
      <c r="AW153" s="0">
        <f>MAX(0,MIN(AE153,BX153-SUMPRODUCT(($T$2:$AK$2&lt;AE$2)*($T153:$AK153))))</f>
      </c>
      <c r="AX153" s="0">
        <f>MAX(0,MIN(AF153,BX153-SUMPRODUCT(($T$2:$AK$2&lt;AF$2)*($T153:$AK153))))</f>
      </c>
      <c r="AY153" s="0">
        <f>MAX(0,MIN(AG153,BX153-SUMPRODUCT(($T$2:$AK$2&lt;AG$2)*($T153:$AK153))))</f>
      </c>
      <c r="AZ153" s="0">
        <f>MAX(0,MIN(AH153,BX153-SUMPRODUCT(($T$2:$AK$2&lt;AH$2)*($T153:$AK153))))</f>
      </c>
      <c r="BA153" s="0">
        <f>MAX(0,MIN(AI153,BX153-SUMPRODUCT(($T$2:$AK$2&lt;AI$2)*($T153:$AK153))))</f>
      </c>
      <c r="BB153" s="0">
        <f>MAX(0,MIN(AJ153,BX153-SUMPRODUCT(($T$2:$AK$2&lt;AJ$2)*($T153:$AK153))))</f>
      </c>
      <c r="BC153" s="0">
        <f>MAX(0,MIN(AK153,BX153-SUMPRODUCT(($T$2:$AK$2&lt;AK$2)*($T153:$AK153))))</f>
      </c>
      <c r="BD153" s="0">
        <f>T153-AL153</f>
      </c>
      <c r="BE153" s="0">
        <f>U153-AM153</f>
      </c>
      <c r="BF153" s="0">
        <f>V153-AN153</f>
      </c>
      <c r="BG153" s="0">
        <f>W153-AO153</f>
      </c>
      <c r="BH153" s="0">
        <f>X153-AP153</f>
      </c>
      <c r="BI153" s="0">
        <f>Y153-AQ153</f>
      </c>
      <c r="BJ153" s="0">
        <f>Z153-AR153</f>
      </c>
      <c r="BK153" s="0">
        <f>AA153-AS153</f>
      </c>
      <c r="BL153" s="0">
        <f>AB153-AT153</f>
      </c>
      <c r="BM153" s="0">
        <f>AC153-AU153</f>
      </c>
      <c r="BN153" s="0">
        <f>AD153-AV153</f>
      </c>
      <c r="BO153" s="0">
        <f>AE153-AW153</f>
      </c>
      <c r="BP153" s="0">
        <f>AF153-AX153</f>
      </c>
      <c r="BQ153" s="0">
        <f>AG153-AY153</f>
      </c>
      <c r="BR153" s="0">
        <f>AH153-AZ153</f>
      </c>
      <c r="BS153" s="0">
        <f>AI153-BA153</f>
      </c>
      <c r="BT153" s="0">
        <f>AJ153-BB153</f>
      </c>
      <c r="BU153" s="0">
        <f>AK153-BC153</f>
      </c>
      <c r="BV153" s="0">
        <f>SUM(B153:S153)</f>
      </c>
      <c r="BW153" s="0">
        <f>SUM(T153:AK153)</f>
      </c>
      <c r="BX153" s="0">
        <f>MAX(0,(SUM(Calculator!$E$11:$E$28)+Calculator!$C$6)-BV153+BW153)</f>
      </c>
      <c r="BY153" s="0">
        <f>SUM(BD153:BU153)</f>
      </c>
      <c r="BZ153" s="0">
        <f>BV153-BY152</f>
      </c>
      <c r="CA153" s="0">
        <f>IF(A153&lt;=IF($CD$1=0,999,$CD$1),BY153,NA())</f>
      </c>
      <c r="CB153" s="0">
        <f>IF(A153&lt;=IF($CD$1=0,999,$CD$1),A153,NA())</f>
      </c>
    </row>
    <row r="154">
      <c r="A154" s="0">
        <v>151</v>
      </c>
      <c r="B154" s="0">
        <f>BD153*(1+Calculator!$D$11/100/12)</f>
      </c>
      <c r="C154" s="0">
        <f>BE153*(1+Calculator!$D$12/100/12)</f>
      </c>
      <c r="D154" s="0">
        <f>BF153*(1+Calculator!$D$13/100/12)</f>
      </c>
      <c r="E154" s="0">
        <f>BG153*(1+Calculator!$D$14/100/12)</f>
      </c>
      <c r="F154" s="0">
        <f>BH153*(1+Calculator!$D$15/100/12)</f>
      </c>
      <c r="G154" s="0">
        <f>BI153*(1+Calculator!$D$16/100/12)</f>
      </c>
      <c r="H154" s="0">
        <f>BJ153*(1+Calculator!$D$17/100/12)</f>
      </c>
      <c r="I154" s="0">
        <f>BK153*(1+Calculator!$D$18/100/12)</f>
      </c>
      <c r="J154" s="0">
        <f>BL153*(1+Calculator!$D$19/100/12)</f>
      </c>
      <c r="K154" s="0">
        <f>BM153*(1+Calculator!$D$20/100/12)</f>
      </c>
      <c r="L154" s="0">
        <f>BN153*(1+Calculator!$D$21/100/12)</f>
      </c>
      <c r="M154" s="0">
        <f>BO153*(1+Calculator!$D$22/100/12)</f>
      </c>
      <c r="N154" s="0">
        <f>BP153*(1+Calculator!$D$23/100/12)</f>
      </c>
      <c r="O154" s="0">
        <f>BQ153*(1+Calculator!$D$24/100/12)</f>
      </c>
      <c r="P154" s="0">
        <f>BR153*(1+Calculator!$D$25/100/12)</f>
      </c>
      <c r="Q154" s="0">
        <f>BS153*(1+Calculator!$D$26/100/12)</f>
      </c>
      <c r="R154" s="0">
        <f>BT153*(1+Calculator!$D$27/100/12)</f>
      </c>
      <c r="S154" s="0">
        <f>BU153*(1+Calculator!$D$28/100/12)</f>
      </c>
      <c r="T154" s="0">
        <f>MAX(0,B154-Calculator!$E$11)</f>
      </c>
      <c r="U154" s="0">
        <f>MAX(0,C154-Calculator!$E$12)</f>
      </c>
      <c r="V154" s="0">
        <f>MAX(0,D154-Calculator!$E$13)</f>
      </c>
      <c r="W154" s="0">
        <f>MAX(0,E154-Calculator!$E$14)</f>
      </c>
      <c r="X154" s="0">
        <f>MAX(0,F154-Calculator!$E$15)</f>
      </c>
      <c r="Y154" s="0">
        <f>MAX(0,G154-Calculator!$E$16)</f>
      </c>
      <c r="Z154" s="0">
        <f>MAX(0,H154-Calculator!$E$17)</f>
      </c>
      <c r="AA154" s="0">
        <f>MAX(0,I154-Calculator!$E$18)</f>
      </c>
      <c r="AB154" s="0">
        <f>MAX(0,J154-Calculator!$E$19)</f>
      </c>
      <c r="AC154" s="0">
        <f>MAX(0,K154-Calculator!$E$20)</f>
      </c>
      <c r="AD154" s="0">
        <f>MAX(0,L154-Calculator!$E$21)</f>
      </c>
      <c r="AE154" s="0">
        <f>MAX(0,M154-Calculator!$E$22)</f>
      </c>
      <c r="AF154" s="0">
        <f>MAX(0,N154-Calculator!$E$23)</f>
      </c>
      <c r="AG154" s="0">
        <f>MAX(0,O154-Calculator!$E$24)</f>
      </c>
      <c r="AH154" s="0">
        <f>MAX(0,P154-Calculator!$E$25)</f>
      </c>
      <c r="AI154" s="0">
        <f>MAX(0,Q154-Calculator!$E$26)</f>
      </c>
      <c r="AJ154" s="0">
        <f>MAX(0,R154-Calculator!$E$27)</f>
      </c>
      <c r="AK154" s="0">
        <f>MAX(0,S154-Calculator!$E$28)</f>
      </c>
      <c r="AL154" s="0">
        <f>MAX(0,MIN(T154,BX154-SUMPRODUCT(($T$2:$AK$2&lt;T$2)*($T154:$AK154))))</f>
      </c>
      <c r="AM154" s="0">
        <f>MAX(0,MIN(U154,BX154-SUMPRODUCT(($T$2:$AK$2&lt;U$2)*($T154:$AK154))))</f>
      </c>
      <c r="AN154" s="0">
        <f>MAX(0,MIN(V154,BX154-SUMPRODUCT(($T$2:$AK$2&lt;V$2)*($T154:$AK154))))</f>
      </c>
      <c r="AO154" s="0">
        <f>MAX(0,MIN(W154,BX154-SUMPRODUCT(($T$2:$AK$2&lt;W$2)*($T154:$AK154))))</f>
      </c>
      <c r="AP154" s="0">
        <f>MAX(0,MIN(X154,BX154-SUMPRODUCT(($T$2:$AK$2&lt;X$2)*($T154:$AK154))))</f>
      </c>
      <c r="AQ154" s="0">
        <f>MAX(0,MIN(Y154,BX154-SUMPRODUCT(($T$2:$AK$2&lt;Y$2)*($T154:$AK154))))</f>
      </c>
      <c r="AR154" s="0">
        <f>MAX(0,MIN(Z154,BX154-SUMPRODUCT(($T$2:$AK$2&lt;Z$2)*($T154:$AK154))))</f>
      </c>
      <c r="AS154" s="0">
        <f>MAX(0,MIN(AA154,BX154-SUMPRODUCT(($T$2:$AK$2&lt;AA$2)*($T154:$AK154))))</f>
      </c>
      <c r="AT154" s="0">
        <f>MAX(0,MIN(AB154,BX154-SUMPRODUCT(($T$2:$AK$2&lt;AB$2)*($T154:$AK154))))</f>
      </c>
      <c r="AU154" s="0">
        <f>MAX(0,MIN(AC154,BX154-SUMPRODUCT(($T$2:$AK$2&lt;AC$2)*($T154:$AK154))))</f>
      </c>
      <c r="AV154" s="0">
        <f>MAX(0,MIN(AD154,BX154-SUMPRODUCT(($T$2:$AK$2&lt;AD$2)*($T154:$AK154))))</f>
      </c>
      <c r="AW154" s="0">
        <f>MAX(0,MIN(AE154,BX154-SUMPRODUCT(($T$2:$AK$2&lt;AE$2)*($T154:$AK154))))</f>
      </c>
      <c r="AX154" s="0">
        <f>MAX(0,MIN(AF154,BX154-SUMPRODUCT(($T$2:$AK$2&lt;AF$2)*($T154:$AK154))))</f>
      </c>
      <c r="AY154" s="0">
        <f>MAX(0,MIN(AG154,BX154-SUMPRODUCT(($T$2:$AK$2&lt;AG$2)*($T154:$AK154))))</f>
      </c>
      <c r="AZ154" s="0">
        <f>MAX(0,MIN(AH154,BX154-SUMPRODUCT(($T$2:$AK$2&lt;AH$2)*($T154:$AK154))))</f>
      </c>
      <c r="BA154" s="0">
        <f>MAX(0,MIN(AI154,BX154-SUMPRODUCT(($T$2:$AK$2&lt;AI$2)*($T154:$AK154))))</f>
      </c>
      <c r="BB154" s="0">
        <f>MAX(0,MIN(AJ154,BX154-SUMPRODUCT(($T$2:$AK$2&lt;AJ$2)*($T154:$AK154))))</f>
      </c>
      <c r="BC154" s="0">
        <f>MAX(0,MIN(AK154,BX154-SUMPRODUCT(($T$2:$AK$2&lt;AK$2)*($T154:$AK154))))</f>
      </c>
      <c r="BD154" s="0">
        <f>T154-AL154</f>
      </c>
      <c r="BE154" s="0">
        <f>U154-AM154</f>
      </c>
      <c r="BF154" s="0">
        <f>V154-AN154</f>
      </c>
      <c r="BG154" s="0">
        <f>W154-AO154</f>
      </c>
      <c r="BH154" s="0">
        <f>X154-AP154</f>
      </c>
      <c r="BI154" s="0">
        <f>Y154-AQ154</f>
      </c>
      <c r="BJ154" s="0">
        <f>Z154-AR154</f>
      </c>
      <c r="BK154" s="0">
        <f>AA154-AS154</f>
      </c>
      <c r="BL154" s="0">
        <f>AB154-AT154</f>
      </c>
      <c r="BM154" s="0">
        <f>AC154-AU154</f>
      </c>
      <c r="BN154" s="0">
        <f>AD154-AV154</f>
      </c>
      <c r="BO154" s="0">
        <f>AE154-AW154</f>
      </c>
      <c r="BP154" s="0">
        <f>AF154-AX154</f>
      </c>
      <c r="BQ154" s="0">
        <f>AG154-AY154</f>
      </c>
      <c r="BR154" s="0">
        <f>AH154-AZ154</f>
      </c>
      <c r="BS154" s="0">
        <f>AI154-BA154</f>
      </c>
      <c r="BT154" s="0">
        <f>AJ154-BB154</f>
      </c>
      <c r="BU154" s="0">
        <f>AK154-BC154</f>
      </c>
      <c r="BV154" s="0">
        <f>SUM(B154:S154)</f>
      </c>
      <c r="BW154" s="0">
        <f>SUM(T154:AK154)</f>
      </c>
      <c r="BX154" s="0">
        <f>MAX(0,(SUM(Calculator!$E$11:$E$28)+Calculator!$C$6)-BV154+BW154)</f>
      </c>
      <c r="BY154" s="0">
        <f>SUM(BD154:BU154)</f>
      </c>
      <c r="BZ154" s="0">
        <f>BV154-BY153</f>
      </c>
      <c r="CA154" s="0">
        <f>IF(A154&lt;=IF($CD$1=0,999,$CD$1),BY154,NA())</f>
      </c>
      <c r="CB154" s="0">
        <f>IF(A154&lt;=IF($CD$1=0,999,$CD$1),A154,NA())</f>
      </c>
    </row>
    <row r="155">
      <c r="A155" s="0">
        <v>152</v>
      </c>
      <c r="B155" s="0">
        <f>BD154*(1+Calculator!$D$11/100/12)</f>
      </c>
      <c r="C155" s="0">
        <f>BE154*(1+Calculator!$D$12/100/12)</f>
      </c>
      <c r="D155" s="0">
        <f>BF154*(1+Calculator!$D$13/100/12)</f>
      </c>
      <c r="E155" s="0">
        <f>BG154*(1+Calculator!$D$14/100/12)</f>
      </c>
      <c r="F155" s="0">
        <f>BH154*(1+Calculator!$D$15/100/12)</f>
      </c>
      <c r="G155" s="0">
        <f>BI154*(1+Calculator!$D$16/100/12)</f>
      </c>
      <c r="H155" s="0">
        <f>BJ154*(1+Calculator!$D$17/100/12)</f>
      </c>
      <c r="I155" s="0">
        <f>BK154*(1+Calculator!$D$18/100/12)</f>
      </c>
      <c r="J155" s="0">
        <f>BL154*(1+Calculator!$D$19/100/12)</f>
      </c>
      <c r="K155" s="0">
        <f>BM154*(1+Calculator!$D$20/100/12)</f>
      </c>
      <c r="L155" s="0">
        <f>BN154*(1+Calculator!$D$21/100/12)</f>
      </c>
      <c r="M155" s="0">
        <f>BO154*(1+Calculator!$D$22/100/12)</f>
      </c>
      <c r="N155" s="0">
        <f>BP154*(1+Calculator!$D$23/100/12)</f>
      </c>
      <c r="O155" s="0">
        <f>BQ154*(1+Calculator!$D$24/100/12)</f>
      </c>
      <c r="P155" s="0">
        <f>BR154*(1+Calculator!$D$25/100/12)</f>
      </c>
      <c r="Q155" s="0">
        <f>BS154*(1+Calculator!$D$26/100/12)</f>
      </c>
      <c r="R155" s="0">
        <f>BT154*(1+Calculator!$D$27/100/12)</f>
      </c>
      <c r="S155" s="0">
        <f>BU154*(1+Calculator!$D$28/100/12)</f>
      </c>
      <c r="T155" s="0">
        <f>MAX(0,B155-Calculator!$E$11)</f>
      </c>
      <c r="U155" s="0">
        <f>MAX(0,C155-Calculator!$E$12)</f>
      </c>
      <c r="V155" s="0">
        <f>MAX(0,D155-Calculator!$E$13)</f>
      </c>
      <c r="W155" s="0">
        <f>MAX(0,E155-Calculator!$E$14)</f>
      </c>
      <c r="X155" s="0">
        <f>MAX(0,F155-Calculator!$E$15)</f>
      </c>
      <c r="Y155" s="0">
        <f>MAX(0,G155-Calculator!$E$16)</f>
      </c>
      <c r="Z155" s="0">
        <f>MAX(0,H155-Calculator!$E$17)</f>
      </c>
      <c r="AA155" s="0">
        <f>MAX(0,I155-Calculator!$E$18)</f>
      </c>
      <c r="AB155" s="0">
        <f>MAX(0,J155-Calculator!$E$19)</f>
      </c>
      <c r="AC155" s="0">
        <f>MAX(0,K155-Calculator!$E$20)</f>
      </c>
      <c r="AD155" s="0">
        <f>MAX(0,L155-Calculator!$E$21)</f>
      </c>
      <c r="AE155" s="0">
        <f>MAX(0,M155-Calculator!$E$22)</f>
      </c>
      <c r="AF155" s="0">
        <f>MAX(0,N155-Calculator!$E$23)</f>
      </c>
      <c r="AG155" s="0">
        <f>MAX(0,O155-Calculator!$E$24)</f>
      </c>
      <c r="AH155" s="0">
        <f>MAX(0,P155-Calculator!$E$25)</f>
      </c>
      <c r="AI155" s="0">
        <f>MAX(0,Q155-Calculator!$E$26)</f>
      </c>
      <c r="AJ155" s="0">
        <f>MAX(0,R155-Calculator!$E$27)</f>
      </c>
      <c r="AK155" s="0">
        <f>MAX(0,S155-Calculator!$E$28)</f>
      </c>
      <c r="AL155" s="0">
        <f>MAX(0,MIN(T155,BX155-SUMPRODUCT(($T$2:$AK$2&lt;T$2)*($T155:$AK155))))</f>
      </c>
      <c r="AM155" s="0">
        <f>MAX(0,MIN(U155,BX155-SUMPRODUCT(($T$2:$AK$2&lt;U$2)*($T155:$AK155))))</f>
      </c>
      <c r="AN155" s="0">
        <f>MAX(0,MIN(V155,BX155-SUMPRODUCT(($T$2:$AK$2&lt;V$2)*($T155:$AK155))))</f>
      </c>
      <c r="AO155" s="0">
        <f>MAX(0,MIN(W155,BX155-SUMPRODUCT(($T$2:$AK$2&lt;W$2)*($T155:$AK155))))</f>
      </c>
      <c r="AP155" s="0">
        <f>MAX(0,MIN(X155,BX155-SUMPRODUCT(($T$2:$AK$2&lt;X$2)*($T155:$AK155))))</f>
      </c>
      <c r="AQ155" s="0">
        <f>MAX(0,MIN(Y155,BX155-SUMPRODUCT(($T$2:$AK$2&lt;Y$2)*($T155:$AK155))))</f>
      </c>
      <c r="AR155" s="0">
        <f>MAX(0,MIN(Z155,BX155-SUMPRODUCT(($T$2:$AK$2&lt;Z$2)*($T155:$AK155))))</f>
      </c>
      <c r="AS155" s="0">
        <f>MAX(0,MIN(AA155,BX155-SUMPRODUCT(($T$2:$AK$2&lt;AA$2)*($T155:$AK155))))</f>
      </c>
      <c r="AT155" s="0">
        <f>MAX(0,MIN(AB155,BX155-SUMPRODUCT(($T$2:$AK$2&lt;AB$2)*($T155:$AK155))))</f>
      </c>
      <c r="AU155" s="0">
        <f>MAX(0,MIN(AC155,BX155-SUMPRODUCT(($T$2:$AK$2&lt;AC$2)*($T155:$AK155))))</f>
      </c>
      <c r="AV155" s="0">
        <f>MAX(0,MIN(AD155,BX155-SUMPRODUCT(($T$2:$AK$2&lt;AD$2)*($T155:$AK155))))</f>
      </c>
      <c r="AW155" s="0">
        <f>MAX(0,MIN(AE155,BX155-SUMPRODUCT(($T$2:$AK$2&lt;AE$2)*($T155:$AK155))))</f>
      </c>
      <c r="AX155" s="0">
        <f>MAX(0,MIN(AF155,BX155-SUMPRODUCT(($T$2:$AK$2&lt;AF$2)*($T155:$AK155))))</f>
      </c>
      <c r="AY155" s="0">
        <f>MAX(0,MIN(AG155,BX155-SUMPRODUCT(($T$2:$AK$2&lt;AG$2)*($T155:$AK155))))</f>
      </c>
      <c r="AZ155" s="0">
        <f>MAX(0,MIN(AH155,BX155-SUMPRODUCT(($T$2:$AK$2&lt;AH$2)*($T155:$AK155))))</f>
      </c>
      <c r="BA155" s="0">
        <f>MAX(0,MIN(AI155,BX155-SUMPRODUCT(($T$2:$AK$2&lt;AI$2)*($T155:$AK155))))</f>
      </c>
      <c r="BB155" s="0">
        <f>MAX(0,MIN(AJ155,BX155-SUMPRODUCT(($T$2:$AK$2&lt;AJ$2)*($T155:$AK155))))</f>
      </c>
      <c r="BC155" s="0">
        <f>MAX(0,MIN(AK155,BX155-SUMPRODUCT(($T$2:$AK$2&lt;AK$2)*($T155:$AK155))))</f>
      </c>
      <c r="BD155" s="0">
        <f>T155-AL155</f>
      </c>
      <c r="BE155" s="0">
        <f>U155-AM155</f>
      </c>
      <c r="BF155" s="0">
        <f>V155-AN155</f>
      </c>
      <c r="BG155" s="0">
        <f>W155-AO155</f>
      </c>
      <c r="BH155" s="0">
        <f>X155-AP155</f>
      </c>
      <c r="BI155" s="0">
        <f>Y155-AQ155</f>
      </c>
      <c r="BJ155" s="0">
        <f>Z155-AR155</f>
      </c>
      <c r="BK155" s="0">
        <f>AA155-AS155</f>
      </c>
      <c r="BL155" s="0">
        <f>AB155-AT155</f>
      </c>
      <c r="BM155" s="0">
        <f>AC155-AU155</f>
      </c>
      <c r="BN155" s="0">
        <f>AD155-AV155</f>
      </c>
      <c r="BO155" s="0">
        <f>AE155-AW155</f>
      </c>
      <c r="BP155" s="0">
        <f>AF155-AX155</f>
      </c>
      <c r="BQ155" s="0">
        <f>AG155-AY155</f>
      </c>
      <c r="BR155" s="0">
        <f>AH155-AZ155</f>
      </c>
      <c r="BS155" s="0">
        <f>AI155-BA155</f>
      </c>
      <c r="BT155" s="0">
        <f>AJ155-BB155</f>
      </c>
      <c r="BU155" s="0">
        <f>AK155-BC155</f>
      </c>
      <c r="BV155" s="0">
        <f>SUM(B155:S155)</f>
      </c>
      <c r="BW155" s="0">
        <f>SUM(T155:AK155)</f>
      </c>
      <c r="BX155" s="0">
        <f>MAX(0,(SUM(Calculator!$E$11:$E$28)+Calculator!$C$6)-BV155+BW155)</f>
      </c>
      <c r="BY155" s="0">
        <f>SUM(BD155:BU155)</f>
      </c>
      <c r="BZ155" s="0">
        <f>BV155-BY154</f>
      </c>
      <c r="CA155" s="0">
        <f>IF(A155&lt;=IF($CD$1=0,999,$CD$1),BY155,NA())</f>
      </c>
      <c r="CB155" s="0">
        <f>IF(A155&lt;=IF($CD$1=0,999,$CD$1),A155,NA())</f>
      </c>
    </row>
    <row r="156">
      <c r="A156" s="0">
        <v>153</v>
      </c>
      <c r="B156" s="0">
        <f>BD155*(1+Calculator!$D$11/100/12)</f>
      </c>
      <c r="C156" s="0">
        <f>BE155*(1+Calculator!$D$12/100/12)</f>
      </c>
      <c r="D156" s="0">
        <f>BF155*(1+Calculator!$D$13/100/12)</f>
      </c>
      <c r="E156" s="0">
        <f>BG155*(1+Calculator!$D$14/100/12)</f>
      </c>
      <c r="F156" s="0">
        <f>BH155*(1+Calculator!$D$15/100/12)</f>
      </c>
      <c r="G156" s="0">
        <f>BI155*(1+Calculator!$D$16/100/12)</f>
      </c>
      <c r="H156" s="0">
        <f>BJ155*(1+Calculator!$D$17/100/12)</f>
      </c>
      <c r="I156" s="0">
        <f>BK155*(1+Calculator!$D$18/100/12)</f>
      </c>
      <c r="J156" s="0">
        <f>BL155*(1+Calculator!$D$19/100/12)</f>
      </c>
      <c r="K156" s="0">
        <f>BM155*(1+Calculator!$D$20/100/12)</f>
      </c>
      <c r="L156" s="0">
        <f>BN155*(1+Calculator!$D$21/100/12)</f>
      </c>
      <c r="M156" s="0">
        <f>BO155*(1+Calculator!$D$22/100/12)</f>
      </c>
      <c r="N156" s="0">
        <f>BP155*(1+Calculator!$D$23/100/12)</f>
      </c>
      <c r="O156" s="0">
        <f>BQ155*(1+Calculator!$D$24/100/12)</f>
      </c>
      <c r="P156" s="0">
        <f>BR155*(1+Calculator!$D$25/100/12)</f>
      </c>
      <c r="Q156" s="0">
        <f>BS155*(1+Calculator!$D$26/100/12)</f>
      </c>
      <c r="R156" s="0">
        <f>BT155*(1+Calculator!$D$27/100/12)</f>
      </c>
      <c r="S156" s="0">
        <f>BU155*(1+Calculator!$D$28/100/12)</f>
      </c>
      <c r="T156" s="0">
        <f>MAX(0,B156-Calculator!$E$11)</f>
      </c>
      <c r="U156" s="0">
        <f>MAX(0,C156-Calculator!$E$12)</f>
      </c>
      <c r="V156" s="0">
        <f>MAX(0,D156-Calculator!$E$13)</f>
      </c>
      <c r="W156" s="0">
        <f>MAX(0,E156-Calculator!$E$14)</f>
      </c>
      <c r="X156" s="0">
        <f>MAX(0,F156-Calculator!$E$15)</f>
      </c>
      <c r="Y156" s="0">
        <f>MAX(0,G156-Calculator!$E$16)</f>
      </c>
      <c r="Z156" s="0">
        <f>MAX(0,H156-Calculator!$E$17)</f>
      </c>
      <c r="AA156" s="0">
        <f>MAX(0,I156-Calculator!$E$18)</f>
      </c>
      <c r="AB156" s="0">
        <f>MAX(0,J156-Calculator!$E$19)</f>
      </c>
      <c r="AC156" s="0">
        <f>MAX(0,K156-Calculator!$E$20)</f>
      </c>
      <c r="AD156" s="0">
        <f>MAX(0,L156-Calculator!$E$21)</f>
      </c>
      <c r="AE156" s="0">
        <f>MAX(0,M156-Calculator!$E$22)</f>
      </c>
      <c r="AF156" s="0">
        <f>MAX(0,N156-Calculator!$E$23)</f>
      </c>
      <c r="AG156" s="0">
        <f>MAX(0,O156-Calculator!$E$24)</f>
      </c>
      <c r="AH156" s="0">
        <f>MAX(0,P156-Calculator!$E$25)</f>
      </c>
      <c r="AI156" s="0">
        <f>MAX(0,Q156-Calculator!$E$26)</f>
      </c>
      <c r="AJ156" s="0">
        <f>MAX(0,R156-Calculator!$E$27)</f>
      </c>
      <c r="AK156" s="0">
        <f>MAX(0,S156-Calculator!$E$28)</f>
      </c>
      <c r="AL156" s="0">
        <f>MAX(0,MIN(T156,BX156-SUMPRODUCT(($T$2:$AK$2&lt;T$2)*($T156:$AK156))))</f>
      </c>
      <c r="AM156" s="0">
        <f>MAX(0,MIN(U156,BX156-SUMPRODUCT(($T$2:$AK$2&lt;U$2)*($T156:$AK156))))</f>
      </c>
      <c r="AN156" s="0">
        <f>MAX(0,MIN(V156,BX156-SUMPRODUCT(($T$2:$AK$2&lt;V$2)*($T156:$AK156))))</f>
      </c>
      <c r="AO156" s="0">
        <f>MAX(0,MIN(W156,BX156-SUMPRODUCT(($T$2:$AK$2&lt;W$2)*($T156:$AK156))))</f>
      </c>
      <c r="AP156" s="0">
        <f>MAX(0,MIN(X156,BX156-SUMPRODUCT(($T$2:$AK$2&lt;X$2)*($T156:$AK156))))</f>
      </c>
      <c r="AQ156" s="0">
        <f>MAX(0,MIN(Y156,BX156-SUMPRODUCT(($T$2:$AK$2&lt;Y$2)*($T156:$AK156))))</f>
      </c>
      <c r="AR156" s="0">
        <f>MAX(0,MIN(Z156,BX156-SUMPRODUCT(($T$2:$AK$2&lt;Z$2)*($T156:$AK156))))</f>
      </c>
      <c r="AS156" s="0">
        <f>MAX(0,MIN(AA156,BX156-SUMPRODUCT(($T$2:$AK$2&lt;AA$2)*($T156:$AK156))))</f>
      </c>
      <c r="AT156" s="0">
        <f>MAX(0,MIN(AB156,BX156-SUMPRODUCT(($T$2:$AK$2&lt;AB$2)*($T156:$AK156))))</f>
      </c>
      <c r="AU156" s="0">
        <f>MAX(0,MIN(AC156,BX156-SUMPRODUCT(($T$2:$AK$2&lt;AC$2)*($T156:$AK156))))</f>
      </c>
      <c r="AV156" s="0">
        <f>MAX(0,MIN(AD156,BX156-SUMPRODUCT(($T$2:$AK$2&lt;AD$2)*($T156:$AK156))))</f>
      </c>
      <c r="AW156" s="0">
        <f>MAX(0,MIN(AE156,BX156-SUMPRODUCT(($T$2:$AK$2&lt;AE$2)*($T156:$AK156))))</f>
      </c>
      <c r="AX156" s="0">
        <f>MAX(0,MIN(AF156,BX156-SUMPRODUCT(($T$2:$AK$2&lt;AF$2)*($T156:$AK156))))</f>
      </c>
      <c r="AY156" s="0">
        <f>MAX(0,MIN(AG156,BX156-SUMPRODUCT(($T$2:$AK$2&lt;AG$2)*($T156:$AK156))))</f>
      </c>
      <c r="AZ156" s="0">
        <f>MAX(0,MIN(AH156,BX156-SUMPRODUCT(($T$2:$AK$2&lt;AH$2)*($T156:$AK156))))</f>
      </c>
      <c r="BA156" s="0">
        <f>MAX(0,MIN(AI156,BX156-SUMPRODUCT(($T$2:$AK$2&lt;AI$2)*($T156:$AK156))))</f>
      </c>
      <c r="BB156" s="0">
        <f>MAX(0,MIN(AJ156,BX156-SUMPRODUCT(($T$2:$AK$2&lt;AJ$2)*($T156:$AK156))))</f>
      </c>
      <c r="BC156" s="0">
        <f>MAX(0,MIN(AK156,BX156-SUMPRODUCT(($T$2:$AK$2&lt;AK$2)*($T156:$AK156))))</f>
      </c>
      <c r="BD156" s="0">
        <f>T156-AL156</f>
      </c>
      <c r="BE156" s="0">
        <f>U156-AM156</f>
      </c>
      <c r="BF156" s="0">
        <f>V156-AN156</f>
      </c>
      <c r="BG156" s="0">
        <f>W156-AO156</f>
      </c>
      <c r="BH156" s="0">
        <f>X156-AP156</f>
      </c>
      <c r="BI156" s="0">
        <f>Y156-AQ156</f>
      </c>
      <c r="BJ156" s="0">
        <f>Z156-AR156</f>
      </c>
      <c r="BK156" s="0">
        <f>AA156-AS156</f>
      </c>
      <c r="BL156" s="0">
        <f>AB156-AT156</f>
      </c>
      <c r="BM156" s="0">
        <f>AC156-AU156</f>
      </c>
      <c r="BN156" s="0">
        <f>AD156-AV156</f>
      </c>
      <c r="BO156" s="0">
        <f>AE156-AW156</f>
      </c>
      <c r="BP156" s="0">
        <f>AF156-AX156</f>
      </c>
      <c r="BQ156" s="0">
        <f>AG156-AY156</f>
      </c>
      <c r="BR156" s="0">
        <f>AH156-AZ156</f>
      </c>
      <c r="BS156" s="0">
        <f>AI156-BA156</f>
      </c>
      <c r="BT156" s="0">
        <f>AJ156-BB156</f>
      </c>
      <c r="BU156" s="0">
        <f>AK156-BC156</f>
      </c>
      <c r="BV156" s="0">
        <f>SUM(B156:S156)</f>
      </c>
      <c r="BW156" s="0">
        <f>SUM(T156:AK156)</f>
      </c>
      <c r="BX156" s="0">
        <f>MAX(0,(SUM(Calculator!$E$11:$E$28)+Calculator!$C$6)-BV156+BW156)</f>
      </c>
      <c r="BY156" s="0">
        <f>SUM(BD156:BU156)</f>
      </c>
      <c r="BZ156" s="0">
        <f>BV156-BY155</f>
      </c>
      <c r="CA156" s="0">
        <f>IF(A156&lt;=IF($CD$1=0,999,$CD$1),BY156,NA())</f>
      </c>
      <c r="CB156" s="0">
        <f>IF(A156&lt;=IF($CD$1=0,999,$CD$1),A156,NA())</f>
      </c>
    </row>
    <row r="157">
      <c r="A157" s="0">
        <v>154</v>
      </c>
      <c r="B157" s="0">
        <f>BD156*(1+Calculator!$D$11/100/12)</f>
      </c>
      <c r="C157" s="0">
        <f>BE156*(1+Calculator!$D$12/100/12)</f>
      </c>
      <c r="D157" s="0">
        <f>BF156*(1+Calculator!$D$13/100/12)</f>
      </c>
      <c r="E157" s="0">
        <f>BG156*(1+Calculator!$D$14/100/12)</f>
      </c>
      <c r="F157" s="0">
        <f>BH156*(1+Calculator!$D$15/100/12)</f>
      </c>
      <c r="G157" s="0">
        <f>BI156*(1+Calculator!$D$16/100/12)</f>
      </c>
      <c r="H157" s="0">
        <f>BJ156*(1+Calculator!$D$17/100/12)</f>
      </c>
      <c r="I157" s="0">
        <f>BK156*(1+Calculator!$D$18/100/12)</f>
      </c>
      <c r="J157" s="0">
        <f>BL156*(1+Calculator!$D$19/100/12)</f>
      </c>
      <c r="K157" s="0">
        <f>BM156*(1+Calculator!$D$20/100/12)</f>
      </c>
      <c r="L157" s="0">
        <f>BN156*(1+Calculator!$D$21/100/12)</f>
      </c>
      <c r="M157" s="0">
        <f>BO156*(1+Calculator!$D$22/100/12)</f>
      </c>
      <c r="N157" s="0">
        <f>BP156*(1+Calculator!$D$23/100/12)</f>
      </c>
      <c r="O157" s="0">
        <f>BQ156*(1+Calculator!$D$24/100/12)</f>
      </c>
      <c r="P157" s="0">
        <f>BR156*(1+Calculator!$D$25/100/12)</f>
      </c>
      <c r="Q157" s="0">
        <f>BS156*(1+Calculator!$D$26/100/12)</f>
      </c>
      <c r="R157" s="0">
        <f>BT156*(1+Calculator!$D$27/100/12)</f>
      </c>
      <c r="S157" s="0">
        <f>BU156*(1+Calculator!$D$28/100/12)</f>
      </c>
      <c r="T157" s="0">
        <f>MAX(0,B157-Calculator!$E$11)</f>
      </c>
      <c r="U157" s="0">
        <f>MAX(0,C157-Calculator!$E$12)</f>
      </c>
      <c r="V157" s="0">
        <f>MAX(0,D157-Calculator!$E$13)</f>
      </c>
      <c r="W157" s="0">
        <f>MAX(0,E157-Calculator!$E$14)</f>
      </c>
      <c r="X157" s="0">
        <f>MAX(0,F157-Calculator!$E$15)</f>
      </c>
      <c r="Y157" s="0">
        <f>MAX(0,G157-Calculator!$E$16)</f>
      </c>
      <c r="Z157" s="0">
        <f>MAX(0,H157-Calculator!$E$17)</f>
      </c>
      <c r="AA157" s="0">
        <f>MAX(0,I157-Calculator!$E$18)</f>
      </c>
      <c r="AB157" s="0">
        <f>MAX(0,J157-Calculator!$E$19)</f>
      </c>
      <c r="AC157" s="0">
        <f>MAX(0,K157-Calculator!$E$20)</f>
      </c>
      <c r="AD157" s="0">
        <f>MAX(0,L157-Calculator!$E$21)</f>
      </c>
      <c r="AE157" s="0">
        <f>MAX(0,M157-Calculator!$E$22)</f>
      </c>
      <c r="AF157" s="0">
        <f>MAX(0,N157-Calculator!$E$23)</f>
      </c>
      <c r="AG157" s="0">
        <f>MAX(0,O157-Calculator!$E$24)</f>
      </c>
      <c r="AH157" s="0">
        <f>MAX(0,P157-Calculator!$E$25)</f>
      </c>
      <c r="AI157" s="0">
        <f>MAX(0,Q157-Calculator!$E$26)</f>
      </c>
      <c r="AJ157" s="0">
        <f>MAX(0,R157-Calculator!$E$27)</f>
      </c>
      <c r="AK157" s="0">
        <f>MAX(0,S157-Calculator!$E$28)</f>
      </c>
      <c r="AL157" s="0">
        <f>MAX(0,MIN(T157,BX157-SUMPRODUCT(($T$2:$AK$2&lt;T$2)*($T157:$AK157))))</f>
      </c>
      <c r="AM157" s="0">
        <f>MAX(0,MIN(U157,BX157-SUMPRODUCT(($T$2:$AK$2&lt;U$2)*($T157:$AK157))))</f>
      </c>
      <c r="AN157" s="0">
        <f>MAX(0,MIN(V157,BX157-SUMPRODUCT(($T$2:$AK$2&lt;V$2)*($T157:$AK157))))</f>
      </c>
      <c r="AO157" s="0">
        <f>MAX(0,MIN(W157,BX157-SUMPRODUCT(($T$2:$AK$2&lt;W$2)*($T157:$AK157))))</f>
      </c>
      <c r="AP157" s="0">
        <f>MAX(0,MIN(X157,BX157-SUMPRODUCT(($T$2:$AK$2&lt;X$2)*($T157:$AK157))))</f>
      </c>
      <c r="AQ157" s="0">
        <f>MAX(0,MIN(Y157,BX157-SUMPRODUCT(($T$2:$AK$2&lt;Y$2)*($T157:$AK157))))</f>
      </c>
      <c r="AR157" s="0">
        <f>MAX(0,MIN(Z157,BX157-SUMPRODUCT(($T$2:$AK$2&lt;Z$2)*($T157:$AK157))))</f>
      </c>
      <c r="AS157" s="0">
        <f>MAX(0,MIN(AA157,BX157-SUMPRODUCT(($T$2:$AK$2&lt;AA$2)*($T157:$AK157))))</f>
      </c>
      <c r="AT157" s="0">
        <f>MAX(0,MIN(AB157,BX157-SUMPRODUCT(($T$2:$AK$2&lt;AB$2)*($T157:$AK157))))</f>
      </c>
      <c r="AU157" s="0">
        <f>MAX(0,MIN(AC157,BX157-SUMPRODUCT(($T$2:$AK$2&lt;AC$2)*($T157:$AK157))))</f>
      </c>
      <c r="AV157" s="0">
        <f>MAX(0,MIN(AD157,BX157-SUMPRODUCT(($T$2:$AK$2&lt;AD$2)*($T157:$AK157))))</f>
      </c>
      <c r="AW157" s="0">
        <f>MAX(0,MIN(AE157,BX157-SUMPRODUCT(($T$2:$AK$2&lt;AE$2)*($T157:$AK157))))</f>
      </c>
      <c r="AX157" s="0">
        <f>MAX(0,MIN(AF157,BX157-SUMPRODUCT(($T$2:$AK$2&lt;AF$2)*($T157:$AK157))))</f>
      </c>
      <c r="AY157" s="0">
        <f>MAX(0,MIN(AG157,BX157-SUMPRODUCT(($T$2:$AK$2&lt;AG$2)*($T157:$AK157))))</f>
      </c>
      <c r="AZ157" s="0">
        <f>MAX(0,MIN(AH157,BX157-SUMPRODUCT(($T$2:$AK$2&lt;AH$2)*($T157:$AK157))))</f>
      </c>
      <c r="BA157" s="0">
        <f>MAX(0,MIN(AI157,BX157-SUMPRODUCT(($T$2:$AK$2&lt;AI$2)*($T157:$AK157))))</f>
      </c>
      <c r="BB157" s="0">
        <f>MAX(0,MIN(AJ157,BX157-SUMPRODUCT(($T$2:$AK$2&lt;AJ$2)*($T157:$AK157))))</f>
      </c>
      <c r="BC157" s="0">
        <f>MAX(0,MIN(AK157,BX157-SUMPRODUCT(($T$2:$AK$2&lt;AK$2)*($T157:$AK157))))</f>
      </c>
      <c r="BD157" s="0">
        <f>T157-AL157</f>
      </c>
      <c r="BE157" s="0">
        <f>U157-AM157</f>
      </c>
      <c r="BF157" s="0">
        <f>V157-AN157</f>
      </c>
      <c r="BG157" s="0">
        <f>W157-AO157</f>
      </c>
      <c r="BH157" s="0">
        <f>X157-AP157</f>
      </c>
      <c r="BI157" s="0">
        <f>Y157-AQ157</f>
      </c>
      <c r="BJ157" s="0">
        <f>Z157-AR157</f>
      </c>
      <c r="BK157" s="0">
        <f>AA157-AS157</f>
      </c>
      <c r="BL157" s="0">
        <f>AB157-AT157</f>
      </c>
      <c r="BM157" s="0">
        <f>AC157-AU157</f>
      </c>
      <c r="BN157" s="0">
        <f>AD157-AV157</f>
      </c>
      <c r="BO157" s="0">
        <f>AE157-AW157</f>
      </c>
      <c r="BP157" s="0">
        <f>AF157-AX157</f>
      </c>
      <c r="BQ157" s="0">
        <f>AG157-AY157</f>
      </c>
      <c r="BR157" s="0">
        <f>AH157-AZ157</f>
      </c>
      <c r="BS157" s="0">
        <f>AI157-BA157</f>
      </c>
      <c r="BT157" s="0">
        <f>AJ157-BB157</f>
      </c>
      <c r="BU157" s="0">
        <f>AK157-BC157</f>
      </c>
      <c r="BV157" s="0">
        <f>SUM(B157:S157)</f>
      </c>
      <c r="BW157" s="0">
        <f>SUM(T157:AK157)</f>
      </c>
      <c r="BX157" s="0">
        <f>MAX(0,(SUM(Calculator!$E$11:$E$28)+Calculator!$C$6)-BV157+BW157)</f>
      </c>
      <c r="BY157" s="0">
        <f>SUM(BD157:BU157)</f>
      </c>
      <c r="BZ157" s="0">
        <f>BV157-BY156</f>
      </c>
      <c r="CA157" s="0">
        <f>IF(A157&lt;=IF($CD$1=0,999,$CD$1),BY157,NA())</f>
      </c>
      <c r="CB157" s="0">
        <f>IF(A157&lt;=IF($CD$1=0,999,$CD$1),A157,NA())</f>
      </c>
    </row>
    <row r="158">
      <c r="A158" s="0">
        <v>155</v>
      </c>
      <c r="B158" s="0">
        <f>BD157*(1+Calculator!$D$11/100/12)</f>
      </c>
      <c r="C158" s="0">
        <f>BE157*(1+Calculator!$D$12/100/12)</f>
      </c>
      <c r="D158" s="0">
        <f>BF157*(1+Calculator!$D$13/100/12)</f>
      </c>
      <c r="E158" s="0">
        <f>BG157*(1+Calculator!$D$14/100/12)</f>
      </c>
      <c r="F158" s="0">
        <f>BH157*(1+Calculator!$D$15/100/12)</f>
      </c>
      <c r="G158" s="0">
        <f>BI157*(1+Calculator!$D$16/100/12)</f>
      </c>
      <c r="H158" s="0">
        <f>BJ157*(1+Calculator!$D$17/100/12)</f>
      </c>
      <c r="I158" s="0">
        <f>BK157*(1+Calculator!$D$18/100/12)</f>
      </c>
      <c r="J158" s="0">
        <f>BL157*(1+Calculator!$D$19/100/12)</f>
      </c>
      <c r="K158" s="0">
        <f>BM157*(1+Calculator!$D$20/100/12)</f>
      </c>
      <c r="L158" s="0">
        <f>BN157*(1+Calculator!$D$21/100/12)</f>
      </c>
      <c r="M158" s="0">
        <f>BO157*(1+Calculator!$D$22/100/12)</f>
      </c>
      <c r="N158" s="0">
        <f>BP157*(1+Calculator!$D$23/100/12)</f>
      </c>
      <c r="O158" s="0">
        <f>BQ157*(1+Calculator!$D$24/100/12)</f>
      </c>
      <c r="P158" s="0">
        <f>BR157*(1+Calculator!$D$25/100/12)</f>
      </c>
      <c r="Q158" s="0">
        <f>BS157*(1+Calculator!$D$26/100/12)</f>
      </c>
      <c r="R158" s="0">
        <f>BT157*(1+Calculator!$D$27/100/12)</f>
      </c>
      <c r="S158" s="0">
        <f>BU157*(1+Calculator!$D$28/100/12)</f>
      </c>
      <c r="T158" s="0">
        <f>MAX(0,B158-Calculator!$E$11)</f>
      </c>
      <c r="U158" s="0">
        <f>MAX(0,C158-Calculator!$E$12)</f>
      </c>
      <c r="V158" s="0">
        <f>MAX(0,D158-Calculator!$E$13)</f>
      </c>
      <c r="W158" s="0">
        <f>MAX(0,E158-Calculator!$E$14)</f>
      </c>
      <c r="X158" s="0">
        <f>MAX(0,F158-Calculator!$E$15)</f>
      </c>
      <c r="Y158" s="0">
        <f>MAX(0,G158-Calculator!$E$16)</f>
      </c>
      <c r="Z158" s="0">
        <f>MAX(0,H158-Calculator!$E$17)</f>
      </c>
      <c r="AA158" s="0">
        <f>MAX(0,I158-Calculator!$E$18)</f>
      </c>
      <c r="AB158" s="0">
        <f>MAX(0,J158-Calculator!$E$19)</f>
      </c>
      <c r="AC158" s="0">
        <f>MAX(0,K158-Calculator!$E$20)</f>
      </c>
      <c r="AD158" s="0">
        <f>MAX(0,L158-Calculator!$E$21)</f>
      </c>
      <c r="AE158" s="0">
        <f>MAX(0,M158-Calculator!$E$22)</f>
      </c>
      <c r="AF158" s="0">
        <f>MAX(0,N158-Calculator!$E$23)</f>
      </c>
      <c r="AG158" s="0">
        <f>MAX(0,O158-Calculator!$E$24)</f>
      </c>
      <c r="AH158" s="0">
        <f>MAX(0,P158-Calculator!$E$25)</f>
      </c>
      <c r="AI158" s="0">
        <f>MAX(0,Q158-Calculator!$E$26)</f>
      </c>
      <c r="AJ158" s="0">
        <f>MAX(0,R158-Calculator!$E$27)</f>
      </c>
      <c r="AK158" s="0">
        <f>MAX(0,S158-Calculator!$E$28)</f>
      </c>
      <c r="AL158" s="0">
        <f>MAX(0,MIN(T158,BX158-SUMPRODUCT(($T$2:$AK$2&lt;T$2)*($T158:$AK158))))</f>
      </c>
      <c r="AM158" s="0">
        <f>MAX(0,MIN(U158,BX158-SUMPRODUCT(($T$2:$AK$2&lt;U$2)*($T158:$AK158))))</f>
      </c>
      <c r="AN158" s="0">
        <f>MAX(0,MIN(V158,BX158-SUMPRODUCT(($T$2:$AK$2&lt;V$2)*($T158:$AK158))))</f>
      </c>
      <c r="AO158" s="0">
        <f>MAX(0,MIN(W158,BX158-SUMPRODUCT(($T$2:$AK$2&lt;W$2)*($T158:$AK158))))</f>
      </c>
      <c r="AP158" s="0">
        <f>MAX(0,MIN(X158,BX158-SUMPRODUCT(($T$2:$AK$2&lt;X$2)*($T158:$AK158))))</f>
      </c>
      <c r="AQ158" s="0">
        <f>MAX(0,MIN(Y158,BX158-SUMPRODUCT(($T$2:$AK$2&lt;Y$2)*($T158:$AK158))))</f>
      </c>
      <c r="AR158" s="0">
        <f>MAX(0,MIN(Z158,BX158-SUMPRODUCT(($T$2:$AK$2&lt;Z$2)*($T158:$AK158))))</f>
      </c>
      <c r="AS158" s="0">
        <f>MAX(0,MIN(AA158,BX158-SUMPRODUCT(($T$2:$AK$2&lt;AA$2)*($T158:$AK158))))</f>
      </c>
      <c r="AT158" s="0">
        <f>MAX(0,MIN(AB158,BX158-SUMPRODUCT(($T$2:$AK$2&lt;AB$2)*($T158:$AK158))))</f>
      </c>
      <c r="AU158" s="0">
        <f>MAX(0,MIN(AC158,BX158-SUMPRODUCT(($T$2:$AK$2&lt;AC$2)*($T158:$AK158))))</f>
      </c>
      <c r="AV158" s="0">
        <f>MAX(0,MIN(AD158,BX158-SUMPRODUCT(($T$2:$AK$2&lt;AD$2)*($T158:$AK158))))</f>
      </c>
      <c r="AW158" s="0">
        <f>MAX(0,MIN(AE158,BX158-SUMPRODUCT(($T$2:$AK$2&lt;AE$2)*($T158:$AK158))))</f>
      </c>
      <c r="AX158" s="0">
        <f>MAX(0,MIN(AF158,BX158-SUMPRODUCT(($T$2:$AK$2&lt;AF$2)*($T158:$AK158))))</f>
      </c>
      <c r="AY158" s="0">
        <f>MAX(0,MIN(AG158,BX158-SUMPRODUCT(($T$2:$AK$2&lt;AG$2)*($T158:$AK158))))</f>
      </c>
      <c r="AZ158" s="0">
        <f>MAX(0,MIN(AH158,BX158-SUMPRODUCT(($T$2:$AK$2&lt;AH$2)*($T158:$AK158))))</f>
      </c>
      <c r="BA158" s="0">
        <f>MAX(0,MIN(AI158,BX158-SUMPRODUCT(($T$2:$AK$2&lt;AI$2)*($T158:$AK158))))</f>
      </c>
      <c r="BB158" s="0">
        <f>MAX(0,MIN(AJ158,BX158-SUMPRODUCT(($T$2:$AK$2&lt;AJ$2)*($T158:$AK158))))</f>
      </c>
      <c r="BC158" s="0">
        <f>MAX(0,MIN(AK158,BX158-SUMPRODUCT(($T$2:$AK$2&lt;AK$2)*($T158:$AK158))))</f>
      </c>
      <c r="BD158" s="0">
        <f>T158-AL158</f>
      </c>
      <c r="BE158" s="0">
        <f>U158-AM158</f>
      </c>
      <c r="BF158" s="0">
        <f>V158-AN158</f>
      </c>
      <c r="BG158" s="0">
        <f>W158-AO158</f>
      </c>
      <c r="BH158" s="0">
        <f>X158-AP158</f>
      </c>
      <c r="BI158" s="0">
        <f>Y158-AQ158</f>
      </c>
      <c r="BJ158" s="0">
        <f>Z158-AR158</f>
      </c>
      <c r="BK158" s="0">
        <f>AA158-AS158</f>
      </c>
      <c r="BL158" s="0">
        <f>AB158-AT158</f>
      </c>
      <c r="BM158" s="0">
        <f>AC158-AU158</f>
      </c>
      <c r="BN158" s="0">
        <f>AD158-AV158</f>
      </c>
      <c r="BO158" s="0">
        <f>AE158-AW158</f>
      </c>
      <c r="BP158" s="0">
        <f>AF158-AX158</f>
      </c>
      <c r="BQ158" s="0">
        <f>AG158-AY158</f>
      </c>
      <c r="BR158" s="0">
        <f>AH158-AZ158</f>
      </c>
      <c r="BS158" s="0">
        <f>AI158-BA158</f>
      </c>
      <c r="BT158" s="0">
        <f>AJ158-BB158</f>
      </c>
      <c r="BU158" s="0">
        <f>AK158-BC158</f>
      </c>
      <c r="BV158" s="0">
        <f>SUM(B158:S158)</f>
      </c>
      <c r="BW158" s="0">
        <f>SUM(T158:AK158)</f>
      </c>
      <c r="BX158" s="0">
        <f>MAX(0,(SUM(Calculator!$E$11:$E$28)+Calculator!$C$6)-BV158+BW158)</f>
      </c>
      <c r="BY158" s="0">
        <f>SUM(BD158:BU158)</f>
      </c>
      <c r="BZ158" s="0">
        <f>BV158-BY157</f>
      </c>
      <c r="CA158" s="0">
        <f>IF(A158&lt;=IF($CD$1=0,999,$CD$1),BY158,NA())</f>
      </c>
      <c r="CB158" s="0">
        <f>IF(A158&lt;=IF($CD$1=0,999,$CD$1),A158,NA())</f>
      </c>
    </row>
    <row r="159">
      <c r="A159" s="0">
        <v>156</v>
      </c>
      <c r="B159" s="0">
        <f>BD158*(1+Calculator!$D$11/100/12)</f>
      </c>
      <c r="C159" s="0">
        <f>BE158*(1+Calculator!$D$12/100/12)</f>
      </c>
      <c r="D159" s="0">
        <f>BF158*(1+Calculator!$D$13/100/12)</f>
      </c>
      <c r="E159" s="0">
        <f>BG158*(1+Calculator!$D$14/100/12)</f>
      </c>
      <c r="F159" s="0">
        <f>BH158*(1+Calculator!$D$15/100/12)</f>
      </c>
      <c r="G159" s="0">
        <f>BI158*(1+Calculator!$D$16/100/12)</f>
      </c>
      <c r="H159" s="0">
        <f>BJ158*(1+Calculator!$D$17/100/12)</f>
      </c>
      <c r="I159" s="0">
        <f>BK158*(1+Calculator!$D$18/100/12)</f>
      </c>
      <c r="J159" s="0">
        <f>BL158*(1+Calculator!$D$19/100/12)</f>
      </c>
      <c r="K159" s="0">
        <f>BM158*(1+Calculator!$D$20/100/12)</f>
      </c>
      <c r="L159" s="0">
        <f>BN158*(1+Calculator!$D$21/100/12)</f>
      </c>
      <c r="M159" s="0">
        <f>BO158*(1+Calculator!$D$22/100/12)</f>
      </c>
      <c r="N159" s="0">
        <f>BP158*(1+Calculator!$D$23/100/12)</f>
      </c>
      <c r="O159" s="0">
        <f>BQ158*(1+Calculator!$D$24/100/12)</f>
      </c>
      <c r="P159" s="0">
        <f>BR158*(1+Calculator!$D$25/100/12)</f>
      </c>
      <c r="Q159" s="0">
        <f>BS158*(1+Calculator!$D$26/100/12)</f>
      </c>
      <c r="R159" s="0">
        <f>BT158*(1+Calculator!$D$27/100/12)</f>
      </c>
      <c r="S159" s="0">
        <f>BU158*(1+Calculator!$D$28/100/12)</f>
      </c>
      <c r="T159" s="0">
        <f>MAX(0,B159-Calculator!$E$11)</f>
      </c>
      <c r="U159" s="0">
        <f>MAX(0,C159-Calculator!$E$12)</f>
      </c>
      <c r="V159" s="0">
        <f>MAX(0,D159-Calculator!$E$13)</f>
      </c>
      <c r="W159" s="0">
        <f>MAX(0,E159-Calculator!$E$14)</f>
      </c>
      <c r="X159" s="0">
        <f>MAX(0,F159-Calculator!$E$15)</f>
      </c>
      <c r="Y159" s="0">
        <f>MAX(0,G159-Calculator!$E$16)</f>
      </c>
      <c r="Z159" s="0">
        <f>MAX(0,H159-Calculator!$E$17)</f>
      </c>
      <c r="AA159" s="0">
        <f>MAX(0,I159-Calculator!$E$18)</f>
      </c>
      <c r="AB159" s="0">
        <f>MAX(0,J159-Calculator!$E$19)</f>
      </c>
      <c r="AC159" s="0">
        <f>MAX(0,K159-Calculator!$E$20)</f>
      </c>
      <c r="AD159" s="0">
        <f>MAX(0,L159-Calculator!$E$21)</f>
      </c>
      <c r="AE159" s="0">
        <f>MAX(0,M159-Calculator!$E$22)</f>
      </c>
      <c r="AF159" s="0">
        <f>MAX(0,N159-Calculator!$E$23)</f>
      </c>
      <c r="AG159" s="0">
        <f>MAX(0,O159-Calculator!$E$24)</f>
      </c>
      <c r="AH159" s="0">
        <f>MAX(0,P159-Calculator!$E$25)</f>
      </c>
      <c r="AI159" s="0">
        <f>MAX(0,Q159-Calculator!$E$26)</f>
      </c>
      <c r="AJ159" s="0">
        <f>MAX(0,R159-Calculator!$E$27)</f>
      </c>
      <c r="AK159" s="0">
        <f>MAX(0,S159-Calculator!$E$28)</f>
      </c>
      <c r="AL159" s="0">
        <f>MAX(0,MIN(T159,BX159-SUMPRODUCT(($T$2:$AK$2&lt;T$2)*($T159:$AK159))))</f>
      </c>
      <c r="AM159" s="0">
        <f>MAX(0,MIN(U159,BX159-SUMPRODUCT(($T$2:$AK$2&lt;U$2)*($T159:$AK159))))</f>
      </c>
      <c r="AN159" s="0">
        <f>MAX(0,MIN(V159,BX159-SUMPRODUCT(($T$2:$AK$2&lt;V$2)*($T159:$AK159))))</f>
      </c>
      <c r="AO159" s="0">
        <f>MAX(0,MIN(W159,BX159-SUMPRODUCT(($T$2:$AK$2&lt;W$2)*($T159:$AK159))))</f>
      </c>
      <c r="AP159" s="0">
        <f>MAX(0,MIN(X159,BX159-SUMPRODUCT(($T$2:$AK$2&lt;X$2)*($T159:$AK159))))</f>
      </c>
      <c r="AQ159" s="0">
        <f>MAX(0,MIN(Y159,BX159-SUMPRODUCT(($T$2:$AK$2&lt;Y$2)*($T159:$AK159))))</f>
      </c>
      <c r="AR159" s="0">
        <f>MAX(0,MIN(Z159,BX159-SUMPRODUCT(($T$2:$AK$2&lt;Z$2)*($T159:$AK159))))</f>
      </c>
      <c r="AS159" s="0">
        <f>MAX(0,MIN(AA159,BX159-SUMPRODUCT(($T$2:$AK$2&lt;AA$2)*($T159:$AK159))))</f>
      </c>
      <c r="AT159" s="0">
        <f>MAX(0,MIN(AB159,BX159-SUMPRODUCT(($T$2:$AK$2&lt;AB$2)*($T159:$AK159))))</f>
      </c>
      <c r="AU159" s="0">
        <f>MAX(0,MIN(AC159,BX159-SUMPRODUCT(($T$2:$AK$2&lt;AC$2)*($T159:$AK159))))</f>
      </c>
      <c r="AV159" s="0">
        <f>MAX(0,MIN(AD159,BX159-SUMPRODUCT(($T$2:$AK$2&lt;AD$2)*($T159:$AK159))))</f>
      </c>
      <c r="AW159" s="0">
        <f>MAX(0,MIN(AE159,BX159-SUMPRODUCT(($T$2:$AK$2&lt;AE$2)*($T159:$AK159))))</f>
      </c>
      <c r="AX159" s="0">
        <f>MAX(0,MIN(AF159,BX159-SUMPRODUCT(($T$2:$AK$2&lt;AF$2)*($T159:$AK159))))</f>
      </c>
      <c r="AY159" s="0">
        <f>MAX(0,MIN(AG159,BX159-SUMPRODUCT(($T$2:$AK$2&lt;AG$2)*($T159:$AK159))))</f>
      </c>
      <c r="AZ159" s="0">
        <f>MAX(0,MIN(AH159,BX159-SUMPRODUCT(($T$2:$AK$2&lt;AH$2)*($T159:$AK159))))</f>
      </c>
      <c r="BA159" s="0">
        <f>MAX(0,MIN(AI159,BX159-SUMPRODUCT(($T$2:$AK$2&lt;AI$2)*($T159:$AK159))))</f>
      </c>
      <c r="BB159" s="0">
        <f>MAX(0,MIN(AJ159,BX159-SUMPRODUCT(($T$2:$AK$2&lt;AJ$2)*($T159:$AK159))))</f>
      </c>
      <c r="BC159" s="0">
        <f>MAX(0,MIN(AK159,BX159-SUMPRODUCT(($T$2:$AK$2&lt;AK$2)*($T159:$AK159))))</f>
      </c>
      <c r="BD159" s="0">
        <f>T159-AL159</f>
      </c>
      <c r="BE159" s="0">
        <f>U159-AM159</f>
      </c>
      <c r="BF159" s="0">
        <f>V159-AN159</f>
      </c>
      <c r="BG159" s="0">
        <f>W159-AO159</f>
      </c>
      <c r="BH159" s="0">
        <f>X159-AP159</f>
      </c>
      <c r="BI159" s="0">
        <f>Y159-AQ159</f>
      </c>
      <c r="BJ159" s="0">
        <f>Z159-AR159</f>
      </c>
      <c r="BK159" s="0">
        <f>AA159-AS159</f>
      </c>
      <c r="BL159" s="0">
        <f>AB159-AT159</f>
      </c>
      <c r="BM159" s="0">
        <f>AC159-AU159</f>
      </c>
      <c r="BN159" s="0">
        <f>AD159-AV159</f>
      </c>
      <c r="BO159" s="0">
        <f>AE159-AW159</f>
      </c>
      <c r="BP159" s="0">
        <f>AF159-AX159</f>
      </c>
      <c r="BQ159" s="0">
        <f>AG159-AY159</f>
      </c>
      <c r="BR159" s="0">
        <f>AH159-AZ159</f>
      </c>
      <c r="BS159" s="0">
        <f>AI159-BA159</f>
      </c>
      <c r="BT159" s="0">
        <f>AJ159-BB159</f>
      </c>
      <c r="BU159" s="0">
        <f>AK159-BC159</f>
      </c>
      <c r="BV159" s="0">
        <f>SUM(B159:S159)</f>
      </c>
      <c r="BW159" s="0">
        <f>SUM(T159:AK159)</f>
      </c>
      <c r="BX159" s="0">
        <f>MAX(0,(SUM(Calculator!$E$11:$E$28)+Calculator!$C$6)-BV159+BW159)</f>
      </c>
      <c r="BY159" s="0">
        <f>SUM(BD159:BU159)</f>
      </c>
      <c r="BZ159" s="0">
        <f>BV159-BY158</f>
      </c>
      <c r="CA159" s="0">
        <f>IF(A159&lt;=IF($CD$1=0,999,$CD$1),BY159,NA())</f>
      </c>
      <c r="CB159" s="0">
        <f>IF(A159&lt;=IF($CD$1=0,999,$CD$1),A159,NA())</f>
      </c>
    </row>
    <row r="160">
      <c r="A160" s="0">
        <v>157</v>
      </c>
      <c r="B160" s="0">
        <f>BD159*(1+Calculator!$D$11/100/12)</f>
      </c>
      <c r="C160" s="0">
        <f>BE159*(1+Calculator!$D$12/100/12)</f>
      </c>
      <c r="D160" s="0">
        <f>BF159*(1+Calculator!$D$13/100/12)</f>
      </c>
      <c r="E160" s="0">
        <f>BG159*(1+Calculator!$D$14/100/12)</f>
      </c>
      <c r="F160" s="0">
        <f>BH159*(1+Calculator!$D$15/100/12)</f>
      </c>
      <c r="G160" s="0">
        <f>BI159*(1+Calculator!$D$16/100/12)</f>
      </c>
      <c r="H160" s="0">
        <f>BJ159*(1+Calculator!$D$17/100/12)</f>
      </c>
      <c r="I160" s="0">
        <f>BK159*(1+Calculator!$D$18/100/12)</f>
      </c>
      <c r="J160" s="0">
        <f>BL159*(1+Calculator!$D$19/100/12)</f>
      </c>
      <c r="K160" s="0">
        <f>BM159*(1+Calculator!$D$20/100/12)</f>
      </c>
      <c r="L160" s="0">
        <f>BN159*(1+Calculator!$D$21/100/12)</f>
      </c>
      <c r="M160" s="0">
        <f>BO159*(1+Calculator!$D$22/100/12)</f>
      </c>
      <c r="N160" s="0">
        <f>BP159*(1+Calculator!$D$23/100/12)</f>
      </c>
      <c r="O160" s="0">
        <f>BQ159*(1+Calculator!$D$24/100/12)</f>
      </c>
      <c r="P160" s="0">
        <f>BR159*(1+Calculator!$D$25/100/12)</f>
      </c>
      <c r="Q160" s="0">
        <f>BS159*(1+Calculator!$D$26/100/12)</f>
      </c>
      <c r="R160" s="0">
        <f>BT159*(1+Calculator!$D$27/100/12)</f>
      </c>
      <c r="S160" s="0">
        <f>BU159*(1+Calculator!$D$28/100/12)</f>
      </c>
      <c r="T160" s="0">
        <f>MAX(0,B160-Calculator!$E$11)</f>
      </c>
      <c r="U160" s="0">
        <f>MAX(0,C160-Calculator!$E$12)</f>
      </c>
      <c r="V160" s="0">
        <f>MAX(0,D160-Calculator!$E$13)</f>
      </c>
      <c r="W160" s="0">
        <f>MAX(0,E160-Calculator!$E$14)</f>
      </c>
      <c r="X160" s="0">
        <f>MAX(0,F160-Calculator!$E$15)</f>
      </c>
      <c r="Y160" s="0">
        <f>MAX(0,G160-Calculator!$E$16)</f>
      </c>
      <c r="Z160" s="0">
        <f>MAX(0,H160-Calculator!$E$17)</f>
      </c>
      <c r="AA160" s="0">
        <f>MAX(0,I160-Calculator!$E$18)</f>
      </c>
      <c r="AB160" s="0">
        <f>MAX(0,J160-Calculator!$E$19)</f>
      </c>
      <c r="AC160" s="0">
        <f>MAX(0,K160-Calculator!$E$20)</f>
      </c>
      <c r="AD160" s="0">
        <f>MAX(0,L160-Calculator!$E$21)</f>
      </c>
      <c r="AE160" s="0">
        <f>MAX(0,M160-Calculator!$E$22)</f>
      </c>
      <c r="AF160" s="0">
        <f>MAX(0,N160-Calculator!$E$23)</f>
      </c>
      <c r="AG160" s="0">
        <f>MAX(0,O160-Calculator!$E$24)</f>
      </c>
      <c r="AH160" s="0">
        <f>MAX(0,P160-Calculator!$E$25)</f>
      </c>
      <c r="AI160" s="0">
        <f>MAX(0,Q160-Calculator!$E$26)</f>
      </c>
      <c r="AJ160" s="0">
        <f>MAX(0,R160-Calculator!$E$27)</f>
      </c>
      <c r="AK160" s="0">
        <f>MAX(0,S160-Calculator!$E$28)</f>
      </c>
      <c r="AL160" s="0">
        <f>MAX(0,MIN(T160,BX160-SUMPRODUCT(($T$2:$AK$2&lt;T$2)*($T160:$AK160))))</f>
      </c>
      <c r="AM160" s="0">
        <f>MAX(0,MIN(U160,BX160-SUMPRODUCT(($T$2:$AK$2&lt;U$2)*($T160:$AK160))))</f>
      </c>
      <c r="AN160" s="0">
        <f>MAX(0,MIN(V160,BX160-SUMPRODUCT(($T$2:$AK$2&lt;V$2)*($T160:$AK160))))</f>
      </c>
      <c r="AO160" s="0">
        <f>MAX(0,MIN(W160,BX160-SUMPRODUCT(($T$2:$AK$2&lt;W$2)*($T160:$AK160))))</f>
      </c>
      <c r="AP160" s="0">
        <f>MAX(0,MIN(X160,BX160-SUMPRODUCT(($T$2:$AK$2&lt;X$2)*($T160:$AK160))))</f>
      </c>
      <c r="AQ160" s="0">
        <f>MAX(0,MIN(Y160,BX160-SUMPRODUCT(($T$2:$AK$2&lt;Y$2)*($T160:$AK160))))</f>
      </c>
      <c r="AR160" s="0">
        <f>MAX(0,MIN(Z160,BX160-SUMPRODUCT(($T$2:$AK$2&lt;Z$2)*($T160:$AK160))))</f>
      </c>
      <c r="AS160" s="0">
        <f>MAX(0,MIN(AA160,BX160-SUMPRODUCT(($T$2:$AK$2&lt;AA$2)*($T160:$AK160))))</f>
      </c>
      <c r="AT160" s="0">
        <f>MAX(0,MIN(AB160,BX160-SUMPRODUCT(($T$2:$AK$2&lt;AB$2)*($T160:$AK160))))</f>
      </c>
      <c r="AU160" s="0">
        <f>MAX(0,MIN(AC160,BX160-SUMPRODUCT(($T$2:$AK$2&lt;AC$2)*($T160:$AK160))))</f>
      </c>
      <c r="AV160" s="0">
        <f>MAX(0,MIN(AD160,BX160-SUMPRODUCT(($T$2:$AK$2&lt;AD$2)*($T160:$AK160))))</f>
      </c>
      <c r="AW160" s="0">
        <f>MAX(0,MIN(AE160,BX160-SUMPRODUCT(($T$2:$AK$2&lt;AE$2)*($T160:$AK160))))</f>
      </c>
      <c r="AX160" s="0">
        <f>MAX(0,MIN(AF160,BX160-SUMPRODUCT(($T$2:$AK$2&lt;AF$2)*($T160:$AK160))))</f>
      </c>
      <c r="AY160" s="0">
        <f>MAX(0,MIN(AG160,BX160-SUMPRODUCT(($T$2:$AK$2&lt;AG$2)*($T160:$AK160))))</f>
      </c>
      <c r="AZ160" s="0">
        <f>MAX(0,MIN(AH160,BX160-SUMPRODUCT(($T$2:$AK$2&lt;AH$2)*($T160:$AK160))))</f>
      </c>
      <c r="BA160" s="0">
        <f>MAX(0,MIN(AI160,BX160-SUMPRODUCT(($T$2:$AK$2&lt;AI$2)*($T160:$AK160))))</f>
      </c>
      <c r="BB160" s="0">
        <f>MAX(0,MIN(AJ160,BX160-SUMPRODUCT(($T$2:$AK$2&lt;AJ$2)*($T160:$AK160))))</f>
      </c>
      <c r="BC160" s="0">
        <f>MAX(0,MIN(AK160,BX160-SUMPRODUCT(($T$2:$AK$2&lt;AK$2)*($T160:$AK160))))</f>
      </c>
      <c r="BD160" s="0">
        <f>T160-AL160</f>
      </c>
      <c r="BE160" s="0">
        <f>U160-AM160</f>
      </c>
      <c r="BF160" s="0">
        <f>V160-AN160</f>
      </c>
      <c r="BG160" s="0">
        <f>W160-AO160</f>
      </c>
      <c r="BH160" s="0">
        <f>X160-AP160</f>
      </c>
      <c r="BI160" s="0">
        <f>Y160-AQ160</f>
      </c>
      <c r="BJ160" s="0">
        <f>Z160-AR160</f>
      </c>
      <c r="BK160" s="0">
        <f>AA160-AS160</f>
      </c>
      <c r="BL160" s="0">
        <f>AB160-AT160</f>
      </c>
      <c r="BM160" s="0">
        <f>AC160-AU160</f>
      </c>
      <c r="BN160" s="0">
        <f>AD160-AV160</f>
      </c>
      <c r="BO160" s="0">
        <f>AE160-AW160</f>
      </c>
      <c r="BP160" s="0">
        <f>AF160-AX160</f>
      </c>
      <c r="BQ160" s="0">
        <f>AG160-AY160</f>
      </c>
      <c r="BR160" s="0">
        <f>AH160-AZ160</f>
      </c>
      <c r="BS160" s="0">
        <f>AI160-BA160</f>
      </c>
      <c r="BT160" s="0">
        <f>AJ160-BB160</f>
      </c>
      <c r="BU160" s="0">
        <f>AK160-BC160</f>
      </c>
      <c r="BV160" s="0">
        <f>SUM(B160:S160)</f>
      </c>
      <c r="BW160" s="0">
        <f>SUM(T160:AK160)</f>
      </c>
      <c r="BX160" s="0">
        <f>MAX(0,(SUM(Calculator!$E$11:$E$28)+Calculator!$C$6)-BV160+BW160)</f>
      </c>
      <c r="BY160" s="0">
        <f>SUM(BD160:BU160)</f>
      </c>
      <c r="BZ160" s="0">
        <f>BV160-BY159</f>
      </c>
      <c r="CA160" s="0">
        <f>IF(A160&lt;=IF($CD$1=0,999,$CD$1),BY160,NA())</f>
      </c>
      <c r="CB160" s="0">
        <f>IF(A160&lt;=IF($CD$1=0,999,$CD$1),A160,NA())</f>
      </c>
    </row>
    <row r="161">
      <c r="A161" s="0">
        <v>158</v>
      </c>
      <c r="B161" s="0">
        <f>BD160*(1+Calculator!$D$11/100/12)</f>
      </c>
      <c r="C161" s="0">
        <f>BE160*(1+Calculator!$D$12/100/12)</f>
      </c>
      <c r="D161" s="0">
        <f>BF160*(1+Calculator!$D$13/100/12)</f>
      </c>
      <c r="E161" s="0">
        <f>BG160*(1+Calculator!$D$14/100/12)</f>
      </c>
      <c r="F161" s="0">
        <f>BH160*(1+Calculator!$D$15/100/12)</f>
      </c>
      <c r="G161" s="0">
        <f>BI160*(1+Calculator!$D$16/100/12)</f>
      </c>
      <c r="H161" s="0">
        <f>BJ160*(1+Calculator!$D$17/100/12)</f>
      </c>
      <c r="I161" s="0">
        <f>BK160*(1+Calculator!$D$18/100/12)</f>
      </c>
      <c r="J161" s="0">
        <f>BL160*(1+Calculator!$D$19/100/12)</f>
      </c>
      <c r="K161" s="0">
        <f>BM160*(1+Calculator!$D$20/100/12)</f>
      </c>
      <c r="L161" s="0">
        <f>BN160*(1+Calculator!$D$21/100/12)</f>
      </c>
      <c r="M161" s="0">
        <f>BO160*(1+Calculator!$D$22/100/12)</f>
      </c>
      <c r="N161" s="0">
        <f>BP160*(1+Calculator!$D$23/100/12)</f>
      </c>
      <c r="O161" s="0">
        <f>BQ160*(1+Calculator!$D$24/100/12)</f>
      </c>
      <c r="P161" s="0">
        <f>BR160*(1+Calculator!$D$25/100/12)</f>
      </c>
      <c r="Q161" s="0">
        <f>BS160*(1+Calculator!$D$26/100/12)</f>
      </c>
      <c r="R161" s="0">
        <f>BT160*(1+Calculator!$D$27/100/12)</f>
      </c>
      <c r="S161" s="0">
        <f>BU160*(1+Calculator!$D$28/100/12)</f>
      </c>
      <c r="T161" s="0">
        <f>MAX(0,B161-Calculator!$E$11)</f>
      </c>
      <c r="U161" s="0">
        <f>MAX(0,C161-Calculator!$E$12)</f>
      </c>
      <c r="V161" s="0">
        <f>MAX(0,D161-Calculator!$E$13)</f>
      </c>
      <c r="W161" s="0">
        <f>MAX(0,E161-Calculator!$E$14)</f>
      </c>
      <c r="X161" s="0">
        <f>MAX(0,F161-Calculator!$E$15)</f>
      </c>
      <c r="Y161" s="0">
        <f>MAX(0,G161-Calculator!$E$16)</f>
      </c>
      <c r="Z161" s="0">
        <f>MAX(0,H161-Calculator!$E$17)</f>
      </c>
      <c r="AA161" s="0">
        <f>MAX(0,I161-Calculator!$E$18)</f>
      </c>
      <c r="AB161" s="0">
        <f>MAX(0,J161-Calculator!$E$19)</f>
      </c>
      <c r="AC161" s="0">
        <f>MAX(0,K161-Calculator!$E$20)</f>
      </c>
      <c r="AD161" s="0">
        <f>MAX(0,L161-Calculator!$E$21)</f>
      </c>
      <c r="AE161" s="0">
        <f>MAX(0,M161-Calculator!$E$22)</f>
      </c>
      <c r="AF161" s="0">
        <f>MAX(0,N161-Calculator!$E$23)</f>
      </c>
      <c r="AG161" s="0">
        <f>MAX(0,O161-Calculator!$E$24)</f>
      </c>
      <c r="AH161" s="0">
        <f>MAX(0,P161-Calculator!$E$25)</f>
      </c>
      <c r="AI161" s="0">
        <f>MAX(0,Q161-Calculator!$E$26)</f>
      </c>
      <c r="AJ161" s="0">
        <f>MAX(0,R161-Calculator!$E$27)</f>
      </c>
      <c r="AK161" s="0">
        <f>MAX(0,S161-Calculator!$E$28)</f>
      </c>
      <c r="AL161" s="0">
        <f>MAX(0,MIN(T161,BX161-SUMPRODUCT(($T$2:$AK$2&lt;T$2)*($T161:$AK161))))</f>
      </c>
      <c r="AM161" s="0">
        <f>MAX(0,MIN(U161,BX161-SUMPRODUCT(($T$2:$AK$2&lt;U$2)*($T161:$AK161))))</f>
      </c>
      <c r="AN161" s="0">
        <f>MAX(0,MIN(V161,BX161-SUMPRODUCT(($T$2:$AK$2&lt;V$2)*($T161:$AK161))))</f>
      </c>
      <c r="AO161" s="0">
        <f>MAX(0,MIN(W161,BX161-SUMPRODUCT(($T$2:$AK$2&lt;W$2)*($T161:$AK161))))</f>
      </c>
      <c r="AP161" s="0">
        <f>MAX(0,MIN(X161,BX161-SUMPRODUCT(($T$2:$AK$2&lt;X$2)*($T161:$AK161))))</f>
      </c>
      <c r="AQ161" s="0">
        <f>MAX(0,MIN(Y161,BX161-SUMPRODUCT(($T$2:$AK$2&lt;Y$2)*($T161:$AK161))))</f>
      </c>
      <c r="AR161" s="0">
        <f>MAX(0,MIN(Z161,BX161-SUMPRODUCT(($T$2:$AK$2&lt;Z$2)*($T161:$AK161))))</f>
      </c>
      <c r="AS161" s="0">
        <f>MAX(0,MIN(AA161,BX161-SUMPRODUCT(($T$2:$AK$2&lt;AA$2)*($T161:$AK161))))</f>
      </c>
      <c r="AT161" s="0">
        <f>MAX(0,MIN(AB161,BX161-SUMPRODUCT(($T$2:$AK$2&lt;AB$2)*($T161:$AK161))))</f>
      </c>
      <c r="AU161" s="0">
        <f>MAX(0,MIN(AC161,BX161-SUMPRODUCT(($T$2:$AK$2&lt;AC$2)*($T161:$AK161))))</f>
      </c>
      <c r="AV161" s="0">
        <f>MAX(0,MIN(AD161,BX161-SUMPRODUCT(($T$2:$AK$2&lt;AD$2)*($T161:$AK161))))</f>
      </c>
      <c r="AW161" s="0">
        <f>MAX(0,MIN(AE161,BX161-SUMPRODUCT(($T$2:$AK$2&lt;AE$2)*($T161:$AK161))))</f>
      </c>
      <c r="AX161" s="0">
        <f>MAX(0,MIN(AF161,BX161-SUMPRODUCT(($T$2:$AK$2&lt;AF$2)*($T161:$AK161))))</f>
      </c>
      <c r="AY161" s="0">
        <f>MAX(0,MIN(AG161,BX161-SUMPRODUCT(($T$2:$AK$2&lt;AG$2)*($T161:$AK161))))</f>
      </c>
      <c r="AZ161" s="0">
        <f>MAX(0,MIN(AH161,BX161-SUMPRODUCT(($T$2:$AK$2&lt;AH$2)*($T161:$AK161))))</f>
      </c>
      <c r="BA161" s="0">
        <f>MAX(0,MIN(AI161,BX161-SUMPRODUCT(($T$2:$AK$2&lt;AI$2)*($T161:$AK161))))</f>
      </c>
      <c r="BB161" s="0">
        <f>MAX(0,MIN(AJ161,BX161-SUMPRODUCT(($T$2:$AK$2&lt;AJ$2)*($T161:$AK161))))</f>
      </c>
      <c r="BC161" s="0">
        <f>MAX(0,MIN(AK161,BX161-SUMPRODUCT(($T$2:$AK$2&lt;AK$2)*($T161:$AK161))))</f>
      </c>
      <c r="BD161" s="0">
        <f>T161-AL161</f>
      </c>
      <c r="BE161" s="0">
        <f>U161-AM161</f>
      </c>
      <c r="BF161" s="0">
        <f>V161-AN161</f>
      </c>
      <c r="BG161" s="0">
        <f>W161-AO161</f>
      </c>
      <c r="BH161" s="0">
        <f>X161-AP161</f>
      </c>
      <c r="BI161" s="0">
        <f>Y161-AQ161</f>
      </c>
      <c r="BJ161" s="0">
        <f>Z161-AR161</f>
      </c>
      <c r="BK161" s="0">
        <f>AA161-AS161</f>
      </c>
      <c r="BL161" s="0">
        <f>AB161-AT161</f>
      </c>
      <c r="BM161" s="0">
        <f>AC161-AU161</f>
      </c>
      <c r="BN161" s="0">
        <f>AD161-AV161</f>
      </c>
      <c r="BO161" s="0">
        <f>AE161-AW161</f>
      </c>
      <c r="BP161" s="0">
        <f>AF161-AX161</f>
      </c>
      <c r="BQ161" s="0">
        <f>AG161-AY161</f>
      </c>
      <c r="BR161" s="0">
        <f>AH161-AZ161</f>
      </c>
      <c r="BS161" s="0">
        <f>AI161-BA161</f>
      </c>
      <c r="BT161" s="0">
        <f>AJ161-BB161</f>
      </c>
      <c r="BU161" s="0">
        <f>AK161-BC161</f>
      </c>
      <c r="BV161" s="0">
        <f>SUM(B161:S161)</f>
      </c>
      <c r="BW161" s="0">
        <f>SUM(T161:AK161)</f>
      </c>
      <c r="BX161" s="0">
        <f>MAX(0,(SUM(Calculator!$E$11:$E$28)+Calculator!$C$6)-BV161+BW161)</f>
      </c>
      <c r="BY161" s="0">
        <f>SUM(BD161:BU161)</f>
      </c>
      <c r="BZ161" s="0">
        <f>BV161-BY160</f>
      </c>
      <c r="CA161" s="0">
        <f>IF(A161&lt;=IF($CD$1=0,999,$CD$1),BY161,NA())</f>
      </c>
      <c r="CB161" s="0">
        <f>IF(A161&lt;=IF($CD$1=0,999,$CD$1),A161,NA())</f>
      </c>
    </row>
    <row r="162">
      <c r="A162" s="0">
        <v>159</v>
      </c>
      <c r="B162" s="0">
        <f>BD161*(1+Calculator!$D$11/100/12)</f>
      </c>
      <c r="C162" s="0">
        <f>BE161*(1+Calculator!$D$12/100/12)</f>
      </c>
      <c r="D162" s="0">
        <f>BF161*(1+Calculator!$D$13/100/12)</f>
      </c>
      <c r="E162" s="0">
        <f>BG161*(1+Calculator!$D$14/100/12)</f>
      </c>
      <c r="F162" s="0">
        <f>BH161*(1+Calculator!$D$15/100/12)</f>
      </c>
      <c r="G162" s="0">
        <f>BI161*(1+Calculator!$D$16/100/12)</f>
      </c>
      <c r="H162" s="0">
        <f>BJ161*(1+Calculator!$D$17/100/12)</f>
      </c>
      <c r="I162" s="0">
        <f>BK161*(1+Calculator!$D$18/100/12)</f>
      </c>
      <c r="J162" s="0">
        <f>BL161*(1+Calculator!$D$19/100/12)</f>
      </c>
      <c r="K162" s="0">
        <f>BM161*(1+Calculator!$D$20/100/12)</f>
      </c>
      <c r="L162" s="0">
        <f>BN161*(1+Calculator!$D$21/100/12)</f>
      </c>
      <c r="M162" s="0">
        <f>BO161*(1+Calculator!$D$22/100/12)</f>
      </c>
      <c r="N162" s="0">
        <f>BP161*(1+Calculator!$D$23/100/12)</f>
      </c>
      <c r="O162" s="0">
        <f>BQ161*(1+Calculator!$D$24/100/12)</f>
      </c>
      <c r="P162" s="0">
        <f>BR161*(1+Calculator!$D$25/100/12)</f>
      </c>
      <c r="Q162" s="0">
        <f>BS161*(1+Calculator!$D$26/100/12)</f>
      </c>
      <c r="R162" s="0">
        <f>BT161*(1+Calculator!$D$27/100/12)</f>
      </c>
      <c r="S162" s="0">
        <f>BU161*(1+Calculator!$D$28/100/12)</f>
      </c>
      <c r="T162" s="0">
        <f>MAX(0,B162-Calculator!$E$11)</f>
      </c>
      <c r="U162" s="0">
        <f>MAX(0,C162-Calculator!$E$12)</f>
      </c>
      <c r="V162" s="0">
        <f>MAX(0,D162-Calculator!$E$13)</f>
      </c>
      <c r="W162" s="0">
        <f>MAX(0,E162-Calculator!$E$14)</f>
      </c>
      <c r="X162" s="0">
        <f>MAX(0,F162-Calculator!$E$15)</f>
      </c>
      <c r="Y162" s="0">
        <f>MAX(0,G162-Calculator!$E$16)</f>
      </c>
      <c r="Z162" s="0">
        <f>MAX(0,H162-Calculator!$E$17)</f>
      </c>
      <c r="AA162" s="0">
        <f>MAX(0,I162-Calculator!$E$18)</f>
      </c>
      <c r="AB162" s="0">
        <f>MAX(0,J162-Calculator!$E$19)</f>
      </c>
      <c r="AC162" s="0">
        <f>MAX(0,K162-Calculator!$E$20)</f>
      </c>
      <c r="AD162" s="0">
        <f>MAX(0,L162-Calculator!$E$21)</f>
      </c>
      <c r="AE162" s="0">
        <f>MAX(0,M162-Calculator!$E$22)</f>
      </c>
      <c r="AF162" s="0">
        <f>MAX(0,N162-Calculator!$E$23)</f>
      </c>
      <c r="AG162" s="0">
        <f>MAX(0,O162-Calculator!$E$24)</f>
      </c>
      <c r="AH162" s="0">
        <f>MAX(0,P162-Calculator!$E$25)</f>
      </c>
      <c r="AI162" s="0">
        <f>MAX(0,Q162-Calculator!$E$26)</f>
      </c>
      <c r="AJ162" s="0">
        <f>MAX(0,R162-Calculator!$E$27)</f>
      </c>
      <c r="AK162" s="0">
        <f>MAX(0,S162-Calculator!$E$28)</f>
      </c>
      <c r="AL162" s="0">
        <f>MAX(0,MIN(T162,BX162-SUMPRODUCT(($T$2:$AK$2&lt;T$2)*($T162:$AK162))))</f>
      </c>
      <c r="AM162" s="0">
        <f>MAX(0,MIN(U162,BX162-SUMPRODUCT(($T$2:$AK$2&lt;U$2)*($T162:$AK162))))</f>
      </c>
      <c r="AN162" s="0">
        <f>MAX(0,MIN(V162,BX162-SUMPRODUCT(($T$2:$AK$2&lt;V$2)*($T162:$AK162))))</f>
      </c>
      <c r="AO162" s="0">
        <f>MAX(0,MIN(W162,BX162-SUMPRODUCT(($T$2:$AK$2&lt;W$2)*($T162:$AK162))))</f>
      </c>
      <c r="AP162" s="0">
        <f>MAX(0,MIN(X162,BX162-SUMPRODUCT(($T$2:$AK$2&lt;X$2)*($T162:$AK162))))</f>
      </c>
      <c r="AQ162" s="0">
        <f>MAX(0,MIN(Y162,BX162-SUMPRODUCT(($T$2:$AK$2&lt;Y$2)*($T162:$AK162))))</f>
      </c>
      <c r="AR162" s="0">
        <f>MAX(0,MIN(Z162,BX162-SUMPRODUCT(($T$2:$AK$2&lt;Z$2)*($T162:$AK162))))</f>
      </c>
      <c r="AS162" s="0">
        <f>MAX(0,MIN(AA162,BX162-SUMPRODUCT(($T$2:$AK$2&lt;AA$2)*($T162:$AK162))))</f>
      </c>
      <c r="AT162" s="0">
        <f>MAX(0,MIN(AB162,BX162-SUMPRODUCT(($T$2:$AK$2&lt;AB$2)*($T162:$AK162))))</f>
      </c>
      <c r="AU162" s="0">
        <f>MAX(0,MIN(AC162,BX162-SUMPRODUCT(($T$2:$AK$2&lt;AC$2)*($T162:$AK162))))</f>
      </c>
      <c r="AV162" s="0">
        <f>MAX(0,MIN(AD162,BX162-SUMPRODUCT(($T$2:$AK$2&lt;AD$2)*($T162:$AK162))))</f>
      </c>
      <c r="AW162" s="0">
        <f>MAX(0,MIN(AE162,BX162-SUMPRODUCT(($T$2:$AK$2&lt;AE$2)*($T162:$AK162))))</f>
      </c>
      <c r="AX162" s="0">
        <f>MAX(0,MIN(AF162,BX162-SUMPRODUCT(($T$2:$AK$2&lt;AF$2)*($T162:$AK162))))</f>
      </c>
      <c r="AY162" s="0">
        <f>MAX(0,MIN(AG162,BX162-SUMPRODUCT(($T$2:$AK$2&lt;AG$2)*($T162:$AK162))))</f>
      </c>
      <c r="AZ162" s="0">
        <f>MAX(0,MIN(AH162,BX162-SUMPRODUCT(($T$2:$AK$2&lt;AH$2)*($T162:$AK162))))</f>
      </c>
      <c r="BA162" s="0">
        <f>MAX(0,MIN(AI162,BX162-SUMPRODUCT(($T$2:$AK$2&lt;AI$2)*($T162:$AK162))))</f>
      </c>
      <c r="BB162" s="0">
        <f>MAX(0,MIN(AJ162,BX162-SUMPRODUCT(($T$2:$AK$2&lt;AJ$2)*($T162:$AK162))))</f>
      </c>
      <c r="BC162" s="0">
        <f>MAX(0,MIN(AK162,BX162-SUMPRODUCT(($T$2:$AK$2&lt;AK$2)*($T162:$AK162))))</f>
      </c>
      <c r="BD162" s="0">
        <f>T162-AL162</f>
      </c>
      <c r="BE162" s="0">
        <f>U162-AM162</f>
      </c>
      <c r="BF162" s="0">
        <f>V162-AN162</f>
      </c>
      <c r="BG162" s="0">
        <f>W162-AO162</f>
      </c>
      <c r="BH162" s="0">
        <f>X162-AP162</f>
      </c>
      <c r="BI162" s="0">
        <f>Y162-AQ162</f>
      </c>
      <c r="BJ162" s="0">
        <f>Z162-AR162</f>
      </c>
      <c r="BK162" s="0">
        <f>AA162-AS162</f>
      </c>
      <c r="BL162" s="0">
        <f>AB162-AT162</f>
      </c>
      <c r="BM162" s="0">
        <f>AC162-AU162</f>
      </c>
      <c r="BN162" s="0">
        <f>AD162-AV162</f>
      </c>
      <c r="BO162" s="0">
        <f>AE162-AW162</f>
      </c>
      <c r="BP162" s="0">
        <f>AF162-AX162</f>
      </c>
      <c r="BQ162" s="0">
        <f>AG162-AY162</f>
      </c>
      <c r="BR162" s="0">
        <f>AH162-AZ162</f>
      </c>
      <c r="BS162" s="0">
        <f>AI162-BA162</f>
      </c>
      <c r="BT162" s="0">
        <f>AJ162-BB162</f>
      </c>
      <c r="BU162" s="0">
        <f>AK162-BC162</f>
      </c>
      <c r="BV162" s="0">
        <f>SUM(B162:S162)</f>
      </c>
      <c r="BW162" s="0">
        <f>SUM(T162:AK162)</f>
      </c>
      <c r="BX162" s="0">
        <f>MAX(0,(SUM(Calculator!$E$11:$E$28)+Calculator!$C$6)-BV162+BW162)</f>
      </c>
      <c r="BY162" s="0">
        <f>SUM(BD162:BU162)</f>
      </c>
      <c r="BZ162" s="0">
        <f>BV162-BY161</f>
      </c>
      <c r="CA162" s="0">
        <f>IF(A162&lt;=IF($CD$1=0,999,$CD$1),BY162,NA())</f>
      </c>
      <c r="CB162" s="0">
        <f>IF(A162&lt;=IF($CD$1=0,999,$CD$1),A162,NA())</f>
      </c>
    </row>
    <row r="163">
      <c r="A163" s="0">
        <v>160</v>
      </c>
      <c r="B163" s="0">
        <f>BD162*(1+Calculator!$D$11/100/12)</f>
      </c>
      <c r="C163" s="0">
        <f>BE162*(1+Calculator!$D$12/100/12)</f>
      </c>
      <c r="D163" s="0">
        <f>BF162*(1+Calculator!$D$13/100/12)</f>
      </c>
      <c r="E163" s="0">
        <f>BG162*(1+Calculator!$D$14/100/12)</f>
      </c>
      <c r="F163" s="0">
        <f>BH162*(1+Calculator!$D$15/100/12)</f>
      </c>
      <c r="G163" s="0">
        <f>BI162*(1+Calculator!$D$16/100/12)</f>
      </c>
      <c r="H163" s="0">
        <f>BJ162*(1+Calculator!$D$17/100/12)</f>
      </c>
      <c r="I163" s="0">
        <f>BK162*(1+Calculator!$D$18/100/12)</f>
      </c>
      <c r="J163" s="0">
        <f>BL162*(1+Calculator!$D$19/100/12)</f>
      </c>
      <c r="K163" s="0">
        <f>BM162*(1+Calculator!$D$20/100/12)</f>
      </c>
      <c r="L163" s="0">
        <f>BN162*(1+Calculator!$D$21/100/12)</f>
      </c>
      <c r="M163" s="0">
        <f>BO162*(1+Calculator!$D$22/100/12)</f>
      </c>
      <c r="N163" s="0">
        <f>BP162*(1+Calculator!$D$23/100/12)</f>
      </c>
      <c r="O163" s="0">
        <f>BQ162*(1+Calculator!$D$24/100/12)</f>
      </c>
      <c r="P163" s="0">
        <f>BR162*(1+Calculator!$D$25/100/12)</f>
      </c>
      <c r="Q163" s="0">
        <f>BS162*(1+Calculator!$D$26/100/12)</f>
      </c>
      <c r="R163" s="0">
        <f>BT162*(1+Calculator!$D$27/100/12)</f>
      </c>
      <c r="S163" s="0">
        <f>BU162*(1+Calculator!$D$28/100/12)</f>
      </c>
      <c r="T163" s="0">
        <f>MAX(0,B163-Calculator!$E$11)</f>
      </c>
      <c r="U163" s="0">
        <f>MAX(0,C163-Calculator!$E$12)</f>
      </c>
      <c r="V163" s="0">
        <f>MAX(0,D163-Calculator!$E$13)</f>
      </c>
      <c r="W163" s="0">
        <f>MAX(0,E163-Calculator!$E$14)</f>
      </c>
      <c r="X163" s="0">
        <f>MAX(0,F163-Calculator!$E$15)</f>
      </c>
      <c r="Y163" s="0">
        <f>MAX(0,G163-Calculator!$E$16)</f>
      </c>
      <c r="Z163" s="0">
        <f>MAX(0,H163-Calculator!$E$17)</f>
      </c>
      <c r="AA163" s="0">
        <f>MAX(0,I163-Calculator!$E$18)</f>
      </c>
      <c r="AB163" s="0">
        <f>MAX(0,J163-Calculator!$E$19)</f>
      </c>
      <c r="AC163" s="0">
        <f>MAX(0,K163-Calculator!$E$20)</f>
      </c>
      <c r="AD163" s="0">
        <f>MAX(0,L163-Calculator!$E$21)</f>
      </c>
      <c r="AE163" s="0">
        <f>MAX(0,M163-Calculator!$E$22)</f>
      </c>
      <c r="AF163" s="0">
        <f>MAX(0,N163-Calculator!$E$23)</f>
      </c>
      <c r="AG163" s="0">
        <f>MAX(0,O163-Calculator!$E$24)</f>
      </c>
      <c r="AH163" s="0">
        <f>MAX(0,P163-Calculator!$E$25)</f>
      </c>
      <c r="AI163" s="0">
        <f>MAX(0,Q163-Calculator!$E$26)</f>
      </c>
      <c r="AJ163" s="0">
        <f>MAX(0,R163-Calculator!$E$27)</f>
      </c>
      <c r="AK163" s="0">
        <f>MAX(0,S163-Calculator!$E$28)</f>
      </c>
      <c r="AL163" s="0">
        <f>MAX(0,MIN(T163,BX163-SUMPRODUCT(($T$2:$AK$2&lt;T$2)*($T163:$AK163))))</f>
      </c>
      <c r="AM163" s="0">
        <f>MAX(0,MIN(U163,BX163-SUMPRODUCT(($T$2:$AK$2&lt;U$2)*($T163:$AK163))))</f>
      </c>
      <c r="AN163" s="0">
        <f>MAX(0,MIN(V163,BX163-SUMPRODUCT(($T$2:$AK$2&lt;V$2)*($T163:$AK163))))</f>
      </c>
      <c r="AO163" s="0">
        <f>MAX(0,MIN(W163,BX163-SUMPRODUCT(($T$2:$AK$2&lt;W$2)*($T163:$AK163))))</f>
      </c>
      <c r="AP163" s="0">
        <f>MAX(0,MIN(X163,BX163-SUMPRODUCT(($T$2:$AK$2&lt;X$2)*($T163:$AK163))))</f>
      </c>
      <c r="AQ163" s="0">
        <f>MAX(0,MIN(Y163,BX163-SUMPRODUCT(($T$2:$AK$2&lt;Y$2)*($T163:$AK163))))</f>
      </c>
      <c r="AR163" s="0">
        <f>MAX(0,MIN(Z163,BX163-SUMPRODUCT(($T$2:$AK$2&lt;Z$2)*($T163:$AK163))))</f>
      </c>
      <c r="AS163" s="0">
        <f>MAX(0,MIN(AA163,BX163-SUMPRODUCT(($T$2:$AK$2&lt;AA$2)*($T163:$AK163))))</f>
      </c>
      <c r="AT163" s="0">
        <f>MAX(0,MIN(AB163,BX163-SUMPRODUCT(($T$2:$AK$2&lt;AB$2)*($T163:$AK163))))</f>
      </c>
      <c r="AU163" s="0">
        <f>MAX(0,MIN(AC163,BX163-SUMPRODUCT(($T$2:$AK$2&lt;AC$2)*($T163:$AK163))))</f>
      </c>
      <c r="AV163" s="0">
        <f>MAX(0,MIN(AD163,BX163-SUMPRODUCT(($T$2:$AK$2&lt;AD$2)*($T163:$AK163))))</f>
      </c>
      <c r="AW163" s="0">
        <f>MAX(0,MIN(AE163,BX163-SUMPRODUCT(($T$2:$AK$2&lt;AE$2)*($T163:$AK163))))</f>
      </c>
      <c r="AX163" s="0">
        <f>MAX(0,MIN(AF163,BX163-SUMPRODUCT(($T$2:$AK$2&lt;AF$2)*($T163:$AK163))))</f>
      </c>
      <c r="AY163" s="0">
        <f>MAX(0,MIN(AG163,BX163-SUMPRODUCT(($T$2:$AK$2&lt;AG$2)*($T163:$AK163))))</f>
      </c>
      <c r="AZ163" s="0">
        <f>MAX(0,MIN(AH163,BX163-SUMPRODUCT(($T$2:$AK$2&lt;AH$2)*($T163:$AK163))))</f>
      </c>
      <c r="BA163" s="0">
        <f>MAX(0,MIN(AI163,BX163-SUMPRODUCT(($T$2:$AK$2&lt;AI$2)*($T163:$AK163))))</f>
      </c>
      <c r="BB163" s="0">
        <f>MAX(0,MIN(AJ163,BX163-SUMPRODUCT(($T$2:$AK$2&lt;AJ$2)*($T163:$AK163))))</f>
      </c>
      <c r="BC163" s="0">
        <f>MAX(0,MIN(AK163,BX163-SUMPRODUCT(($T$2:$AK$2&lt;AK$2)*($T163:$AK163))))</f>
      </c>
      <c r="BD163" s="0">
        <f>T163-AL163</f>
      </c>
      <c r="BE163" s="0">
        <f>U163-AM163</f>
      </c>
      <c r="BF163" s="0">
        <f>V163-AN163</f>
      </c>
      <c r="BG163" s="0">
        <f>W163-AO163</f>
      </c>
      <c r="BH163" s="0">
        <f>X163-AP163</f>
      </c>
      <c r="BI163" s="0">
        <f>Y163-AQ163</f>
      </c>
      <c r="BJ163" s="0">
        <f>Z163-AR163</f>
      </c>
      <c r="BK163" s="0">
        <f>AA163-AS163</f>
      </c>
      <c r="BL163" s="0">
        <f>AB163-AT163</f>
      </c>
      <c r="BM163" s="0">
        <f>AC163-AU163</f>
      </c>
      <c r="BN163" s="0">
        <f>AD163-AV163</f>
      </c>
      <c r="BO163" s="0">
        <f>AE163-AW163</f>
      </c>
      <c r="BP163" s="0">
        <f>AF163-AX163</f>
      </c>
      <c r="BQ163" s="0">
        <f>AG163-AY163</f>
      </c>
      <c r="BR163" s="0">
        <f>AH163-AZ163</f>
      </c>
      <c r="BS163" s="0">
        <f>AI163-BA163</f>
      </c>
      <c r="BT163" s="0">
        <f>AJ163-BB163</f>
      </c>
      <c r="BU163" s="0">
        <f>AK163-BC163</f>
      </c>
      <c r="BV163" s="0">
        <f>SUM(B163:S163)</f>
      </c>
      <c r="BW163" s="0">
        <f>SUM(T163:AK163)</f>
      </c>
      <c r="BX163" s="0">
        <f>MAX(0,(SUM(Calculator!$E$11:$E$28)+Calculator!$C$6)-BV163+BW163)</f>
      </c>
      <c r="BY163" s="0">
        <f>SUM(BD163:BU163)</f>
      </c>
      <c r="BZ163" s="0">
        <f>BV163-BY162</f>
      </c>
      <c r="CA163" s="0">
        <f>IF(A163&lt;=IF($CD$1=0,999,$CD$1),BY163,NA())</f>
      </c>
      <c r="CB163" s="0">
        <f>IF(A163&lt;=IF($CD$1=0,999,$CD$1),A163,NA())</f>
      </c>
    </row>
    <row r="164">
      <c r="A164" s="0">
        <v>161</v>
      </c>
      <c r="B164" s="0">
        <f>BD163*(1+Calculator!$D$11/100/12)</f>
      </c>
      <c r="C164" s="0">
        <f>BE163*(1+Calculator!$D$12/100/12)</f>
      </c>
      <c r="D164" s="0">
        <f>BF163*(1+Calculator!$D$13/100/12)</f>
      </c>
      <c r="E164" s="0">
        <f>BG163*(1+Calculator!$D$14/100/12)</f>
      </c>
      <c r="F164" s="0">
        <f>BH163*(1+Calculator!$D$15/100/12)</f>
      </c>
      <c r="G164" s="0">
        <f>BI163*(1+Calculator!$D$16/100/12)</f>
      </c>
      <c r="H164" s="0">
        <f>BJ163*(1+Calculator!$D$17/100/12)</f>
      </c>
      <c r="I164" s="0">
        <f>BK163*(1+Calculator!$D$18/100/12)</f>
      </c>
      <c r="J164" s="0">
        <f>BL163*(1+Calculator!$D$19/100/12)</f>
      </c>
      <c r="K164" s="0">
        <f>BM163*(1+Calculator!$D$20/100/12)</f>
      </c>
      <c r="L164" s="0">
        <f>BN163*(1+Calculator!$D$21/100/12)</f>
      </c>
      <c r="M164" s="0">
        <f>BO163*(1+Calculator!$D$22/100/12)</f>
      </c>
      <c r="N164" s="0">
        <f>BP163*(1+Calculator!$D$23/100/12)</f>
      </c>
      <c r="O164" s="0">
        <f>BQ163*(1+Calculator!$D$24/100/12)</f>
      </c>
      <c r="P164" s="0">
        <f>BR163*(1+Calculator!$D$25/100/12)</f>
      </c>
      <c r="Q164" s="0">
        <f>BS163*(1+Calculator!$D$26/100/12)</f>
      </c>
      <c r="R164" s="0">
        <f>BT163*(1+Calculator!$D$27/100/12)</f>
      </c>
      <c r="S164" s="0">
        <f>BU163*(1+Calculator!$D$28/100/12)</f>
      </c>
      <c r="T164" s="0">
        <f>MAX(0,B164-Calculator!$E$11)</f>
      </c>
      <c r="U164" s="0">
        <f>MAX(0,C164-Calculator!$E$12)</f>
      </c>
      <c r="V164" s="0">
        <f>MAX(0,D164-Calculator!$E$13)</f>
      </c>
      <c r="W164" s="0">
        <f>MAX(0,E164-Calculator!$E$14)</f>
      </c>
      <c r="X164" s="0">
        <f>MAX(0,F164-Calculator!$E$15)</f>
      </c>
      <c r="Y164" s="0">
        <f>MAX(0,G164-Calculator!$E$16)</f>
      </c>
      <c r="Z164" s="0">
        <f>MAX(0,H164-Calculator!$E$17)</f>
      </c>
      <c r="AA164" s="0">
        <f>MAX(0,I164-Calculator!$E$18)</f>
      </c>
      <c r="AB164" s="0">
        <f>MAX(0,J164-Calculator!$E$19)</f>
      </c>
      <c r="AC164" s="0">
        <f>MAX(0,K164-Calculator!$E$20)</f>
      </c>
      <c r="AD164" s="0">
        <f>MAX(0,L164-Calculator!$E$21)</f>
      </c>
      <c r="AE164" s="0">
        <f>MAX(0,M164-Calculator!$E$22)</f>
      </c>
      <c r="AF164" s="0">
        <f>MAX(0,N164-Calculator!$E$23)</f>
      </c>
      <c r="AG164" s="0">
        <f>MAX(0,O164-Calculator!$E$24)</f>
      </c>
      <c r="AH164" s="0">
        <f>MAX(0,P164-Calculator!$E$25)</f>
      </c>
      <c r="AI164" s="0">
        <f>MAX(0,Q164-Calculator!$E$26)</f>
      </c>
      <c r="AJ164" s="0">
        <f>MAX(0,R164-Calculator!$E$27)</f>
      </c>
      <c r="AK164" s="0">
        <f>MAX(0,S164-Calculator!$E$28)</f>
      </c>
      <c r="AL164" s="0">
        <f>MAX(0,MIN(T164,BX164-SUMPRODUCT(($T$2:$AK$2&lt;T$2)*($T164:$AK164))))</f>
      </c>
      <c r="AM164" s="0">
        <f>MAX(0,MIN(U164,BX164-SUMPRODUCT(($T$2:$AK$2&lt;U$2)*($T164:$AK164))))</f>
      </c>
      <c r="AN164" s="0">
        <f>MAX(0,MIN(V164,BX164-SUMPRODUCT(($T$2:$AK$2&lt;V$2)*($T164:$AK164))))</f>
      </c>
      <c r="AO164" s="0">
        <f>MAX(0,MIN(W164,BX164-SUMPRODUCT(($T$2:$AK$2&lt;W$2)*($T164:$AK164))))</f>
      </c>
      <c r="AP164" s="0">
        <f>MAX(0,MIN(X164,BX164-SUMPRODUCT(($T$2:$AK$2&lt;X$2)*($T164:$AK164))))</f>
      </c>
      <c r="AQ164" s="0">
        <f>MAX(0,MIN(Y164,BX164-SUMPRODUCT(($T$2:$AK$2&lt;Y$2)*($T164:$AK164))))</f>
      </c>
      <c r="AR164" s="0">
        <f>MAX(0,MIN(Z164,BX164-SUMPRODUCT(($T$2:$AK$2&lt;Z$2)*($T164:$AK164))))</f>
      </c>
      <c r="AS164" s="0">
        <f>MAX(0,MIN(AA164,BX164-SUMPRODUCT(($T$2:$AK$2&lt;AA$2)*($T164:$AK164))))</f>
      </c>
      <c r="AT164" s="0">
        <f>MAX(0,MIN(AB164,BX164-SUMPRODUCT(($T$2:$AK$2&lt;AB$2)*($T164:$AK164))))</f>
      </c>
      <c r="AU164" s="0">
        <f>MAX(0,MIN(AC164,BX164-SUMPRODUCT(($T$2:$AK$2&lt;AC$2)*($T164:$AK164))))</f>
      </c>
      <c r="AV164" s="0">
        <f>MAX(0,MIN(AD164,BX164-SUMPRODUCT(($T$2:$AK$2&lt;AD$2)*($T164:$AK164))))</f>
      </c>
      <c r="AW164" s="0">
        <f>MAX(0,MIN(AE164,BX164-SUMPRODUCT(($T$2:$AK$2&lt;AE$2)*($T164:$AK164))))</f>
      </c>
      <c r="AX164" s="0">
        <f>MAX(0,MIN(AF164,BX164-SUMPRODUCT(($T$2:$AK$2&lt;AF$2)*($T164:$AK164))))</f>
      </c>
      <c r="AY164" s="0">
        <f>MAX(0,MIN(AG164,BX164-SUMPRODUCT(($T$2:$AK$2&lt;AG$2)*($T164:$AK164))))</f>
      </c>
      <c r="AZ164" s="0">
        <f>MAX(0,MIN(AH164,BX164-SUMPRODUCT(($T$2:$AK$2&lt;AH$2)*($T164:$AK164))))</f>
      </c>
      <c r="BA164" s="0">
        <f>MAX(0,MIN(AI164,BX164-SUMPRODUCT(($T$2:$AK$2&lt;AI$2)*($T164:$AK164))))</f>
      </c>
      <c r="BB164" s="0">
        <f>MAX(0,MIN(AJ164,BX164-SUMPRODUCT(($T$2:$AK$2&lt;AJ$2)*($T164:$AK164))))</f>
      </c>
      <c r="BC164" s="0">
        <f>MAX(0,MIN(AK164,BX164-SUMPRODUCT(($T$2:$AK$2&lt;AK$2)*($T164:$AK164))))</f>
      </c>
      <c r="BD164" s="0">
        <f>T164-AL164</f>
      </c>
      <c r="BE164" s="0">
        <f>U164-AM164</f>
      </c>
      <c r="BF164" s="0">
        <f>V164-AN164</f>
      </c>
      <c r="BG164" s="0">
        <f>W164-AO164</f>
      </c>
      <c r="BH164" s="0">
        <f>X164-AP164</f>
      </c>
      <c r="BI164" s="0">
        <f>Y164-AQ164</f>
      </c>
      <c r="BJ164" s="0">
        <f>Z164-AR164</f>
      </c>
      <c r="BK164" s="0">
        <f>AA164-AS164</f>
      </c>
      <c r="BL164" s="0">
        <f>AB164-AT164</f>
      </c>
      <c r="BM164" s="0">
        <f>AC164-AU164</f>
      </c>
      <c r="BN164" s="0">
        <f>AD164-AV164</f>
      </c>
      <c r="BO164" s="0">
        <f>AE164-AW164</f>
      </c>
      <c r="BP164" s="0">
        <f>AF164-AX164</f>
      </c>
      <c r="BQ164" s="0">
        <f>AG164-AY164</f>
      </c>
      <c r="BR164" s="0">
        <f>AH164-AZ164</f>
      </c>
      <c r="BS164" s="0">
        <f>AI164-BA164</f>
      </c>
      <c r="BT164" s="0">
        <f>AJ164-BB164</f>
      </c>
      <c r="BU164" s="0">
        <f>AK164-BC164</f>
      </c>
      <c r="BV164" s="0">
        <f>SUM(B164:S164)</f>
      </c>
      <c r="BW164" s="0">
        <f>SUM(T164:AK164)</f>
      </c>
      <c r="BX164" s="0">
        <f>MAX(0,(SUM(Calculator!$E$11:$E$28)+Calculator!$C$6)-BV164+BW164)</f>
      </c>
      <c r="BY164" s="0">
        <f>SUM(BD164:BU164)</f>
      </c>
      <c r="BZ164" s="0">
        <f>BV164-BY163</f>
      </c>
      <c r="CA164" s="0">
        <f>IF(A164&lt;=IF($CD$1=0,999,$CD$1),BY164,NA())</f>
      </c>
      <c r="CB164" s="0">
        <f>IF(A164&lt;=IF($CD$1=0,999,$CD$1),A164,NA())</f>
      </c>
    </row>
    <row r="165">
      <c r="A165" s="0">
        <v>162</v>
      </c>
      <c r="B165" s="0">
        <f>BD164*(1+Calculator!$D$11/100/12)</f>
      </c>
      <c r="C165" s="0">
        <f>BE164*(1+Calculator!$D$12/100/12)</f>
      </c>
      <c r="D165" s="0">
        <f>BF164*(1+Calculator!$D$13/100/12)</f>
      </c>
      <c r="E165" s="0">
        <f>BG164*(1+Calculator!$D$14/100/12)</f>
      </c>
      <c r="F165" s="0">
        <f>BH164*(1+Calculator!$D$15/100/12)</f>
      </c>
      <c r="G165" s="0">
        <f>BI164*(1+Calculator!$D$16/100/12)</f>
      </c>
      <c r="H165" s="0">
        <f>BJ164*(1+Calculator!$D$17/100/12)</f>
      </c>
      <c r="I165" s="0">
        <f>BK164*(1+Calculator!$D$18/100/12)</f>
      </c>
      <c r="J165" s="0">
        <f>BL164*(1+Calculator!$D$19/100/12)</f>
      </c>
      <c r="K165" s="0">
        <f>BM164*(1+Calculator!$D$20/100/12)</f>
      </c>
      <c r="L165" s="0">
        <f>BN164*(1+Calculator!$D$21/100/12)</f>
      </c>
      <c r="M165" s="0">
        <f>BO164*(1+Calculator!$D$22/100/12)</f>
      </c>
      <c r="N165" s="0">
        <f>BP164*(1+Calculator!$D$23/100/12)</f>
      </c>
      <c r="O165" s="0">
        <f>BQ164*(1+Calculator!$D$24/100/12)</f>
      </c>
      <c r="P165" s="0">
        <f>BR164*(1+Calculator!$D$25/100/12)</f>
      </c>
      <c r="Q165" s="0">
        <f>BS164*(1+Calculator!$D$26/100/12)</f>
      </c>
      <c r="R165" s="0">
        <f>BT164*(1+Calculator!$D$27/100/12)</f>
      </c>
      <c r="S165" s="0">
        <f>BU164*(1+Calculator!$D$28/100/12)</f>
      </c>
      <c r="T165" s="0">
        <f>MAX(0,B165-Calculator!$E$11)</f>
      </c>
      <c r="U165" s="0">
        <f>MAX(0,C165-Calculator!$E$12)</f>
      </c>
      <c r="V165" s="0">
        <f>MAX(0,D165-Calculator!$E$13)</f>
      </c>
      <c r="W165" s="0">
        <f>MAX(0,E165-Calculator!$E$14)</f>
      </c>
      <c r="X165" s="0">
        <f>MAX(0,F165-Calculator!$E$15)</f>
      </c>
      <c r="Y165" s="0">
        <f>MAX(0,G165-Calculator!$E$16)</f>
      </c>
      <c r="Z165" s="0">
        <f>MAX(0,H165-Calculator!$E$17)</f>
      </c>
      <c r="AA165" s="0">
        <f>MAX(0,I165-Calculator!$E$18)</f>
      </c>
      <c r="AB165" s="0">
        <f>MAX(0,J165-Calculator!$E$19)</f>
      </c>
      <c r="AC165" s="0">
        <f>MAX(0,K165-Calculator!$E$20)</f>
      </c>
      <c r="AD165" s="0">
        <f>MAX(0,L165-Calculator!$E$21)</f>
      </c>
      <c r="AE165" s="0">
        <f>MAX(0,M165-Calculator!$E$22)</f>
      </c>
      <c r="AF165" s="0">
        <f>MAX(0,N165-Calculator!$E$23)</f>
      </c>
      <c r="AG165" s="0">
        <f>MAX(0,O165-Calculator!$E$24)</f>
      </c>
      <c r="AH165" s="0">
        <f>MAX(0,P165-Calculator!$E$25)</f>
      </c>
      <c r="AI165" s="0">
        <f>MAX(0,Q165-Calculator!$E$26)</f>
      </c>
      <c r="AJ165" s="0">
        <f>MAX(0,R165-Calculator!$E$27)</f>
      </c>
      <c r="AK165" s="0">
        <f>MAX(0,S165-Calculator!$E$28)</f>
      </c>
      <c r="AL165" s="0">
        <f>MAX(0,MIN(T165,BX165-SUMPRODUCT(($T$2:$AK$2&lt;T$2)*($T165:$AK165))))</f>
      </c>
      <c r="AM165" s="0">
        <f>MAX(0,MIN(U165,BX165-SUMPRODUCT(($T$2:$AK$2&lt;U$2)*($T165:$AK165))))</f>
      </c>
      <c r="AN165" s="0">
        <f>MAX(0,MIN(V165,BX165-SUMPRODUCT(($T$2:$AK$2&lt;V$2)*($T165:$AK165))))</f>
      </c>
      <c r="AO165" s="0">
        <f>MAX(0,MIN(W165,BX165-SUMPRODUCT(($T$2:$AK$2&lt;W$2)*($T165:$AK165))))</f>
      </c>
      <c r="AP165" s="0">
        <f>MAX(0,MIN(X165,BX165-SUMPRODUCT(($T$2:$AK$2&lt;X$2)*($T165:$AK165))))</f>
      </c>
      <c r="AQ165" s="0">
        <f>MAX(0,MIN(Y165,BX165-SUMPRODUCT(($T$2:$AK$2&lt;Y$2)*($T165:$AK165))))</f>
      </c>
      <c r="AR165" s="0">
        <f>MAX(0,MIN(Z165,BX165-SUMPRODUCT(($T$2:$AK$2&lt;Z$2)*($T165:$AK165))))</f>
      </c>
      <c r="AS165" s="0">
        <f>MAX(0,MIN(AA165,BX165-SUMPRODUCT(($T$2:$AK$2&lt;AA$2)*($T165:$AK165))))</f>
      </c>
      <c r="AT165" s="0">
        <f>MAX(0,MIN(AB165,BX165-SUMPRODUCT(($T$2:$AK$2&lt;AB$2)*($T165:$AK165))))</f>
      </c>
      <c r="AU165" s="0">
        <f>MAX(0,MIN(AC165,BX165-SUMPRODUCT(($T$2:$AK$2&lt;AC$2)*($T165:$AK165))))</f>
      </c>
      <c r="AV165" s="0">
        <f>MAX(0,MIN(AD165,BX165-SUMPRODUCT(($T$2:$AK$2&lt;AD$2)*($T165:$AK165))))</f>
      </c>
      <c r="AW165" s="0">
        <f>MAX(0,MIN(AE165,BX165-SUMPRODUCT(($T$2:$AK$2&lt;AE$2)*($T165:$AK165))))</f>
      </c>
      <c r="AX165" s="0">
        <f>MAX(0,MIN(AF165,BX165-SUMPRODUCT(($T$2:$AK$2&lt;AF$2)*($T165:$AK165))))</f>
      </c>
      <c r="AY165" s="0">
        <f>MAX(0,MIN(AG165,BX165-SUMPRODUCT(($T$2:$AK$2&lt;AG$2)*($T165:$AK165))))</f>
      </c>
      <c r="AZ165" s="0">
        <f>MAX(0,MIN(AH165,BX165-SUMPRODUCT(($T$2:$AK$2&lt;AH$2)*($T165:$AK165))))</f>
      </c>
      <c r="BA165" s="0">
        <f>MAX(0,MIN(AI165,BX165-SUMPRODUCT(($T$2:$AK$2&lt;AI$2)*($T165:$AK165))))</f>
      </c>
      <c r="BB165" s="0">
        <f>MAX(0,MIN(AJ165,BX165-SUMPRODUCT(($T$2:$AK$2&lt;AJ$2)*($T165:$AK165))))</f>
      </c>
      <c r="BC165" s="0">
        <f>MAX(0,MIN(AK165,BX165-SUMPRODUCT(($T$2:$AK$2&lt;AK$2)*($T165:$AK165))))</f>
      </c>
      <c r="BD165" s="0">
        <f>T165-AL165</f>
      </c>
      <c r="BE165" s="0">
        <f>U165-AM165</f>
      </c>
      <c r="BF165" s="0">
        <f>V165-AN165</f>
      </c>
      <c r="BG165" s="0">
        <f>W165-AO165</f>
      </c>
      <c r="BH165" s="0">
        <f>X165-AP165</f>
      </c>
      <c r="BI165" s="0">
        <f>Y165-AQ165</f>
      </c>
      <c r="BJ165" s="0">
        <f>Z165-AR165</f>
      </c>
      <c r="BK165" s="0">
        <f>AA165-AS165</f>
      </c>
      <c r="BL165" s="0">
        <f>AB165-AT165</f>
      </c>
      <c r="BM165" s="0">
        <f>AC165-AU165</f>
      </c>
      <c r="BN165" s="0">
        <f>AD165-AV165</f>
      </c>
      <c r="BO165" s="0">
        <f>AE165-AW165</f>
      </c>
      <c r="BP165" s="0">
        <f>AF165-AX165</f>
      </c>
      <c r="BQ165" s="0">
        <f>AG165-AY165</f>
      </c>
      <c r="BR165" s="0">
        <f>AH165-AZ165</f>
      </c>
      <c r="BS165" s="0">
        <f>AI165-BA165</f>
      </c>
      <c r="BT165" s="0">
        <f>AJ165-BB165</f>
      </c>
      <c r="BU165" s="0">
        <f>AK165-BC165</f>
      </c>
      <c r="BV165" s="0">
        <f>SUM(B165:S165)</f>
      </c>
      <c r="BW165" s="0">
        <f>SUM(T165:AK165)</f>
      </c>
      <c r="BX165" s="0">
        <f>MAX(0,(SUM(Calculator!$E$11:$E$28)+Calculator!$C$6)-BV165+BW165)</f>
      </c>
      <c r="BY165" s="0">
        <f>SUM(BD165:BU165)</f>
      </c>
      <c r="BZ165" s="0">
        <f>BV165-BY164</f>
      </c>
      <c r="CA165" s="0">
        <f>IF(A165&lt;=IF($CD$1=0,999,$CD$1),BY165,NA())</f>
      </c>
      <c r="CB165" s="0">
        <f>IF(A165&lt;=IF($CD$1=0,999,$CD$1),A165,NA())</f>
      </c>
    </row>
    <row r="166">
      <c r="A166" s="0">
        <v>163</v>
      </c>
      <c r="B166" s="0">
        <f>BD165*(1+Calculator!$D$11/100/12)</f>
      </c>
      <c r="C166" s="0">
        <f>BE165*(1+Calculator!$D$12/100/12)</f>
      </c>
      <c r="D166" s="0">
        <f>BF165*(1+Calculator!$D$13/100/12)</f>
      </c>
      <c r="E166" s="0">
        <f>BG165*(1+Calculator!$D$14/100/12)</f>
      </c>
      <c r="F166" s="0">
        <f>BH165*(1+Calculator!$D$15/100/12)</f>
      </c>
      <c r="G166" s="0">
        <f>BI165*(1+Calculator!$D$16/100/12)</f>
      </c>
      <c r="H166" s="0">
        <f>BJ165*(1+Calculator!$D$17/100/12)</f>
      </c>
      <c r="I166" s="0">
        <f>BK165*(1+Calculator!$D$18/100/12)</f>
      </c>
      <c r="J166" s="0">
        <f>BL165*(1+Calculator!$D$19/100/12)</f>
      </c>
      <c r="K166" s="0">
        <f>BM165*(1+Calculator!$D$20/100/12)</f>
      </c>
      <c r="L166" s="0">
        <f>BN165*(1+Calculator!$D$21/100/12)</f>
      </c>
      <c r="M166" s="0">
        <f>BO165*(1+Calculator!$D$22/100/12)</f>
      </c>
      <c r="N166" s="0">
        <f>BP165*(1+Calculator!$D$23/100/12)</f>
      </c>
      <c r="O166" s="0">
        <f>BQ165*(1+Calculator!$D$24/100/12)</f>
      </c>
      <c r="P166" s="0">
        <f>BR165*(1+Calculator!$D$25/100/12)</f>
      </c>
      <c r="Q166" s="0">
        <f>BS165*(1+Calculator!$D$26/100/12)</f>
      </c>
      <c r="R166" s="0">
        <f>BT165*(1+Calculator!$D$27/100/12)</f>
      </c>
      <c r="S166" s="0">
        <f>BU165*(1+Calculator!$D$28/100/12)</f>
      </c>
      <c r="T166" s="0">
        <f>MAX(0,B166-Calculator!$E$11)</f>
      </c>
      <c r="U166" s="0">
        <f>MAX(0,C166-Calculator!$E$12)</f>
      </c>
      <c r="V166" s="0">
        <f>MAX(0,D166-Calculator!$E$13)</f>
      </c>
      <c r="W166" s="0">
        <f>MAX(0,E166-Calculator!$E$14)</f>
      </c>
      <c r="X166" s="0">
        <f>MAX(0,F166-Calculator!$E$15)</f>
      </c>
      <c r="Y166" s="0">
        <f>MAX(0,G166-Calculator!$E$16)</f>
      </c>
      <c r="Z166" s="0">
        <f>MAX(0,H166-Calculator!$E$17)</f>
      </c>
      <c r="AA166" s="0">
        <f>MAX(0,I166-Calculator!$E$18)</f>
      </c>
      <c r="AB166" s="0">
        <f>MAX(0,J166-Calculator!$E$19)</f>
      </c>
      <c r="AC166" s="0">
        <f>MAX(0,K166-Calculator!$E$20)</f>
      </c>
      <c r="AD166" s="0">
        <f>MAX(0,L166-Calculator!$E$21)</f>
      </c>
      <c r="AE166" s="0">
        <f>MAX(0,M166-Calculator!$E$22)</f>
      </c>
      <c r="AF166" s="0">
        <f>MAX(0,N166-Calculator!$E$23)</f>
      </c>
      <c r="AG166" s="0">
        <f>MAX(0,O166-Calculator!$E$24)</f>
      </c>
      <c r="AH166" s="0">
        <f>MAX(0,P166-Calculator!$E$25)</f>
      </c>
      <c r="AI166" s="0">
        <f>MAX(0,Q166-Calculator!$E$26)</f>
      </c>
      <c r="AJ166" s="0">
        <f>MAX(0,R166-Calculator!$E$27)</f>
      </c>
      <c r="AK166" s="0">
        <f>MAX(0,S166-Calculator!$E$28)</f>
      </c>
      <c r="AL166" s="0">
        <f>MAX(0,MIN(T166,BX166-SUMPRODUCT(($T$2:$AK$2&lt;T$2)*($T166:$AK166))))</f>
      </c>
      <c r="AM166" s="0">
        <f>MAX(0,MIN(U166,BX166-SUMPRODUCT(($T$2:$AK$2&lt;U$2)*($T166:$AK166))))</f>
      </c>
      <c r="AN166" s="0">
        <f>MAX(0,MIN(V166,BX166-SUMPRODUCT(($T$2:$AK$2&lt;V$2)*($T166:$AK166))))</f>
      </c>
      <c r="AO166" s="0">
        <f>MAX(0,MIN(W166,BX166-SUMPRODUCT(($T$2:$AK$2&lt;W$2)*($T166:$AK166))))</f>
      </c>
      <c r="AP166" s="0">
        <f>MAX(0,MIN(X166,BX166-SUMPRODUCT(($T$2:$AK$2&lt;X$2)*($T166:$AK166))))</f>
      </c>
      <c r="AQ166" s="0">
        <f>MAX(0,MIN(Y166,BX166-SUMPRODUCT(($T$2:$AK$2&lt;Y$2)*($T166:$AK166))))</f>
      </c>
      <c r="AR166" s="0">
        <f>MAX(0,MIN(Z166,BX166-SUMPRODUCT(($T$2:$AK$2&lt;Z$2)*($T166:$AK166))))</f>
      </c>
      <c r="AS166" s="0">
        <f>MAX(0,MIN(AA166,BX166-SUMPRODUCT(($T$2:$AK$2&lt;AA$2)*($T166:$AK166))))</f>
      </c>
      <c r="AT166" s="0">
        <f>MAX(0,MIN(AB166,BX166-SUMPRODUCT(($T$2:$AK$2&lt;AB$2)*($T166:$AK166))))</f>
      </c>
      <c r="AU166" s="0">
        <f>MAX(0,MIN(AC166,BX166-SUMPRODUCT(($T$2:$AK$2&lt;AC$2)*($T166:$AK166))))</f>
      </c>
      <c r="AV166" s="0">
        <f>MAX(0,MIN(AD166,BX166-SUMPRODUCT(($T$2:$AK$2&lt;AD$2)*($T166:$AK166))))</f>
      </c>
      <c r="AW166" s="0">
        <f>MAX(0,MIN(AE166,BX166-SUMPRODUCT(($T$2:$AK$2&lt;AE$2)*($T166:$AK166))))</f>
      </c>
      <c r="AX166" s="0">
        <f>MAX(0,MIN(AF166,BX166-SUMPRODUCT(($T$2:$AK$2&lt;AF$2)*($T166:$AK166))))</f>
      </c>
      <c r="AY166" s="0">
        <f>MAX(0,MIN(AG166,BX166-SUMPRODUCT(($T$2:$AK$2&lt;AG$2)*($T166:$AK166))))</f>
      </c>
      <c r="AZ166" s="0">
        <f>MAX(0,MIN(AH166,BX166-SUMPRODUCT(($T$2:$AK$2&lt;AH$2)*($T166:$AK166))))</f>
      </c>
      <c r="BA166" s="0">
        <f>MAX(0,MIN(AI166,BX166-SUMPRODUCT(($T$2:$AK$2&lt;AI$2)*($T166:$AK166))))</f>
      </c>
      <c r="BB166" s="0">
        <f>MAX(0,MIN(AJ166,BX166-SUMPRODUCT(($T$2:$AK$2&lt;AJ$2)*($T166:$AK166))))</f>
      </c>
      <c r="BC166" s="0">
        <f>MAX(0,MIN(AK166,BX166-SUMPRODUCT(($T$2:$AK$2&lt;AK$2)*($T166:$AK166))))</f>
      </c>
      <c r="BD166" s="0">
        <f>T166-AL166</f>
      </c>
      <c r="BE166" s="0">
        <f>U166-AM166</f>
      </c>
      <c r="BF166" s="0">
        <f>V166-AN166</f>
      </c>
      <c r="BG166" s="0">
        <f>W166-AO166</f>
      </c>
      <c r="BH166" s="0">
        <f>X166-AP166</f>
      </c>
      <c r="BI166" s="0">
        <f>Y166-AQ166</f>
      </c>
      <c r="BJ166" s="0">
        <f>Z166-AR166</f>
      </c>
      <c r="BK166" s="0">
        <f>AA166-AS166</f>
      </c>
      <c r="BL166" s="0">
        <f>AB166-AT166</f>
      </c>
      <c r="BM166" s="0">
        <f>AC166-AU166</f>
      </c>
      <c r="BN166" s="0">
        <f>AD166-AV166</f>
      </c>
      <c r="BO166" s="0">
        <f>AE166-AW166</f>
      </c>
      <c r="BP166" s="0">
        <f>AF166-AX166</f>
      </c>
      <c r="BQ166" s="0">
        <f>AG166-AY166</f>
      </c>
      <c r="BR166" s="0">
        <f>AH166-AZ166</f>
      </c>
      <c r="BS166" s="0">
        <f>AI166-BA166</f>
      </c>
      <c r="BT166" s="0">
        <f>AJ166-BB166</f>
      </c>
      <c r="BU166" s="0">
        <f>AK166-BC166</f>
      </c>
      <c r="BV166" s="0">
        <f>SUM(B166:S166)</f>
      </c>
      <c r="BW166" s="0">
        <f>SUM(T166:AK166)</f>
      </c>
      <c r="BX166" s="0">
        <f>MAX(0,(SUM(Calculator!$E$11:$E$28)+Calculator!$C$6)-BV166+BW166)</f>
      </c>
      <c r="BY166" s="0">
        <f>SUM(BD166:BU166)</f>
      </c>
      <c r="BZ166" s="0">
        <f>BV166-BY165</f>
      </c>
      <c r="CA166" s="0">
        <f>IF(A166&lt;=IF($CD$1=0,999,$CD$1),BY166,NA())</f>
      </c>
      <c r="CB166" s="0">
        <f>IF(A166&lt;=IF($CD$1=0,999,$CD$1),A166,NA())</f>
      </c>
    </row>
    <row r="167">
      <c r="A167" s="0">
        <v>164</v>
      </c>
      <c r="B167" s="0">
        <f>BD166*(1+Calculator!$D$11/100/12)</f>
      </c>
      <c r="C167" s="0">
        <f>BE166*(1+Calculator!$D$12/100/12)</f>
      </c>
      <c r="D167" s="0">
        <f>BF166*(1+Calculator!$D$13/100/12)</f>
      </c>
      <c r="E167" s="0">
        <f>BG166*(1+Calculator!$D$14/100/12)</f>
      </c>
      <c r="F167" s="0">
        <f>BH166*(1+Calculator!$D$15/100/12)</f>
      </c>
      <c r="G167" s="0">
        <f>BI166*(1+Calculator!$D$16/100/12)</f>
      </c>
      <c r="H167" s="0">
        <f>BJ166*(1+Calculator!$D$17/100/12)</f>
      </c>
      <c r="I167" s="0">
        <f>BK166*(1+Calculator!$D$18/100/12)</f>
      </c>
      <c r="J167" s="0">
        <f>BL166*(1+Calculator!$D$19/100/12)</f>
      </c>
      <c r="K167" s="0">
        <f>BM166*(1+Calculator!$D$20/100/12)</f>
      </c>
      <c r="L167" s="0">
        <f>BN166*(1+Calculator!$D$21/100/12)</f>
      </c>
      <c r="M167" s="0">
        <f>BO166*(1+Calculator!$D$22/100/12)</f>
      </c>
      <c r="N167" s="0">
        <f>BP166*(1+Calculator!$D$23/100/12)</f>
      </c>
      <c r="O167" s="0">
        <f>BQ166*(1+Calculator!$D$24/100/12)</f>
      </c>
      <c r="P167" s="0">
        <f>BR166*(1+Calculator!$D$25/100/12)</f>
      </c>
      <c r="Q167" s="0">
        <f>BS166*(1+Calculator!$D$26/100/12)</f>
      </c>
      <c r="R167" s="0">
        <f>BT166*(1+Calculator!$D$27/100/12)</f>
      </c>
      <c r="S167" s="0">
        <f>BU166*(1+Calculator!$D$28/100/12)</f>
      </c>
      <c r="T167" s="0">
        <f>MAX(0,B167-Calculator!$E$11)</f>
      </c>
      <c r="U167" s="0">
        <f>MAX(0,C167-Calculator!$E$12)</f>
      </c>
      <c r="V167" s="0">
        <f>MAX(0,D167-Calculator!$E$13)</f>
      </c>
      <c r="W167" s="0">
        <f>MAX(0,E167-Calculator!$E$14)</f>
      </c>
      <c r="X167" s="0">
        <f>MAX(0,F167-Calculator!$E$15)</f>
      </c>
      <c r="Y167" s="0">
        <f>MAX(0,G167-Calculator!$E$16)</f>
      </c>
      <c r="Z167" s="0">
        <f>MAX(0,H167-Calculator!$E$17)</f>
      </c>
      <c r="AA167" s="0">
        <f>MAX(0,I167-Calculator!$E$18)</f>
      </c>
      <c r="AB167" s="0">
        <f>MAX(0,J167-Calculator!$E$19)</f>
      </c>
      <c r="AC167" s="0">
        <f>MAX(0,K167-Calculator!$E$20)</f>
      </c>
      <c r="AD167" s="0">
        <f>MAX(0,L167-Calculator!$E$21)</f>
      </c>
      <c r="AE167" s="0">
        <f>MAX(0,M167-Calculator!$E$22)</f>
      </c>
      <c r="AF167" s="0">
        <f>MAX(0,N167-Calculator!$E$23)</f>
      </c>
      <c r="AG167" s="0">
        <f>MAX(0,O167-Calculator!$E$24)</f>
      </c>
      <c r="AH167" s="0">
        <f>MAX(0,P167-Calculator!$E$25)</f>
      </c>
      <c r="AI167" s="0">
        <f>MAX(0,Q167-Calculator!$E$26)</f>
      </c>
      <c r="AJ167" s="0">
        <f>MAX(0,R167-Calculator!$E$27)</f>
      </c>
      <c r="AK167" s="0">
        <f>MAX(0,S167-Calculator!$E$28)</f>
      </c>
      <c r="AL167" s="0">
        <f>MAX(0,MIN(T167,BX167-SUMPRODUCT(($T$2:$AK$2&lt;T$2)*($T167:$AK167))))</f>
      </c>
      <c r="AM167" s="0">
        <f>MAX(0,MIN(U167,BX167-SUMPRODUCT(($T$2:$AK$2&lt;U$2)*($T167:$AK167))))</f>
      </c>
      <c r="AN167" s="0">
        <f>MAX(0,MIN(V167,BX167-SUMPRODUCT(($T$2:$AK$2&lt;V$2)*($T167:$AK167))))</f>
      </c>
      <c r="AO167" s="0">
        <f>MAX(0,MIN(W167,BX167-SUMPRODUCT(($T$2:$AK$2&lt;W$2)*($T167:$AK167))))</f>
      </c>
      <c r="AP167" s="0">
        <f>MAX(0,MIN(X167,BX167-SUMPRODUCT(($T$2:$AK$2&lt;X$2)*($T167:$AK167))))</f>
      </c>
      <c r="AQ167" s="0">
        <f>MAX(0,MIN(Y167,BX167-SUMPRODUCT(($T$2:$AK$2&lt;Y$2)*($T167:$AK167))))</f>
      </c>
      <c r="AR167" s="0">
        <f>MAX(0,MIN(Z167,BX167-SUMPRODUCT(($T$2:$AK$2&lt;Z$2)*($T167:$AK167))))</f>
      </c>
      <c r="AS167" s="0">
        <f>MAX(0,MIN(AA167,BX167-SUMPRODUCT(($T$2:$AK$2&lt;AA$2)*($T167:$AK167))))</f>
      </c>
      <c r="AT167" s="0">
        <f>MAX(0,MIN(AB167,BX167-SUMPRODUCT(($T$2:$AK$2&lt;AB$2)*($T167:$AK167))))</f>
      </c>
      <c r="AU167" s="0">
        <f>MAX(0,MIN(AC167,BX167-SUMPRODUCT(($T$2:$AK$2&lt;AC$2)*($T167:$AK167))))</f>
      </c>
      <c r="AV167" s="0">
        <f>MAX(0,MIN(AD167,BX167-SUMPRODUCT(($T$2:$AK$2&lt;AD$2)*($T167:$AK167))))</f>
      </c>
      <c r="AW167" s="0">
        <f>MAX(0,MIN(AE167,BX167-SUMPRODUCT(($T$2:$AK$2&lt;AE$2)*($T167:$AK167))))</f>
      </c>
      <c r="AX167" s="0">
        <f>MAX(0,MIN(AF167,BX167-SUMPRODUCT(($T$2:$AK$2&lt;AF$2)*($T167:$AK167))))</f>
      </c>
      <c r="AY167" s="0">
        <f>MAX(0,MIN(AG167,BX167-SUMPRODUCT(($T$2:$AK$2&lt;AG$2)*($T167:$AK167))))</f>
      </c>
      <c r="AZ167" s="0">
        <f>MAX(0,MIN(AH167,BX167-SUMPRODUCT(($T$2:$AK$2&lt;AH$2)*($T167:$AK167))))</f>
      </c>
      <c r="BA167" s="0">
        <f>MAX(0,MIN(AI167,BX167-SUMPRODUCT(($T$2:$AK$2&lt;AI$2)*($T167:$AK167))))</f>
      </c>
      <c r="BB167" s="0">
        <f>MAX(0,MIN(AJ167,BX167-SUMPRODUCT(($T$2:$AK$2&lt;AJ$2)*($T167:$AK167))))</f>
      </c>
      <c r="BC167" s="0">
        <f>MAX(0,MIN(AK167,BX167-SUMPRODUCT(($T$2:$AK$2&lt;AK$2)*($T167:$AK167))))</f>
      </c>
      <c r="BD167" s="0">
        <f>T167-AL167</f>
      </c>
      <c r="BE167" s="0">
        <f>U167-AM167</f>
      </c>
      <c r="BF167" s="0">
        <f>V167-AN167</f>
      </c>
      <c r="BG167" s="0">
        <f>W167-AO167</f>
      </c>
      <c r="BH167" s="0">
        <f>X167-AP167</f>
      </c>
      <c r="BI167" s="0">
        <f>Y167-AQ167</f>
      </c>
      <c r="BJ167" s="0">
        <f>Z167-AR167</f>
      </c>
      <c r="BK167" s="0">
        <f>AA167-AS167</f>
      </c>
      <c r="BL167" s="0">
        <f>AB167-AT167</f>
      </c>
      <c r="BM167" s="0">
        <f>AC167-AU167</f>
      </c>
      <c r="BN167" s="0">
        <f>AD167-AV167</f>
      </c>
      <c r="BO167" s="0">
        <f>AE167-AW167</f>
      </c>
      <c r="BP167" s="0">
        <f>AF167-AX167</f>
      </c>
      <c r="BQ167" s="0">
        <f>AG167-AY167</f>
      </c>
      <c r="BR167" s="0">
        <f>AH167-AZ167</f>
      </c>
      <c r="BS167" s="0">
        <f>AI167-BA167</f>
      </c>
      <c r="BT167" s="0">
        <f>AJ167-BB167</f>
      </c>
      <c r="BU167" s="0">
        <f>AK167-BC167</f>
      </c>
      <c r="BV167" s="0">
        <f>SUM(B167:S167)</f>
      </c>
      <c r="BW167" s="0">
        <f>SUM(T167:AK167)</f>
      </c>
      <c r="BX167" s="0">
        <f>MAX(0,(SUM(Calculator!$E$11:$E$28)+Calculator!$C$6)-BV167+BW167)</f>
      </c>
      <c r="BY167" s="0">
        <f>SUM(BD167:BU167)</f>
      </c>
      <c r="BZ167" s="0">
        <f>BV167-BY166</f>
      </c>
      <c r="CA167" s="0">
        <f>IF(A167&lt;=IF($CD$1=0,999,$CD$1),BY167,NA())</f>
      </c>
      <c r="CB167" s="0">
        <f>IF(A167&lt;=IF($CD$1=0,999,$CD$1),A167,NA())</f>
      </c>
    </row>
    <row r="168">
      <c r="A168" s="0">
        <v>165</v>
      </c>
      <c r="B168" s="0">
        <f>BD167*(1+Calculator!$D$11/100/12)</f>
      </c>
      <c r="C168" s="0">
        <f>BE167*(1+Calculator!$D$12/100/12)</f>
      </c>
      <c r="D168" s="0">
        <f>BF167*(1+Calculator!$D$13/100/12)</f>
      </c>
      <c r="E168" s="0">
        <f>BG167*(1+Calculator!$D$14/100/12)</f>
      </c>
      <c r="F168" s="0">
        <f>BH167*(1+Calculator!$D$15/100/12)</f>
      </c>
      <c r="G168" s="0">
        <f>BI167*(1+Calculator!$D$16/100/12)</f>
      </c>
      <c r="H168" s="0">
        <f>BJ167*(1+Calculator!$D$17/100/12)</f>
      </c>
      <c r="I168" s="0">
        <f>BK167*(1+Calculator!$D$18/100/12)</f>
      </c>
      <c r="J168" s="0">
        <f>BL167*(1+Calculator!$D$19/100/12)</f>
      </c>
      <c r="K168" s="0">
        <f>BM167*(1+Calculator!$D$20/100/12)</f>
      </c>
      <c r="L168" s="0">
        <f>BN167*(1+Calculator!$D$21/100/12)</f>
      </c>
      <c r="M168" s="0">
        <f>BO167*(1+Calculator!$D$22/100/12)</f>
      </c>
      <c r="N168" s="0">
        <f>BP167*(1+Calculator!$D$23/100/12)</f>
      </c>
      <c r="O168" s="0">
        <f>BQ167*(1+Calculator!$D$24/100/12)</f>
      </c>
      <c r="P168" s="0">
        <f>BR167*(1+Calculator!$D$25/100/12)</f>
      </c>
      <c r="Q168" s="0">
        <f>BS167*(1+Calculator!$D$26/100/12)</f>
      </c>
      <c r="R168" s="0">
        <f>BT167*(1+Calculator!$D$27/100/12)</f>
      </c>
      <c r="S168" s="0">
        <f>BU167*(1+Calculator!$D$28/100/12)</f>
      </c>
      <c r="T168" s="0">
        <f>MAX(0,B168-Calculator!$E$11)</f>
      </c>
      <c r="U168" s="0">
        <f>MAX(0,C168-Calculator!$E$12)</f>
      </c>
      <c r="V168" s="0">
        <f>MAX(0,D168-Calculator!$E$13)</f>
      </c>
      <c r="W168" s="0">
        <f>MAX(0,E168-Calculator!$E$14)</f>
      </c>
      <c r="X168" s="0">
        <f>MAX(0,F168-Calculator!$E$15)</f>
      </c>
      <c r="Y168" s="0">
        <f>MAX(0,G168-Calculator!$E$16)</f>
      </c>
      <c r="Z168" s="0">
        <f>MAX(0,H168-Calculator!$E$17)</f>
      </c>
      <c r="AA168" s="0">
        <f>MAX(0,I168-Calculator!$E$18)</f>
      </c>
      <c r="AB168" s="0">
        <f>MAX(0,J168-Calculator!$E$19)</f>
      </c>
      <c r="AC168" s="0">
        <f>MAX(0,K168-Calculator!$E$20)</f>
      </c>
      <c r="AD168" s="0">
        <f>MAX(0,L168-Calculator!$E$21)</f>
      </c>
      <c r="AE168" s="0">
        <f>MAX(0,M168-Calculator!$E$22)</f>
      </c>
      <c r="AF168" s="0">
        <f>MAX(0,N168-Calculator!$E$23)</f>
      </c>
      <c r="AG168" s="0">
        <f>MAX(0,O168-Calculator!$E$24)</f>
      </c>
      <c r="AH168" s="0">
        <f>MAX(0,P168-Calculator!$E$25)</f>
      </c>
      <c r="AI168" s="0">
        <f>MAX(0,Q168-Calculator!$E$26)</f>
      </c>
      <c r="AJ168" s="0">
        <f>MAX(0,R168-Calculator!$E$27)</f>
      </c>
      <c r="AK168" s="0">
        <f>MAX(0,S168-Calculator!$E$28)</f>
      </c>
      <c r="AL168" s="0">
        <f>MAX(0,MIN(T168,BX168-SUMPRODUCT(($T$2:$AK$2&lt;T$2)*($T168:$AK168))))</f>
      </c>
      <c r="AM168" s="0">
        <f>MAX(0,MIN(U168,BX168-SUMPRODUCT(($T$2:$AK$2&lt;U$2)*($T168:$AK168))))</f>
      </c>
      <c r="AN168" s="0">
        <f>MAX(0,MIN(V168,BX168-SUMPRODUCT(($T$2:$AK$2&lt;V$2)*($T168:$AK168))))</f>
      </c>
      <c r="AO168" s="0">
        <f>MAX(0,MIN(W168,BX168-SUMPRODUCT(($T$2:$AK$2&lt;W$2)*($T168:$AK168))))</f>
      </c>
      <c r="AP168" s="0">
        <f>MAX(0,MIN(X168,BX168-SUMPRODUCT(($T$2:$AK$2&lt;X$2)*($T168:$AK168))))</f>
      </c>
      <c r="AQ168" s="0">
        <f>MAX(0,MIN(Y168,BX168-SUMPRODUCT(($T$2:$AK$2&lt;Y$2)*($T168:$AK168))))</f>
      </c>
      <c r="AR168" s="0">
        <f>MAX(0,MIN(Z168,BX168-SUMPRODUCT(($T$2:$AK$2&lt;Z$2)*($T168:$AK168))))</f>
      </c>
      <c r="AS168" s="0">
        <f>MAX(0,MIN(AA168,BX168-SUMPRODUCT(($T$2:$AK$2&lt;AA$2)*($T168:$AK168))))</f>
      </c>
      <c r="AT168" s="0">
        <f>MAX(0,MIN(AB168,BX168-SUMPRODUCT(($T$2:$AK$2&lt;AB$2)*($T168:$AK168))))</f>
      </c>
      <c r="AU168" s="0">
        <f>MAX(0,MIN(AC168,BX168-SUMPRODUCT(($T$2:$AK$2&lt;AC$2)*($T168:$AK168))))</f>
      </c>
      <c r="AV168" s="0">
        <f>MAX(0,MIN(AD168,BX168-SUMPRODUCT(($T$2:$AK$2&lt;AD$2)*($T168:$AK168))))</f>
      </c>
      <c r="AW168" s="0">
        <f>MAX(0,MIN(AE168,BX168-SUMPRODUCT(($T$2:$AK$2&lt;AE$2)*($T168:$AK168))))</f>
      </c>
      <c r="AX168" s="0">
        <f>MAX(0,MIN(AF168,BX168-SUMPRODUCT(($T$2:$AK$2&lt;AF$2)*($T168:$AK168))))</f>
      </c>
      <c r="AY168" s="0">
        <f>MAX(0,MIN(AG168,BX168-SUMPRODUCT(($T$2:$AK$2&lt;AG$2)*($T168:$AK168))))</f>
      </c>
      <c r="AZ168" s="0">
        <f>MAX(0,MIN(AH168,BX168-SUMPRODUCT(($T$2:$AK$2&lt;AH$2)*($T168:$AK168))))</f>
      </c>
      <c r="BA168" s="0">
        <f>MAX(0,MIN(AI168,BX168-SUMPRODUCT(($T$2:$AK$2&lt;AI$2)*($T168:$AK168))))</f>
      </c>
      <c r="BB168" s="0">
        <f>MAX(0,MIN(AJ168,BX168-SUMPRODUCT(($T$2:$AK$2&lt;AJ$2)*($T168:$AK168))))</f>
      </c>
      <c r="BC168" s="0">
        <f>MAX(0,MIN(AK168,BX168-SUMPRODUCT(($T$2:$AK$2&lt;AK$2)*($T168:$AK168))))</f>
      </c>
      <c r="BD168" s="0">
        <f>T168-AL168</f>
      </c>
      <c r="BE168" s="0">
        <f>U168-AM168</f>
      </c>
      <c r="BF168" s="0">
        <f>V168-AN168</f>
      </c>
      <c r="BG168" s="0">
        <f>W168-AO168</f>
      </c>
      <c r="BH168" s="0">
        <f>X168-AP168</f>
      </c>
      <c r="BI168" s="0">
        <f>Y168-AQ168</f>
      </c>
      <c r="BJ168" s="0">
        <f>Z168-AR168</f>
      </c>
      <c r="BK168" s="0">
        <f>AA168-AS168</f>
      </c>
      <c r="BL168" s="0">
        <f>AB168-AT168</f>
      </c>
      <c r="BM168" s="0">
        <f>AC168-AU168</f>
      </c>
      <c r="BN168" s="0">
        <f>AD168-AV168</f>
      </c>
      <c r="BO168" s="0">
        <f>AE168-AW168</f>
      </c>
      <c r="BP168" s="0">
        <f>AF168-AX168</f>
      </c>
      <c r="BQ168" s="0">
        <f>AG168-AY168</f>
      </c>
      <c r="BR168" s="0">
        <f>AH168-AZ168</f>
      </c>
      <c r="BS168" s="0">
        <f>AI168-BA168</f>
      </c>
      <c r="BT168" s="0">
        <f>AJ168-BB168</f>
      </c>
      <c r="BU168" s="0">
        <f>AK168-BC168</f>
      </c>
      <c r="BV168" s="0">
        <f>SUM(B168:S168)</f>
      </c>
      <c r="BW168" s="0">
        <f>SUM(T168:AK168)</f>
      </c>
      <c r="BX168" s="0">
        <f>MAX(0,(SUM(Calculator!$E$11:$E$28)+Calculator!$C$6)-BV168+BW168)</f>
      </c>
      <c r="BY168" s="0">
        <f>SUM(BD168:BU168)</f>
      </c>
      <c r="BZ168" s="0">
        <f>BV168-BY167</f>
      </c>
      <c r="CA168" s="0">
        <f>IF(A168&lt;=IF($CD$1=0,999,$CD$1),BY168,NA())</f>
      </c>
      <c r="CB168" s="0">
        <f>IF(A168&lt;=IF($CD$1=0,999,$CD$1),A168,NA())</f>
      </c>
    </row>
    <row r="169">
      <c r="A169" s="0">
        <v>166</v>
      </c>
      <c r="B169" s="0">
        <f>BD168*(1+Calculator!$D$11/100/12)</f>
      </c>
      <c r="C169" s="0">
        <f>BE168*(1+Calculator!$D$12/100/12)</f>
      </c>
      <c r="D169" s="0">
        <f>BF168*(1+Calculator!$D$13/100/12)</f>
      </c>
      <c r="E169" s="0">
        <f>BG168*(1+Calculator!$D$14/100/12)</f>
      </c>
      <c r="F169" s="0">
        <f>BH168*(1+Calculator!$D$15/100/12)</f>
      </c>
      <c r="G169" s="0">
        <f>BI168*(1+Calculator!$D$16/100/12)</f>
      </c>
      <c r="H169" s="0">
        <f>BJ168*(1+Calculator!$D$17/100/12)</f>
      </c>
      <c r="I169" s="0">
        <f>BK168*(1+Calculator!$D$18/100/12)</f>
      </c>
      <c r="J169" s="0">
        <f>BL168*(1+Calculator!$D$19/100/12)</f>
      </c>
      <c r="K169" s="0">
        <f>BM168*(1+Calculator!$D$20/100/12)</f>
      </c>
      <c r="L169" s="0">
        <f>BN168*(1+Calculator!$D$21/100/12)</f>
      </c>
      <c r="M169" s="0">
        <f>BO168*(1+Calculator!$D$22/100/12)</f>
      </c>
      <c r="N169" s="0">
        <f>BP168*(1+Calculator!$D$23/100/12)</f>
      </c>
      <c r="O169" s="0">
        <f>BQ168*(1+Calculator!$D$24/100/12)</f>
      </c>
      <c r="P169" s="0">
        <f>BR168*(1+Calculator!$D$25/100/12)</f>
      </c>
      <c r="Q169" s="0">
        <f>BS168*(1+Calculator!$D$26/100/12)</f>
      </c>
      <c r="R169" s="0">
        <f>BT168*(1+Calculator!$D$27/100/12)</f>
      </c>
      <c r="S169" s="0">
        <f>BU168*(1+Calculator!$D$28/100/12)</f>
      </c>
      <c r="T169" s="0">
        <f>MAX(0,B169-Calculator!$E$11)</f>
      </c>
      <c r="U169" s="0">
        <f>MAX(0,C169-Calculator!$E$12)</f>
      </c>
      <c r="V169" s="0">
        <f>MAX(0,D169-Calculator!$E$13)</f>
      </c>
      <c r="W169" s="0">
        <f>MAX(0,E169-Calculator!$E$14)</f>
      </c>
      <c r="X169" s="0">
        <f>MAX(0,F169-Calculator!$E$15)</f>
      </c>
      <c r="Y169" s="0">
        <f>MAX(0,G169-Calculator!$E$16)</f>
      </c>
      <c r="Z169" s="0">
        <f>MAX(0,H169-Calculator!$E$17)</f>
      </c>
      <c r="AA169" s="0">
        <f>MAX(0,I169-Calculator!$E$18)</f>
      </c>
      <c r="AB169" s="0">
        <f>MAX(0,J169-Calculator!$E$19)</f>
      </c>
      <c r="AC169" s="0">
        <f>MAX(0,K169-Calculator!$E$20)</f>
      </c>
      <c r="AD169" s="0">
        <f>MAX(0,L169-Calculator!$E$21)</f>
      </c>
      <c r="AE169" s="0">
        <f>MAX(0,M169-Calculator!$E$22)</f>
      </c>
      <c r="AF169" s="0">
        <f>MAX(0,N169-Calculator!$E$23)</f>
      </c>
      <c r="AG169" s="0">
        <f>MAX(0,O169-Calculator!$E$24)</f>
      </c>
      <c r="AH169" s="0">
        <f>MAX(0,P169-Calculator!$E$25)</f>
      </c>
      <c r="AI169" s="0">
        <f>MAX(0,Q169-Calculator!$E$26)</f>
      </c>
      <c r="AJ169" s="0">
        <f>MAX(0,R169-Calculator!$E$27)</f>
      </c>
      <c r="AK169" s="0">
        <f>MAX(0,S169-Calculator!$E$28)</f>
      </c>
      <c r="AL169" s="0">
        <f>MAX(0,MIN(T169,BX169-SUMPRODUCT(($T$2:$AK$2&lt;T$2)*($T169:$AK169))))</f>
      </c>
      <c r="AM169" s="0">
        <f>MAX(0,MIN(U169,BX169-SUMPRODUCT(($T$2:$AK$2&lt;U$2)*($T169:$AK169))))</f>
      </c>
      <c r="AN169" s="0">
        <f>MAX(0,MIN(V169,BX169-SUMPRODUCT(($T$2:$AK$2&lt;V$2)*($T169:$AK169))))</f>
      </c>
      <c r="AO169" s="0">
        <f>MAX(0,MIN(W169,BX169-SUMPRODUCT(($T$2:$AK$2&lt;W$2)*($T169:$AK169))))</f>
      </c>
      <c r="AP169" s="0">
        <f>MAX(0,MIN(X169,BX169-SUMPRODUCT(($T$2:$AK$2&lt;X$2)*($T169:$AK169))))</f>
      </c>
      <c r="AQ169" s="0">
        <f>MAX(0,MIN(Y169,BX169-SUMPRODUCT(($T$2:$AK$2&lt;Y$2)*($T169:$AK169))))</f>
      </c>
      <c r="AR169" s="0">
        <f>MAX(0,MIN(Z169,BX169-SUMPRODUCT(($T$2:$AK$2&lt;Z$2)*($T169:$AK169))))</f>
      </c>
      <c r="AS169" s="0">
        <f>MAX(0,MIN(AA169,BX169-SUMPRODUCT(($T$2:$AK$2&lt;AA$2)*($T169:$AK169))))</f>
      </c>
      <c r="AT169" s="0">
        <f>MAX(0,MIN(AB169,BX169-SUMPRODUCT(($T$2:$AK$2&lt;AB$2)*($T169:$AK169))))</f>
      </c>
      <c r="AU169" s="0">
        <f>MAX(0,MIN(AC169,BX169-SUMPRODUCT(($T$2:$AK$2&lt;AC$2)*($T169:$AK169))))</f>
      </c>
      <c r="AV169" s="0">
        <f>MAX(0,MIN(AD169,BX169-SUMPRODUCT(($T$2:$AK$2&lt;AD$2)*($T169:$AK169))))</f>
      </c>
      <c r="AW169" s="0">
        <f>MAX(0,MIN(AE169,BX169-SUMPRODUCT(($T$2:$AK$2&lt;AE$2)*($T169:$AK169))))</f>
      </c>
      <c r="AX169" s="0">
        <f>MAX(0,MIN(AF169,BX169-SUMPRODUCT(($T$2:$AK$2&lt;AF$2)*($T169:$AK169))))</f>
      </c>
      <c r="AY169" s="0">
        <f>MAX(0,MIN(AG169,BX169-SUMPRODUCT(($T$2:$AK$2&lt;AG$2)*($T169:$AK169))))</f>
      </c>
      <c r="AZ169" s="0">
        <f>MAX(0,MIN(AH169,BX169-SUMPRODUCT(($T$2:$AK$2&lt;AH$2)*($T169:$AK169))))</f>
      </c>
      <c r="BA169" s="0">
        <f>MAX(0,MIN(AI169,BX169-SUMPRODUCT(($T$2:$AK$2&lt;AI$2)*($T169:$AK169))))</f>
      </c>
      <c r="BB169" s="0">
        <f>MAX(0,MIN(AJ169,BX169-SUMPRODUCT(($T$2:$AK$2&lt;AJ$2)*($T169:$AK169))))</f>
      </c>
      <c r="BC169" s="0">
        <f>MAX(0,MIN(AK169,BX169-SUMPRODUCT(($T$2:$AK$2&lt;AK$2)*($T169:$AK169))))</f>
      </c>
      <c r="BD169" s="0">
        <f>T169-AL169</f>
      </c>
      <c r="BE169" s="0">
        <f>U169-AM169</f>
      </c>
      <c r="BF169" s="0">
        <f>V169-AN169</f>
      </c>
      <c r="BG169" s="0">
        <f>W169-AO169</f>
      </c>
      <c r="BH169" s="0">
        <f>X169-AP169</f>
      </c>
      <c r="BI169" s="0">
        <f>Y169-AQ169</f>
      </c>
      <c r="BJ169" s="0">
        <f>Z169-AR169</f>
      </c>
      <c r="BK169" s="0">
        <f>AA169-AS169</f>
      </c>
      <c r="BL169" s="0">
        <f>AB169-AT169</f>
      </c>
      <c r="BM169" s="0">
        <f>AC169-AU169</f>
      </c>
      <c r="BN169" s="0">
        <f>AD169-AV169</f>
      </c>
      <c r="BO169" s="0">
        <f>AE169-AW169</f>
      </c>
      <c r="BP169" s="0">
        <f>AF169-AX169</f>
      </c>
      <c r="BQ169" s="0">
        <f>AG169-AY169</f>
      </c>
      <c r="BR169" s="0">
        <f>AH169-AZ169</f>
      </c>
      <c r="BS169" s="0">
        <f>AI169-BA169</f>
      </c>
      <c r="BT169" s="0">
        <f>AJ169-BB169</f>
      </c>
      <c r="BU169" s="0">
        <f>AK169-BC169</f>
      </c>
      <c r="BV169" s="0">
        <f>SUM(B169:S169)</f>
      </c>
      <c r="BW169" s="0">
        <f>SUM(T169:AK169)</f>
      </c>
      <c r="BX169" s="0">
        <f>MAX(0,(SUM(Calculator!$E$11:$E$28)+Calculator!$C$6)-BV169+BW169)</f>
      </c>
      <c r="BY169" s="0">
        <f>SUM(BD169:BU169)</f>
      </c>
      <c r="BZ169" s="0">
        <f>BV169-BY168</f>
      </c>
      <c r="CA169" s="0">
        <f>IF(A169&lt;=IF($CD$1=0,999,$CD$1),BY169,NA())</f>
      </c>
      <c r="CB169" s="0">
        <f>IF(A169&lt;=IF($CD$1=0,999,$CD$1),A169,NA())</f>
      </c>
    </row>
    <row r="170">
      <c r="A170" s="0">
        <v>167</v>
      </c>
      <c r="B170" s="0">
        <f>BD169*(1+Calculator!$D$11/100/12)</f>
      </c>
      <c r="C170" s="0">
        <f>BE169*(1+Calculator!$D$12/100/12)</f>
      </c>
      <c r="D170" s="0">
        <f>BF169*(1+Calculator!$D$13/100/12)</f>
      </c>
      <c r="E170" s="0">
        <f>BG169*(1+Calculator!$D$14/100/12)</f>
      </c>
      <c r="F170" s="0">
        <f>BH169*(1+Calculator!$D$15/100/12)</f>
      </c>
      <c r="G170" s="0">
        <f>BI169*(1+Calculator!$D$16/100/12)</f>
      </c>
      <c r="H170" s="0">
        <f>BJ169*(1+Calculator!$D$17/100/12)</f>
      </c>
      <c r="I170" s="0">
        <f>BK169*(1+Calculator!$D$18/100/12)</f>
      </c>
      <c r="J170" s="0">
        <f>BL169*(1+Calculator!$D$19/100/12)</f>
      </c>
      <c r="K170" s="0">
        <f>BM169*(1+Calculator!$D$20/100/12)</f>
      </c>
      <c r="L170" s="0">
        <f>BN169*(1+Calculator!$D$21/100/12)</f>
      </c>
      <c r="M170" s="0">
        <f>BO169*(1+Calculator!$D$22/100/12)</f>
      </c>
      <c r="N170" s="0">
        <f>BP169*(1+Calculator!$D$23/100/12)</f>
      </c>
      <c r="O170" s="0">
        <f>BQ169*(1+Calculator!$D$24/100/12)</f>
      </c>
      <c r="P170" s="0">
        <f>BR169*(1+Calculator!$D$25/100/12)</f>
      </c>
      <c r="Q170" s="0">
        <f>BS169*(1+Calculator!$D$26/100/12)</f>
      </c>
      <c r="R170" s="0">
        <f>BT169*(1+Calculator!$D$27/100/12)</f>
      </c>
      <c r="S170" s="0">
        <f>BU169*(1+Calculator!$D$28/100/12)</f>
      </c>
      <c r="T170" s="0">
        <f>MAX(0,B170-Calculator!$E$11)</f>
      </c>
      <c r="U170" s="0">
        <f>MAX(0,C170-Calculator!$E$12)</f>
      </c>
      <c r="V170" s="0">
        <f>MAX(0,D170-Calculator!$E$13)</f>
      </c>
      <c r="W170" s="0">
        <f>MAX(0,E170-Calculator!$E$14)</f>
      </c>
      <c r="X170" s="0">
        <f>MAX(0,F170-Calculator!$E$15)</f>
      </c>
      <c r="Y170" s="0">
        <f>MAX(0,G170-Calculator!$E$16)</f>
      </c>
      <c r="Z170" s="0">
        <f>MAX(0,H170-Calculator!$E$17)</f>
      </c>
      <c r="AA170" s="0">
        <f>MAX(0,I170-Calculator!$E$18)</f>
      </c>
      <c r="AB170" s="0">
        <f>MAX(0,J170-Calculator!$E$19)</f>
      </c>
      <c r="AC170" s="0">
        <f>MAX(0,K170-Calculator!$E$20)</f>
      </c>
      <c r="AD170" s="0">
        <f>MAX(0,L170-Calculator!$E$21)</f>
      </c>
      <c r="AE170" s="0">
        <f>MAX(0,M170-Calculator!$E$22)</f>
      </c>
      <c r="AF170" s="0">
        <f>MAX(0,N170-Calculator!$E$23)</f>
      </c>
      <c r="AG170" s="0">
        <f>MAX(0,O170-Calculator!$E$24)</f>
      </c>
      <c r="AH170" s="0">
        <f>MAX(0,P170-Calculator!$E$25)</f>
      </c>
      <c r="AI170" s="0">
        <f>MAX(0,Q170-Calculator!$E$26)</f>
      </c>
      <c r="AJ170" s="0">
        <f>MAX(0,R170-Calculator!$E$27)</f>
      </c>
      <c r="AK170" s="0">
        <f>MAX(0,S170-Calculator!$E$28)</f>
      </c>
      <c r="AL170" s="0">
        <f>MAX(0,MIN(T170,BX170-SUMPRODUCT(($T$2:$AK$2&lt;T$2)*($T170:$AK170))))</f>
      </c>
      <c r="AM170" s="0">
        <f>MAX(0,MIN(U170,BX170-SUMPRODUCT(($T$2:$AK$2&lt;U$2)*($T170:$AK170))))</f>
      </c>
      <c r="AN170" s="0">
        <f>MAX(0,MIN(V170,BX170-SUMPRODUCT(($T$2:$AK$2&lt;V$2)*($T170:$AK170))))</f>
      </c>
      <c r="AO170" s="0">
        <f>MAX(0,MIN(W170,BX170-SUMPRODUCT(($T$2:$AK$2&lt;W$2)*($T170:$AK170))))</f>
      </c>
      <c r="AP170" s="0">
        <f>MAX(0,MIN(X170,BX170-SUMPRODUCT(($T$2:$AK$2&lt;X$2)*($T170:$AK170))))</f>
      </c>
      <c r="AQ170" s="0">
        <f>MAX(0,MIN(Y170,BX170-SUMPRODUCT(($T$2:$AK$2&lt;Y$2)*($T170:$AK170))))</f>
      </c>
      <c r="AR170" s="0">
        <f>MAX(0,MIN(Z170,BX170-SUMPRODUCT(($T$2:$AK$2&lt;Z$2)*($T170:$AK170))))</f>
      </c>
      <c r="AS170" s="0">
        <f>MAX(0,MIN(AA170,BX170-SUMPRODUCT(($T$2:$AK$2&lt;AA$2)*($T170:$AK170))))</f>
      </c>
      <c r="AT170" s="0">
        <f>MAX(0,MIN(AB170,BX170-SUMPRODUCT(($T$2:$AK$2&lt;AB$2)*($T170:$AK170))))</f>
      </c>
      <c r="AU170" s="0">
        <f>MAX(0,MIN(AC170,BX170-SUMPRODUCT(($T$2:$AK$2&lt;AC$2)*($T170:$AK170))))</f>
      </c>
      <c r="AV170" s="0">
        <f>MAX(0,MIN(AD170,BX170-SUMPRODUCT(($T$2:$AK$2&lt;AD$2)*($T170:$AK170))))</f>
      </c>
      <c r="AW170" s="0">
        <f>MAX(0,MIN(AE170,BX170-SUMPRODUCT(($T$2:$AK$2&lt;AE$2)*($T170:$AK170))))</f>
      </c>
      <c r="AX170" s="0">
        <f>MAX(0,MIN(AF170,BX170-SUMPRODUCT(($T$2:$AK$2&lt;AF$2)*($T170:$AK170))))</f>
      </c>
      <c r="AY170" s="0">
        <f>MAX(0,MIN(AG170,BX170-SUMPRODUCT(($T$2:$AK$2&lt;AG$2)*($T170:$AK170))))</f>
      </c>
      <c r="AZ170" s="0">
        <f>MAX(0,MIN(AH170,BX170-SUMPRODUCT(($T$2:$AK$2&lt;AH$2)*($T170:$AK170))))</f>
      </c>
      <c r="BA170" s="0">
        <f>MAX(0,MIN(AI170,BX170-SUMPRODUCT(($T$2:$AK$2&lt;AI$2)*($T170:$AK170))))</f>
      </c>
      <c r="BB170" s="0">
        <f>MAX(0,MIN(AJ170,BX170-SUMPRODUCT(($T$2:$AK$2&lt;AJ$2)*($T170:$AK170))))</f>
      </c>
      <c r="BC170" s="0">
        <f>MAX(0,MIN(AK170,BX170-SUMPRODUCT(($T$2:$AK$2&lt;AK$2)*($T170:$AK170))))</f>
      </c>
      <c r="BD170" s="0">
        <f>T170-AL170</f>
      </c>
      <c r="BE170" s="0">
        <f>U170-AM170</f>
      </c>
      <c r="BF170" s="0">
        <f>V170-AN170</f>
      </c>
      <c r="BG170" s="0">
        <f>W170-AO170</f>
      </c>
      <c r="BH170" s="0">
        <f>X170-AP170</f>
      </c>
      <c r="BI170" s="0">
        <f>Y170-AQ170</f>
      </c>
      <c r="BJ170" s="0">
        <f>Z170-AR170</f>
      </c>
      <c r="BK170" s="0">
        <f>AA170-AS170</f>
      </c>
      <c r="BL170" s="0">
        <f>AB170-AT170</f>
      </c>
      <c r="BM170" s="0">
        <f>AC170-AU170</f>
      </c>
      <c r="BN170" s="0">
        <f>AD170-AV170</f>
      </c>
      <c r="BO170" s="0">
        <f>AE170-AW170</f>
      </c>
      <c r="BP170" s="0">
        <f>AF170-AX170</f>
      </c>
      <c r="BQ170" s="0">
        <f>AG170-AY170</f>
      </c>
      <c r="BR170" s="0">
        <f>AH170-AZ170</f>
      </c>
      <c r="BS170" s="0">
        <f>AI170-BA170</f>
      </c>
      <c r="BT170" s="0">
        <f>AJ170-BB170</f>
      </c>
      <c r="BU170" s="0">
        <f>AK170-BC170</f>
      </c>
      <c r="BV170" s="0">
        <f>SUM(B170:S170)</f>
      </c>
      <c r="BW170" s="0">
        <f>SUM(T170:AK170)</f>
      </c>
      <c r="BX170" s="0">
        <f>MAX(0,(SUM(Calculator!$E$11:$E$28)+Calculator!$C$6)-BV170+BW170)</f>
      </c>
      <c r="BY170" s="0">
        <f>SUM(BD170:BU170)</f>
      </c>
      <c r="BZ170" s="0">
        <f>BV170-BY169</f>
      </c>
      <c r="CA170" s="0">
        <f>IF(A170&lt;=IF($CD$1=0,999,$CD$1),BY170,NA())</f>
      </c>
      <c r="CB170" s="0">
        <f>IF(A170&lt;=IF($CD$1=0,999,$CD$1),A170,NA())</f>
      </c>
    </row>
    <row r="171">
      <c r="A171" s="0">
        <v>168</v>
      </c>
      <c r="B171" s="0">
        <f>BD170*(1+Calculator!$D$11/100/12)</f>
      </c>
      <c r="C171" s="0">
        <f>BE170*(1+Calculator!$D$12/100/12)</f>
      </c>
      <c r="D171" s="0">
        <f>BF170*(1+Calculator!$D$13/100/12)</f>
      </c>
      <c r="E171" s="0">
        <f>BG170*(1+Calculator!$D$14/100/12)</f>
      </c>
      <c r="F171" s="0">
        <f>BH170*(1+Calculator!$D$15/100/12)</f>
      </c>
      <c r="G171" s="0">
        <f>BI170*(1+Calculator!$D$16/100/12)</f>
      </c>
      <c r="H171" s="0">
        <f>BJ170*(1+Calculator!$D$17/100/12)</f>
      </c>
      <c r="I171" s="0">
        <f>BK170*(1+Calculator!$D$18/100/12)</f>
      </c>
      <c r="J171" s="0">
        <f>BL170*(1+Calculator!$D$19/100/12)</f>
      </c>
      <c r="K171" s="0">
        <f>BM170*(1+Calculator!$D$20/100/12)</f>
      </c>
      <c r="L171" s="0">
        <f>BN170*(1+Calculator!$D$21/100/12)</f>
      </c>
      <c r="M171" s="0">
        <f>BO170*(1+Calculator!$D$22/100/12)</f>
      </c>
      <c r="N171" s="0">
        <f>BP170*(1+Calculator!$D$23/100/12)</f>
      </c>
      <c r="O171" s="0">
        <f>BQ170*(1+Calculator!$D$24/100/12)</f>
      </c>
      <c r="P171" s="0">
        <f>BR170*(1+Calculator!$D$25/100/12)</f>
      </c>
      <c r="Q171" s="0">
        <f>BS170*(1+Calculator!$D$26/100/12)</f>
      </c>
      <c r="R171" s="0">
        <f>BT170*(1+Calculator!$D$27/100/12)</f>
      </c>
      <c r="S171" s="0">
        <f>BU170*(1+Calculator!$D$28/100/12)</f>
      </c>
      <c r="T171" s="0">
        <f>MAX(0,B171-Calculator!$E$11)</f>
      </c>
      <c r="U171" s="0">
        <f>MAX(0,C171-Calculator!$E$12)</f>
      </c>
      <c r="V171" s="0">
        <f>MAX(0,D171-Calculator!$E$13)</f>
      </c>
      <c r="W171" s="0">
        <f>MAX(0,E171-Calculator!$E$14)</f>
      </c>
      <c r="X171" s="0">
        <f>MAX(0,F171-Calculator!$E$15)</f>
      </c>
      <c r="Y171" s="0">
        <f>MAX(0,G171-Calculator!$E$16)</f>
      </c>
      <c r="Z171" s="0">
        <f>MAX(0,H171-Calculator!$E$17)</f>
      </c>
      <c r="AA171" s="0">
        <f>MAX(0,I171-Calculator!$E$18)</f>
      </c>
      <c r="AB171" s="0">
        <f>MAX(0,J171-Calculator!$E$19)</f>
      </c>
      <c r="AC171" s="0">
        <f>MAX(0,K171-Calculator!$E$20)</f>
      </c>
      <c r="AD171" s="0">
        <f>MAX(0,L171-Calculator!$E$21)</f>
      </c>
      <c r="AE171" s="0">
        <f>MAX(0,M171-Calculator!$E$22)</f>
      </c>
      <c r="AF171" s="0">
        <f>MAX(0,N171-Calculator!$E$23)</f>
      </c>
      <c r="AG171" s="0">
        <f>MAX(0,O171-Calculator!$E$24)</f>
      </c>
      <c r="AH171" s="0">
        <f>MAX(0,P171-Calculator!$E$25)</f>
      </c>
      <c r="AI171" s="0">
        <f>MAX(0,Q171-Calculator!$E$26)</f>
      </c>
      <c r="AJ171" s="0">
        <f>MAX(0,R171-Calculator!$E$27)</f>
      </c>
      <c r="AK171" s="0">
        <f>MAX(0,S171-Calculator!$E$28)</f>
      </c>
      <c r="AL171" s="0">
        <f>MAX(0,MIN(T171,BX171-SUMPRODUCT(($T$2:$AK$2&lt;T$2)*($T171:$AK171))))</f>
      </c>
      <c r="AM171" s="0">
        <f>MAX(0,MIN(U171,BX171-SUMPRODUCT(($T$2:$AK$2&lt;U$2)*($T171:$AK171))))</f>
      </c>
      <c r="AN171" s="0">
        <f>MAX(0,MIN(V171,BX171-SUMPRODUCT(($T$2:$AK$2&lt;V$2)*($T171:$AK171))))</f>
      </c>
      <c r="AO171" s="0">
        <f>MAX(0,MIN(W171,BX171-SUMPRODUCT(($T$2:$AK$2&lt;W$2)*($T171:$AK171))))</f>
      </c>
      <c r="AP171" s="0">
        <f>MAX(0,MIN(X171,BX171-SUMPRODUCT(($T$2:$AK$2&lt;X$2)*($T171:$AK171))))</f>
      </c>
      <c r="AQ171" s="0">
        <f>MAX(0,MIN(Y171,BX171-SUMPRODUCT(($T$2:$AK$2&lt;Y$2)*($T171:$AK171))))</f>
      </c>
      <c r="AR171" s="0">
        <f>MAX(0,MIN(Z171,BX171-SUMPRODUCT(($T$2:$AK$2&lt;Z$2)*($T171:$AK171))))</f>
      </c>
      <c r="AS171" s="0">
        <f>MAX(0,MIN(AA171,BX171-SUMPRODUCT(($T$2:$AK$2&lt;AA$2)*($T171:$AK171))))</f>
      </c>
      <c r="AT171" s="0">
        <f>MAX(0,MIN(AB171,BX171-SUMPRODUCT(($T$2:$AK$2&lt;AB$2)*($T171:$AK171))))</f>
      </c>
      <c r="AU171" s="0">
        <f>MAX(0,MIN(AC171,BX171-SUMPRODUCT(($T$2:$AK$2&lt;AC$2)*($T171:$AK171))))</f>
      </c>
      <c r="AV171" s="0">
        <f>MAX(0,MIN(AD171,BX171-SUMPRODUCT(($T$2:$AK$2&lt;AD$2)*($T171:$AK171))))</f>
      </c>
      <c r="AW171" s="0">
        <f>MAX(0,MIN(AE171,BX171-SUMPRODUCT(($T$2:$AK$2&lt;AE$2)*($T171:$AK171))))</f>
      </c>
      <c r="AX171" s="0">
        <f>MAX(0,MIN(AF171,BX171-SUMPRODUCT(($T$2:$AK$2&lt;AF$2)*($T171:$AK171))))</f>
      </c>
      <c r="AY171" s="0">
        <f>MAX(0,MIN(AG171,BX171-SUMPRODUCT(($T$2:$AK$2&lt;AG$2)*($T171:$AK171))))</f>
      </c>
      <c r="AZ171" s="0">
        <f>MAX(0,MIN(AH171,BX171-SUMPRODUCT(($T$2:$AK$2&lt;AH$2)*($T171:$AK171))))</f>
      </c>
      <c r="BA171" s="0">
        <f>MAX(0,MIN(AI171,BX171-SUMPRODUCT(($T$2:$AK$2&lt;AI$2)*($T171:$AK171))))</f>
      </c>
      <c r="BB171" s="0">
        <f>MAX(0,MIN(AJ171,BX171-SUMPRODUCT(($T$2:$AK$2&lt;AJ$2)*($T171:$AK171))))</f>
      </c>
      <c r="BC171" s="0">
        <f>MAX(0,MIN(AK171,BX171-SUMPRODUCT(($T$2:$AK$2&lt;AK$2)*($T171:$AK171))))</f>
      </c>
      <c r="BD171" s="0">
        <f>T171-AL171</f>
      </c>
      <c r="BE171" s="0">
        <f>U171-AM171</f>
      </c>
      <c r="BF171" s="0">
        <f>V171-AN171</f>
      </c>
      <c r="BG171" s="0">
        <f>W171-AO171</f>
      </c>
      <c r="BH171" s="0">
        <f>X171-AP171</f>
      </c>
      <c r="BI171" s="0">
        <f>Y171-AQ171</f>
      </c>
      <c r="BJ171" s="0">
        <f>Z171-AR171</f>
      </c>
      <c r="BK171" s="0">
        <f>AA171-AS171</f>
      </c>
      <c r="BL171" s="0">
        <f>AB171-AT171</f>
      </c>
      <c r="BM171" s="0">
        <f>AC171-AU171</f>
      </c>
      <c r="BN171" s="0">
        <f>AD171-AV171</f>
      </c>
      <c r="BO171" s="0">
        <f>AE171-AW171</f>
      </c>
      <c r="BP171" s="0">
        <f>AF171-AX171</f>
      </c>
      <c r="BQ171" s="0">
        <f>AG171-AY171</f>
      </c>
      <c r="BR171" s="0">
        <f>AH171-AZ171</f>
      </c>
      <c r="BS171" s="0">
        <f>AI171-BA171</f>
      </c>
      <c r="BT171" s="0">
        <f>AJ171-BB171</f>
      </c>
      <c r="BU171" s="0">
        <f>AK171-BC171</f>
      </c>
      <c r="BV171" s="0">
        <f>SUM(B171:S171)</f>
      </c>
      <c r="BW171" s="0">
        <f>SUM(T171:AK171)</f>
      </c>
      <c r="BX171" s="0">
        <f>MAX(0,(SUM(Calculator!$E$11:$E$28)+Calculator!$C$6)-BV171+BW171)</f>
      </c>
      <c r="BY171" s="0">
        <f>SUM(BD171:BU171)</f>
      </c>
      <c r="BZ171" s="0">
        <f>BV171-BY170</f>
      </c>
      <c r="CA171" s="0">
        <f>IF(A171&lt;=IF($CD$1=0,999,$CD$1),BY171,NA())</f>
      </c>
      <c r="CB171" s="0">
        <f>IF(A171&lt;=IF($CD$1=0,999,$CD$1),A171,NA())</f>
      </c>
    </row>
    <row r="172">
      <c r="A172" s="0">
        <v>169</v>
      </c>
      <c r="B172" s="0">
        <f>BD171*(1+Calculator!$D$11/100/12)</f>
      </c>
      <c r="C172" s="0">
        <f>BE171*(1+Calculator!$D$12/100/12)</f>
      </c>
      <c r="D172" s="0">
        <f>BF171*(1+Calculator!$D$13/100/12)</f>
      </c>
      <c r="E172" s="0">
        <f>BG171*(1+Calculator!$D$14/100/12)</f>
      </c>
      <c r="F172" s="0">
        <f>BH171*(1+Calculator!$D$15/100/12)</f>
      </c>
      <c r="G172" s="0">
        <f>BI171*(1+Calculator!$D$16/100/12)</f>
      </c>
      <c r="H172" s="0">
        <f>BJ171*(1+Calculator!$D$17/100/12)</f>
      </c>
      <c r="I172" s="0">
        <f>BK171*(1+Calculator!$D$18/100/12)</f>
      </c>
      <c r="J172" s="0">
        <f>BL171*(1+Calculator!$D$19/100/12)</f>
      </c>
      <c r="K172" s="0">
        <f>BM171*(1+Calculator!$D$20/100/12)</f>
      </c>
      <c r="L172" s="0">
        <f>BN171*(1+Calculator!$D$21/100/12)</f>
      </c>
      <c r="M172" s="0">
        <f>BO171*(1+Calculator!$D$22/100/12)</f>
      </c>
      <c r="N172" s="0">
        <f>BP171*(1+Calculator!$D$23/100/12)</f>
      </c>
      <c r="O172" s="0">
        <f>BQ171*(1+Calculator!$D$24/100/12)</f>
      </c>
      <c r="P172" s="0">
        <f>BR171*(1+Calculator!$D$25/100/12)</f>
      </c>
      <c r="Q172" s="0">
        <f>BS171*(1+Calculator!$D$26/100/12)</f>
      </c>
      <c r="R172" s="0">
        <f>BT171*(1+Calculator!$D$27/100/12)</f>
      </c>
      <c r="S172" s="0">
        <f>BU171*(1+Calculator!$D$28/100/12)</f>
      </c>
      <c r="T172" s="0">
        <f>MAX(0,B172-Calculator!$E$11)</f>
      </c>
      <c r="U172" s="0">
        <f>MAX(0,C172-Calculator!$E$12)</f>
      </c>
      <c r="V172" s="0">
        <f>MAX(0,D172-Calculator!$E$13)</f>
      </c>
      <c r="W172" s="0">
        <f>MAX(0,E172-Calculator!$E$14)</f>
      </c>
      <c r="X172" s="0">
        <f>MAX(0,F172-Calculator!$E$15)</f>
      </c>
      <c r="Y172" s="0">
        <f>MAX(0,G172-Calculator!$E$16)</f>
      </c>
      <c r="Z172" s="0">
        <f>MAX(0,H172-Calculator!$E$17)</f>
      </c>
      <c r="AA172" s="0">
        <f>MAX(0,I172-Calculator!$E$18)</f>
      </c>
      <c r="AB172" s="0">
        <f>MAX(0,J172-Calculator!$E$19)</f>
      </c>
      <c r="AC172" s="0">
        <f>MAX(0,K172-Calculator!$E$20)</f>
      </c>
      <c r="AD172" s="0">
        <f>MAX(0,L172-Calculator!$E$21)</f>
      </c>
      <c r="AE172" s="0">
        <f>MAX(0,M172-Calculator!$E$22)</f>
      </c>
      <c r="AF172" s="0">
        <f>MAX(0,N172-Calculator!$E$23)</f>
      </c>
      <c r="AG172" s="0">
        <f>MAX(0,O172-Calculator!$E$24)</f>
      </c>
      <c r="AH172" s="0">
        <f>MAX(0,P172-Calculator!$E$25)</f>
      </c>
      <c r="AI172" s="0">
        <f>MAX(0,Q172-Calculator!$E$26)</f>
      </c>
      <c r="AJ172" s="0">
        <f>MAX(0,R172-Calculator!$E$27)</f>
      </c>
      <c r="AK172" s="0">
        <f>MAX(0,S172-Calculator!$E$28)</f>
      </c>
      <c r="AL172" s="0">
        <f>MAX(0,MIN(T172,BX172-SUMPRODUCT(($T$2:$AK$2&lt;T$2)*($T172:$AK172))))</f>
      </c>
      <c r="AM172" s="0">
        <f>MAX(0,MIN(U172,BX172-SUMPRODUCT(($T$2:$AK$2&lt;U$2)*($T172:$AK172))))</f>
      </c>
      <c r="AN172" s="0">
        <f>MAX(0,MIN(V172,BX172-SUMPRODUCT(($T$2:$AK$2&lt;V$2)*($T172:$AK172))))</f>
      </c>
      <c r="AO172" s="0">
        <f>MAX(0,MIN(W172,BX172-SUMPRODUCT(($T$2:$AK$2&lt;W$2)*($T172:$AK172))))</f>
      </c>
      <c r="AP172" s="0">
        <f>MAX(0,MIN(X172,BX172-SUMPRODUCT(($T$2:$AK$2&lt;X$2)*($T172:$AK172))))</f>
      </c>
      <c r="AQ172" s="0">
        <f>MAX(0,MIN(Y172,BX172-SUMPRODUCT(($T$2:$AK$2&lt;Y$2)*($T172:$AK172))))</f>
      </c>
      <c r="AR172" s="0">
        <f>MAX(0,MIN(Z172,BX172-SUMPRODUCT(($T$2:$AK$2&lt;Z$2)*($T172:$AK172))))</f>
      </c>
      <c r="AS172" s="0">
        <f>MAX(0,MIN(AA172,BX172-SUMPRODUCT(($T$2:$AK$2&lt;AA$2)*($T172:$AK172))))</f>
      </c>
      <c r="AT172" s="0">
        <f>MAX(0,MIN(AB172,BX172-SUMPRODUCT(($T$2:$AK$2&lt;AB$2)*($T172:$AK172))))</f>
      </c>
      <c r="AU172" s="0">
        <f>MAX(0,MIN(AC172,BX172-SUMPRODUCT(($T$2:$AK$2&lt;AC$2)*($T172:$AK172))))</f>
      </c>
      <c r="AV172" s="0">
        <f>MAX(0,MIN(AD172,BX172-SUMPRODUCT(($T$2:$AK$2&lt;AD$2)*($T172:$AK172))))</f>
      </c>
      <c r="AW172" s="0">
        <f>MAX(0,MIN(AE172,BX172-SUMPRODUCT(($T$2:$AK$2&lt;AE$2)*($T172:$AK172))))</f>
      </c>
      <c r="AX172" s="0">
        <f>MAX(0,MIN(AF172,BX172-SUMPRODUCT(($T$2:$AK$2&lt;AF$2)*($T172:$AK172))))</f>
      </c>
      <c r="AY172" s="0">
        <f>MAX(0,MIN(AG172,BX172-SUMPRODUCT(($T$2:$AK$2&lt;AG$2)*($T172:$AK172))))</f>
      </c>
      <c r="AZ172" s="0">
        <f>MAX(0,MIN(AH172,BX172-SUMPRODUCT(($T$2:$AK$2&lt;AH$2)*($T172:$AK172))))</f>
      </c>
      <c r="BA172" s="0">
        <f>MAX(0,MIN(AI172,BX172-SUMPRODUCT(($T$2:$AK$2&lt;AI$2)*($T172:$AK172))))</f>
      </c>
      <c r="BB172" s="0">
        <f>MAX(0,MIN(AJ172,BX172-SUMPRODUCT(($T$2:$AK$2&lt;AJ$2)*($T172:$AK172))))</f>
      </c>
      <c r="BC172" s="0">
        <f>MAX(0,MIN(AK172,BX172-SUMPRODUCT(($T$2:$AK$2&lt;AK$2)*($T172:$AK172))))</f>
      </c>
      <c r="BD172" s="0">
        <f>T172-AL172</f>
      </c>
      <c r="BE172" s="0">
        <f>U172-AM172</f>
      </c>
      <c r="BF172" s="0">
        <f>V172-AN172</f>
      </c>
      <c r="BG172" s="0">
        <f>W172-AO172</f>
      </c>
      <c r="BH172" s="0">
        <f>X172-AP172</f>
      </c>
      <c r="BI172" s="0">
        <f>Y172-AQ172</f>
      </c>
      <c r="BJ172" s="0">
        <f>Z172-AR172</f>
      </c>
      <c r="BK172" s="0">
        <f>AA172-AS172</f>
      </c>
      <c r="BL172" s="0">
        <f>AB172-AT172</f>
      </c>
      <c r="BM172" s="0">
        <f>AC172-AU172</f>
      </c>
      <c r="BN172" s="0">
        <f>AD172-AV172</f>
      </c>
      <c r="BO172" s="0">
        <f>AE172-AW172</f>
      </c>
      <c r="BP172" s="0">
        <f>AF172-AX172</f>
      </c>
      <c r="BQ172" s="0">
        <f>AG172-AY172</f>
      </c>
      <c r="BR172" s="0">
        <f>AH172-AZ172</f>
      </c>
      <c r="BS172" s="0">
        <f>AI172-BA172</f>
      </c>
      <c r="BT172" s="0">
        <f>AJ172-BB172</f>
      </c>
      <c r="BU172" s="0">
        <f>AK172-BC172</f>
      </c>
      <c r="BV172" s="0">
        <f>SUM(B172:S172)</f>
      </c>
      <c r="BW172" s="0">
        <f>SUM(T172:AK172)</f>
      </c>
      <c r="BX172" s="0">
        <f>MAX(0,(SUM(Calculator!$E$11:$E$28)+Calculator!$C$6)-BV172+BW172)</f>
      </c>
      <c r="BY172" s="0">
        <f>SUM(BD172:BU172)</f>
      </c>
      <c r="BZ172" s="0">
        <f>BV172-BY171</f>
      </c>
      <c r="CA172" s="0">
        <f>IF(A172&lt;=IF($CD$1=0,999,$CD$1),BY172,NA())</f>
      </c>
      <c r="CB172" s="0">
        <f>IF(A172&lt;=IF($CD$1=0,999,$CD$1),A172,NA())</f>
      </c>
    </row>
    <row r="173">
      <c r="A173" s="0">
        <v>170</v>
      </c>
      <c r="B173" s="0">
        <f>BD172*(1+Calculator!$D$11/100/12)</f>
      </c>
      <c r="C173" s="0">
        <f>BE172*(1+Calculator!$D$12/100/12)</f>
      </c>
      <c r="D173" s="0">
        <f>BF172*(1+Calculator!$D$13/100/12)</f>
      </c>
      <c r="E173" s="0">
        <f>BG172*(1+Calculator!$D$14/100/12)</f>
      </c>
      <c r="F173" s="0">
        <f>BH172*(1+Calculator!$D$15/100/12)</f>
      </c>
      <c r="G173" s="0">
        <f>BI172*(1+Calculator!$D$16/100/12)</f>
      </c>
      <c r="H173" s="0">
        <f>BJ172*(1+Calculator!$D$17/100/12)</f>
      </c>
      <c r="I173" s="0">
        <f>BK172*(1+Calculator!$D$18/100/12)</f>
      </c>
      <c r="J173" s="0">
        <f>BL172*(1+Calculator!$D$19/100/12)</f>
      </c>
      <c r="K173" s="0">
        <f>BM172*(1+Calculator!$D$20/100/12)</f>
      </c>
      <c r="L173" s="0">
        <f>BN172*(1+Calculator!$D$21/100/12)</f>
      </c>
      <c r="M173" s="0">
        <f>BO172*(1+Calculator!$D$22/100/12)</f>
      </c>
      <c r="N173" s="0">
        <f>BP172*(1+Calculator!$D$23/100/12)</f>
      </c>
      <c r="O173" s="0">
        <f>BQ172*(1+Calculator!$D$24/100/12)</f>
      </c>
      <c r="P173" s="0">
        <f>BR172*(1+Calculator!$D$25/100/12)</f>
      </c>
      <c r="Q173" s="0">
        <f>BS172*(1+Calculator!$D$26/100/12)</f>
      </c>
      <c r="R173" s="0">
        <f>BT172*(1+Calculator!$D$27/100/12)</f>
      </c>
      <c r="S173" s="0">
        <f>BU172*(1+Calculator!$D$28/100/12)</f>
      </c>
      <c r="T173" s="0">
        <f>MAX(0,B173-Calculator!$E$11)</f>
      </c>
      <c r="U173" s="0">
        <f>MAX(0,C173-Calculator!$E$12)</f>
      </c>
      <c r="V173" s="0">
        <f>MAX(0,D173-Calculator!$E$13)</f>
      </c>
      <c r="W173" s="0">
        <f>MAX(0,E173-Calculator!$E$14)</f>
      </c>
      <c r="X173" s="0">
        <f>MAX(0,F173-Calculator!$E$15)</f>
      </c>
      <c r="Y173" s="0">
        <f>MAX(0,G173-Calculator!$E$16)</f>
      </c>
      <c r="Z173" s="0">
        <f>MAX(0,H173-Calculator!$E$17)</f>
      </c>
      <c r="AA173" s="0">
        <f>MAX(0,I173-Calculator!$E$18)</f>
      </c>
      <c r="AB173" s="0">
        <f>MAX(0,J173-Calculator!$E$19)</f>
      </c>
      <c r="AC173" s="0">
        <f>MAX(0,K173-Calculator!$E$20)</f>
      </c>
      <c r="AD173" s="0">
        <f>MAX(0,L173-Calculator!$E$21)</f>
      </c>
      <c r="AE173" s="0">
        <f>MAX(0,M173-Calculator!$E$22)</f>
      </c>
      <c r="AF173" s="0">
        <f>MAX(0,N173-Calculator!$E$23)</f>
      </c>
      <c r="AG173" s="0">
        <f>MAX(0,O173-Calculator!$E$24)</f>
      </c>
      <c r="AH173" s="0">
        <f>MAX(0,P173-Calculator!$E$25)</f>
      </c>
      <c r="AI173" s="0">
        <f>MAX(0,Q173-Calculator!$E$26)</f>
      </c>
      <c r="AJ173" s="0">
        <f>MAX(0,R173-Calculator!$E$27)</f>
      </c>
      <c r="AK173" s="0">
        <f>MAX(0,S173-Calculator!$E$28)</f>
      </c>
      <c r="AL173" s="0">
        <f>MAX(0,MIN(T173,BX173-SUMPRODUCT(($T$2:$AK$2&lt;T$2)*($T173:$AK173))))</f>
      </c>
      <c r="AM173" s="0">
        <f>MAX(0,MIN(U173,BX173-SUMPRODUCT(($T$2:$AK$2&lt;U$2)*($T173:$AK173))))</f>
      </c>
      <c r="AN173" s="0">
        <f>MAX(0,MIN(V173,BX173-SUMPRODUCT(($T$2:$AK$2&lt;V$2)*($T173:$AK173))))</f>
      </c>
      <c r="AO173" s="0">
        <f>MAX(0,MIN(W173,BX173-SUMPRODUCT(($T$2:$AK$2&lt;W$2)*($T173:$AK173))))</f>
      </c>
      <c r="AP173" s="0">
        <f>MAX(0,MIN(X173,BX173-SUMPRODUCT(($T$2:$AK$2&lt;X$2)*($T173:$AK173))))</f>
      </c>
      <c r="AQ173" s="0">
        <f>MAX(0,MIN(Y173,BX173-SUMPRODUCT(($T$2:$AK$2&lt;Y$2)*($T173:$AK173))))</f>
      </c>
      <c r="AR173" s="0">
        <f>MAX(0,MIN(Z173,BX173-SUMPRODUCT(($T$2:$AK$2&lt;Z$2)*($T173:$AK173))))</f>
      </c>
      <c r="AS173" s="0">
        <f>MAX(0,MIN(AA173,BX173-SUMPRODUCT(($T$2:$AK$2&lt;AA$2)*($T173:$AK173))))</f>
      </c>
      <c r="AT173" s="0">
        <f>MAX(0,MIN(AB173,BX173-SUMPRODUCT(($T$2:$AK$2&lt;AB$2)*($T173:$AK173))))</f>
      </c>
      <c r="AU173" s="0">
        <f>MAX(0,MIN(AC173,BX173-SUMPRODUCT(($T$2:$AK$2&lt;AC$2)*($T173:$AK173))))</f>
      </c>
      <c r="AV173" s="0">
        <f>MAX(0,MIN(AD173,BX173-SUMPRODUCT(($T$2:$AK$2&lt;AD$2)*($T173:$AK173))))</f>
      </c>
      <c r="AW173" s="0">
        <f>MAX(0,MIN(AE173,BX173-SUMPRODUCT(($T$2:$AK$2&lt;AE$2)*($T173:$AK173))))</f>
      </c>
      <c r="AX173" s="0">
        <f>MAX(0,MIN(AF173,BX173-SUMPRODUCT(($T$2:$AK$2&lt;AF$2)*($T173:$AK173))))</f>
      </c>
      <c r="AY173" s="0">
        <f>MAX(0,MIN(AG173,BX173-SUMPRODUCT(($T$2:$AK$2&lt;AG$2)*($T173:$AK173))))</f>
      </c>
      <c r="AZ173" s="0">
        <f>MAX(0,MIN(AH173,BX173-SUMPRODUCT(($T$2:$AK$2&lt;AH$2)*($T173:$AK173))))</f>
      </c>
      <c r="BA173" s="0">
        <f>MAX(0,MIN(AI173,BX173-SUMPRODUCT(($T$2:$AK$2&lt;AI$2)*($T173:$AK173))))</f>
      </c>
      <c r="BB173" s="0">
        <f>MAX(0,MIN(AJ173,BX173-SUMPRODUCT(($T$2:$AK$2&lt;AJ$2)*($T173:$AK173))))</f>
      </c>
      <c r="BC173" s="0">
        <f>MAX(0,MIN(AK173,BX173-SUMPRODUCT(($T$2:$AK$2&lt;AK$2)*($T173:$AK173))))</f>
      </c>
      <c r="BD173" s="0">
        <f>T173-AL173</f>
      </c>
      <c r="BE173" s="0">
        <f>U173-AM173</f>
      </c>
      <c r="BF173" s="0">
        <f>V173-AN173</f>
      </c>
      <c r="BG173" s="0">
        <f>W173-AO173</f>
      </c>
      <c r="BH173" s="0">
        <f>X173-AP173</f>
      </c>
      <c r="BI173" s="0">
        <f>Y173-AQ173</f>
      </c>
      <c r="BJ173" s="0">
        <f>Z173-AR173</f>
      </c>
      <c r="BK173" s="0">
        <f>AA173-AS173</f>
      </c>
      <c r="BL173" s="0">
        <f>AB173-AT173</f>
      </c>
      <c r="BM173" s="0">
        <f>AC173-AU173</f>
      </c>
      <c r="BN173" s="0">
        <f>AD173-AV173</f>
      </c>
      <c r="BO173" s="0">
        <f>AE173-AW173</f>
      </c>
      <c r="BP173" s="0">
        <f>AF173-AX173</f>
      </c>
      <c r="BQ173" s="0">
        <f>AG173-AY173</f>
      </c>
      <c r="BR173" s="0">
        <f>AH173-AZ173</f>
      </c>
      <c r="BS173" s="0">
        <f>AI173-BA173</f>
      </c>
      <c r="BT173" s="0">
        <f>AJ173-BB173</f>
      </c>
      <c r="BU173" s="0">
        <f>AK173-BC173</f>
      </c>
      <c r="BV173" s="0">
        <f>SUM(B173:S173)</f>
      </c>
      <c r="BW173" s="0">
        <f>SUM(T173:AK173)</f>
      </c>
      <c r="BX173" s="0">
        <f>MAX(0,(SUM(Calculator!$E$11:$E$28)+Calculator!$C$6)-BV173+BW173)</f>
      </c>
      <c r="BY173" s="0">
        <f>SUM(BD173:BU173)</f>
      </c>
      <c r="BZ173" s="0">
        <f>BV173-BY172</f>
      </c>
      <c r="CA173" s="0">
        <f>IF(A173&lt;=IF($CD$1=0,999,$CD$1),BY173,NA())</f>
      </c>
      <c r="CB173" s="0">
        <f>IF(A173&lt;=IF($CD$1=0,999,$CD$1),A173,NA())</f>
      </c>
    </row>
    <row r="174">
      <c r="A174" s="0">
        <v>171</v>
      </c>
      <c r="B174" s="0">
        <f>BD173*(1+Calculator!$D$11/100/12)</f>
      </c>
      <c r="C174" s="0">
        <f>BE173*(1+Calculator!$D$12/100/12)</f>
      </c>
      <c r="D174" s="0">
        <f>BF173*(1+Calculator!$D$13/100/12)</f>
      </c>
      <c r="E174" s="0">
        <f>BG173*(1+Calculator!$D$14/100/12)</f>
      </c>
      <c r="F174" s="0">
        <f>BH173*(1+Calculator!$D$15/100/12)</f>
      </c>
      <c r="G174" s="0">
        <f>BI173*(1+Calculator!$D$16/100/12)</f>
      </c>
      <c r="H174" s="0">
        <f>BJ173*(1+Calculator!$D$17/100/12)</f>
      </c>
      <c r="I174" s="0">
        <f>BK173*(1+Calculator!$D$18/100/12)</f>
      </c>
      <c r="J174" s="0">
        <f>BL173*(1+Calculator!$D$19/100/12)</f>
      </c>
      <c r="K174" s="0">
        <f>BM173*(1+Calculator!$D$20/100/12)</f>
      </c>
      <c r="L174" s="0">
        <f>BN173*(1+Calculator!$D$21/100/12)</f>
      </c>
      <c r="M174" s="0">
        <f>BO173*(1+Calculator!$D$22/100/12)</f>
      </c>
      <c r="N174" s="0">
        <f>BP173*(1+Calculator!$D$23/100/12)</f>
      </c>
      <c r="O174" s="0">
        <f>BQ173*(1+Calculator!$D$24/100/12)</f>
      </c>
      <c r="P174" s="0">
        <f>BR173*(1+Calculator!$D$25/100/12)</f>
      </c>
      <c r="Q174" s="0">
        <f>BS173*(1+Calculator!$D$26/100/12)</f>
      </c>
      <c r="R174" s="0">
        <f>BT173*(1+Calculator!$D$27/100/12)</f>
      </c>
      <c r="S174" s="0">
        <f>BU173*(1+Calculator!$D$28/100/12)</f>
      </c>
      <c r="T174" s="0">
        <f>MAX(0,B174-Calculator!$E$11)</f>
      </c>
      <c r="U174" s="0">
        <f>MAX(0,C174-Calculator!$E$12)</f>
      </c>
      <c r="V174" s="0">
        <f>MAX(0,D174-Calculator!$E$13)</f>
      </c>
      <c r="W174" s="0">
        <f>MAX(0,E174-Calculator!$E$14)</f>
      </c>
      <c r="X174" s="0">
        <f>MAX(0,F174-Calculator!$E$15)</f>
      </c>
      <c r="Y174" s="0">
        <f>MAX(0,G174-Calculator!$E$16)</f>
      </c>
      <c r="Z174" s="0">
        <f>MAX(0,H174-Calculator!$E$17)</f>
      </c>
      <c r="AA174" s="0">
        <f>MAX(0,I174-Calculator!$E$18)</f>
      </c>
      <c r="AB174" s="0">
        <f>MAX(0,J174-Calculator!$E$19)</f>
      </c>
      <c r="AC174" s="0">
        <f>MAX(0,K174-Calculator!$E$20)</f>
      </c>
      <c r="AD174" s="0">
        <f>MAX(0,L174-Calculator!$E$21)</f>
      </c>
      <c r="AE174" s="0">
        <f>MAX(0,M174-Calculator!$E$22)</f>
      </c>
      <c r="AF174" s="0">
        <f>MAX(0,N174-Calculator!$E$23)</f>
      </c>
      <c r="AG174" s="0">
        <f>MAX(0,O174-Calculator!$E$24)</f>
      </c>
      <c r="AH174" s="0">
        <f>MAX(0,P174-Calculator!$E$25)</f>
      </c>
      <c r="AI174" s="0">
        <f>MAX(0,Q174-Calculator!$E$26)</f>
      </c>
      <c r="AJ174" s="0">
        <f>MAX(0,R174-Calculator!$E$27)</f>
      </c>
      <c r="AK174" s="0">
        <f>MAX(0,S174-Calculator!$E$28)</f>
      </c>
      <c r="AL174" s="0">
        <f>MAX(0,MIN(T174,BX174-SUMPRODUCT(($T$2:$AK$2&lt;T$2)*($T174:$AK174))))</f>
      </c>
      <c r="AM174" s="0">
        <f>MAX(0,MIN(U174,BX174-SUMPRODUCT(($T$2:$AK$2&lt;U$2)*($T174:$AK174))))</f>
      </c>
      <c r="AN174" s="0">
        <f>MAX(0,MIN(V174,BX174-SUMPRODUCT(($T$2:$AK$2&lt;V$2)*($T174:$AK174))))</f>
      </c>
      <c r="AO174" s="0">
        <f>MAX(0,MIN(W174,BX174-SUMPRODUCT(($T$2:$AK$2&lt;W$2)*($T174:$AK174))))</f>
      </c>
      <c r="AP174" s="0">
        <f>MAX(0,MIN(X174,BX174-SUMPRODUCT(($T$2:$AK$2&lt;X$2)*($T174:$AK174))))</f>
      </c>
      <c r="AQ174" s="0">
        <f>MAX(0,MIN(Y174,BX174-SUMPRODUCT(($T$2:$AK$2&lt;Y$2)*($T174:$AK174))))</f>
      </c>
      <c r="AR174" s="0">
        <f>MAX(0,MIN(Z174,BX174-SUMPRODUCT(($T$2:$AK$2&lt;Z$2)*($T174:$AK174))))</f>
      </c>
      <c r="AS174" s="0">
        <f>MAX(0,MIN(AA174,BX174-SUMPRODUCT(($T$2:$AK$2&lt;AA$2)*($T174:$AK174))))</f>
      </c>
      <c r="AT174" s="0">
        <f>MAX(0,MIN(AB174,BX174-SUMPRODUCT(($T$2:$AK$2&lt;AB$2)*($T174:$AK174))))</f>
      </c>
      <c r="AU174" s="0">
        <f>MAX(0,MIN(AC174,BX174-SUMPRODUCT(($T$2:$AK$2&lt;AC$2)*($T174:$AK174))))</f>
      </c>
      <c r="AV174" s="0">
        <f>MAX(0,MIN(AD174,BX174-SUMPRODUCT(($T$2:$AK$2&lt;AD$2)*($T174:$AK174))))</f>
      </c>
      <c r="AW174" s="0">
        <f>MAX(0,MIN(AE174,BX174-SUMPRODUCT(($T$2:$AK$2&lt;AE$2)*($T174:$AK174))))</f>
      </c>
      <c r="AX174" s="0">
        <f>MAX(0,MIN(AF174,BX174-SUMPRODUCT(($T$2:$AK$2&lt;AF$2)*($T174:$AK174))))</f>
      </c>
      <c r="AY174" s="0">
        <f>MAX(0,MIN(AG174,BX174-SUMPRODUCT(($T$2:$AK$2&lt;AG$2)*($T174:$AK174))))</f>
      </c>
      <c r="AZ174" s="0">
        <f>MAX(0,MIN(AH174,BX174-SUMPRODUCT(($T$2:$AK$2&lt;AH$2)*($T174:$AK174))))</f>
      </c>
      <c r="BA174" s="0">
        <f>MAX(0,MIN(AI174,BX174-SUMPRODUCT(($T$2:$AK$2&lt;AI$2)*($T174:$AK174))))</f>
      </c>
      <c r="BB174" s="0">
        <f>MAX(0,MIN(AJ174,BX174-SUMPRODUCT(($T$2:$AK$2&lt;AJ$2)*($T174:$AK174))))</f>
      </c>
      <c r="BC174" s="0">
        <f>MAX(0,MIN(AK174,BX174-SUMPRODUCT(($T$2:$AK$2&lt;AK$2)*($T174:$AK174))))</f>
      </c>
      <c r="BD174" s="0">
        <f>T174-AL174</f>
      </c>
      <c r="BE174" s="0">
        <f>U174-AM174</f>
      </c>
      <c r="BF174" s="0">
        <f>V174-AN174</f>
      </c>
      <c r="BG174" s="0">
        <f>W174-AO174</f>
      </c>
      <c r="BH174" s="0">
        <f>X174-AP174</f>
      </c>
      <c r="BI174" s="0">
        <f>Y174-AQ174</f>
      </c>
      <c r="BJ174" s="0">
        <f>Z174-AR174</f>
      </c>
      <c r="BK174" s="0">
        <f>AA174-AS174</f>
      </c>
      <c r="BL174" s="0">
        <f>AB174-AT174</f>
      </c>
      <c r="BM174" s="0">
        <f>AC174-AU174</f>
      </c>
      <c r="BN174" s="0">
        <f>AD174-AV174</f>
      </c>
      <c r="BO174" s="0">
        <f>AE174-AW174</f>
      </c>
      <c r="BP174" s="0">
        <f>AF174-AX174</f>
      </c>
      <c r="BQ174" s="0">
        <f>AG174-AY174</f>
      </c>
      <c r="BR174" s="0">
        <f>AH174-AZ174</f>
      </c>
      <c r="BS174" s="0">
        <f>AI174-BA174</f>
      </c>
      <c r="BT174" s="0">
        <f>AJ174-BB174</f>
      </c>
      <c r="BU174" s="0">
        <f>AK174-BC174</f>
      </c>
      <c r="BV174" s="0">
        <f>SUM(B174:S174)</f>
      </c>
      <c r="BW174" s="0">
        <f>SUM(T174:AK174)</f>
      </c>
      <c r="BX174" s="0">
        <f>MAX(0,(SUM(Calculator!$E$11:$E$28)+Calculator!$C$6)-BV174+BW174)</f>
      </c>
      <c r="BY174" s="0">
        <f>SUM(BD174:BU174)</f>
      </c>
      <c r="BZ174" s="0">
        <f>BV174-BY173</f>
      </c>
      <c r="CA174" s="0">
        <f>IF(A174&lt;=IF($CD$1=0,999,$CD$1),BY174,NA())</f>
      </c>
      <c r="CB174" s="0">
        <f>IF(A174&lt;=IF($CD$1=0,999,$CD$1),A174,NA())</f>
      </c>
    </row>
    <row r="175">
      <c r="A175" s="0">
        <v>172</v>
      </c>
      <c r="B175" s="0">
        <f>BD174*(1+Calculator!$D$11/100/12)</f>
      </c>
      <c r="C175" s="0">
        <f>BE174*(1+Calculator!$D$12/100/12)</f>
      </c>
      <c r="D175" s="0">
        <f>BF174*(1+Calculator!$D$13/100/12)</f>
      </c>
      <c r="E175" s="0">
        <f>BG174*(1+Calculator!$D$14/100/12)</f>
      </c>
      <c r="F175" s="0">
        <f>BH174*(1+Calculator!$D$15/100/12)</f>
      </c>
      <c r="G175" s="0">
        <f>BI174*(1+Calculator!$D$16/100/12)</f>
      </c>
      <c r="H175" s="0">
        <f>BJ174*(1+Calculator!$D$17/100/12)</f>
      </c>
      <c r="I175" s="0">
        <f>BK174*(1+Calculator!$D$18/100/12)</f>
      </c>
      <c r="J175" s="0">
        <f>BL174*(1+Calculator!$D$19/100/12)</f>
      </c>
      <c r="K175" s="0">
        <f>BM174*(1+Calculator!$D$20/100/12)</f>
      </c>
      <c r="L175" s="0">
        <f>BN174*(1+Calculator!$D$21/100/12)</f>
      </c>
      <c r="M175" s="0">
        <f>BO174*(1+Calculator!$D$22/100/12)</f>
      </c>
      <c r="N175" s="0">
        <f>BP174*(1+Calculator!$D$23/100/12)</f>
      </c>
      <c r="O175" s="0">
        <f>BQ174*(1+Calculator!$D$24/100/12)</f>
      </c>
      <c r="P175" s="0">
        <f>BR174*(1+Calculator!$D$25/100/12)</f>
      </c>
      <c r="Q175" s="0">
        <f>BS174*(1+Calculator!$D$26/100/12)</f>
      </c>
      <c r="R175" s="0">
        <f>BT174*(1+Calculator!$D$27/100/12)</f>
      </c>
      <c r="S175" s="0">
        <f>BU174*(1+Calculator!$D$28/100/12)</f>
      </c>
      <c r="T175" s="0">
        <f>MAX(0,B175-Calculator!$E$11)</f>
      </c>
      <c r="U175" s="0">
        <f>MAX(0,C175-Calculator!$E$12)</f>
      </c>
      <c r="V175" s="0">
        <f>MAX(0,D175-Calculator!$E$13)</f>
      </c>
      <c r="W175" s="0">
        <f>MAX(0,E175-Calculator!$E$14)</f>
      </c>
      <c r="X175" s="0">
        <f>MAX(0,F175-Calculator!$E$15)</f>
      </c>
      <c r="Y175" s="0">
        <f>MAX(0,G175-Calculator!$E$16)</f>
      </c>
      <c r="Z175" s="0">
        <f>MAX(0,H175-Calculator!$E$17)</f>
      </c>
      <c r="AA175" s="0">
        <f>MAX(0,I175-Calculator!$E$18)</f>
      </c>
      <c r="AB175" s="0">
        <f>MAX(0,J175-Calculator!$E$19)</f>
      </c>
      <c r="AC175" s="0">
        <f>MAX(0,K175-Calculator!$E$20)</f>
      </c>
      <c r="AD175" s="0">
        <f>MAX(0,L175-Calculator!$E$21)</f>
      </c>
      <c r="AE175" s="0">
        <f>MAX(0,M175-Calculator!$E$22)</f>
      </c>
      <c r="AF175" s="0">
        <f>MAX(0,N175-Calculator!$E$23)</f>
      </c>
      <c r="AG175" s="0">
        <f>MAX(0,O175-Calculator!$E$24)</f>
      </c>
      <c r="AH175" s="0">
        <f>MAX(0,P175-Calculator!$E$25)</f>
      </c>
      <c r="AI175" s="0">
        <f>MAX(0,Q175-Calculator!$E$26)</f>
      </c>
      <c r="AJ175" s="0">
        <f>MAX(0,R175-Calculator!$E$27)</f>
      </c>
      <c r="AK175" s="0">
        <f>MAX(0,S175-Calculator!$E$28)</f>
      </c>
      <c r="AL175" s="0">
        <f>MAX(0,MIN(T175,BX175-SUMPRODUCT(($T$2:$AK$2&lt;T$2)*($T175:$AK175))))</f>
      </c>
      <c r="AM175" s="0">
        <f>MAX(0,MIN(U175,BX175-SUMPRODUCT(($T$2:$AK$2&lt;U$2)*($T175:$AK175))))</f>
      </c>
      <c r="AN175" s="0">
        <f>MAX(0,MIN(V175,BX175-SUMPRODUCT(($T$2:$AK$2&lt;V$2)*($T175:$AK175))))</f>
      </c>
      <c r="AO175" s="0">
        <f>MAX(0,MIN(W175,BX175-SUMPRODUCT(($T$2:$AK$2&lt;W$2)*($T175:$AK175))))</f>
      </c>
      <c r="AP175" s="0">
        <f>MAX(0,MIN(X175,BX175-SUMPRODUCT(($T$2:$AK$2&lt;X$2)*($T175:$AK175))))</f>
      </c>
      <c r="AQ175" s="0">
        <f>MAX(0,MIN(Y175,BX175-SUMPRODUCT(($T$2:$AK$2&lt;Y$2)*($T175:$AK175))))</f>
      </c>
      <c r="AR175" s="0">
        <f>MAX(0,MIN(Z175,BX175-SUMPRODUCT(($T$2:$AK$2&lt;Z$2)*($T175:$AK175))))</f>
      </c>
      <c r="AS175" s="0">
        <f>MAX(0,MIN(AA175,BX175-SUMPRODUCT(($T$2:$AK$2&lt;AA$2)*($T175:$AK175))))</f>
      </c>
      <c r="AT175" s="0">
        <f>MAX(0,MIN(AB175,BX175-SUMPRODUCT(($T$2:$AK$2&lt;AB$2)*($T175:$AK175))))</f>
      </c>
      <c r="AU175" s="0">
        <f>MAX(0,MIN(AC175,BX175-SUMPRODUCT(($T$2:$AK$2&lt;AC$2)*($T175:$AK175))))</f>
      </c>
      <c r="AV175" s="0">
        <f>MAX(0,MIN(AD175,BX175-SUMPRODUCT(($T$2:$AK$2&lt;AD$2)*($T175:$AK175))))</f>
      </c>
      <c r="AW175" s="0">
        <f>MAX(0,MIN(AE175,BX175-SUMPRODUCT(($T$2:$AK$2&lt;AE$2)*($T175:$AK175))))</f>
      </c>
      <c r="AX175" s="0">
        <f>MAX(0,MIN(AF175,BX175-SUMPRODUCT(($T$2:$AK$2&lt;AF$2)*($T175:$AK175))))</f>
      </c>
      <c r="AY175" s="0">
        <f>MAX(0,MIN(AG175,BX175-SUMPRODUCT(($T$2:$AK$2&lt;AG$2)*($T175:$AK175))))</f>
      </c>
      <c r="AZ175" s="0">
        <f>MAX(0,MIN(AH175,BX175-SUMPRODUCT(($T$2:$AK$2&lt;AH$2)*($T175:$AK175))))</f>
      </c>
      <c r="BA175" s="0">
        <f>MAX(0,MIN(AI175,BX175-SUMPRODUCT(($T$2:$AK$2&lt;AI$2)*($T175:$AK175))))</f>
      </c>
      <c r="BB175" s="0">
        <f>MAX(0,MIN(AJ175,BX175-SUMPRODUCT(($T$2:$AK$2&lt;AJ$2)*($T175:$AK175))))</f>
      </c>
      <c r="BC175" s="0">
        <f>MAX(0,MIN(AK175,BX175-SUMPRODUCT(($T$2:$AK$2&lt;AK$2)*($T175:$AK175))))</f>
      </c>
      <c r="BD175" s="0">
        <f>T175-AL175</f>
      </c>
      <c r="BE175" s="0">
        <f>U175-AM175</f>
      </c>
      <c r="BF175" s="0">
        <f>V175-AN175</f>
      </c>
      <c r="BG175" s="0">
        <f>W175-AO175</f>
      </c>
      <c r="BH175" s="0">
        <f>X175-AP175</f>
      </c>
      <c r="BI175" s="0">
        <f>Y175-AQ175</f>
      </c>
      <c r="BJ175" s="0">
        <f>Z175-AR175</f>
      </c>
      <c r="BK175" s="0">
        <f>AA175-AS175</f>
      </c>
      <c r="BL175" s="0">
        <f>AB175-AT175</f>
      </c>
      <c r="BM175" s="0">
        <f>AC175-AU175</f>
      </c>
      <c r="BN175" s="0">
        <f>AD175-AV175</f>
      </c>
      <c r="BO175" s="0">
        <f>AE175-AW175</f>
      </c>
      <c r="BP175" s="0">
        <f>AF175-AX175</f>
      </c>
      <c r="BQ175" s="0">
        <f>AG175-AY175</f>
      </c>
      <c r="BR175" s="0">
        <f>AH175-AZ175</f>
      </c>
      <c r="BS175" s="0">
        <f>AI175-BA175</f>
      </c>
      <c r="BT175" s="0">
        <f>AJ175-BB175</f>
      </c>
      <c r="BU175" s="0">
        <f>AK175-BC175</f>
      </c>
      <c r="BV175" s="0">
        <f>SUM(B175:S175)</f>
      </c>
      <c r="BW175" s="0">
        <f>SUM(T175:AK175)</f>
      </c>
      <c r="BX175" s="0">
        <f>MAX(0,(SUM(Calculator!$E$11:$E$28)+Calculator!$C$6)-BV175+BW175)</f>
      </c>
      <c r="BY175" s="0">
        <f>SUM(BD175:BU175)</f>
      </c>
      <c r="BZ175" s="0">
        <f>BV175-BY174</f>
      </c>
      <c r="CA175" s="0">
        <f>IF(A175&lt;=IF($CD$1=0,999,$CD$1),BY175,NA())</f>
      </c>
      <c r="CB175" s="0">
        <f>IF(A175&lt;=IF($CD$1=0,999,$CD$1),A175,NA())</f>
      </c>
    </row>
    <row r="176">
      <c r="A176" s="0">
        <v>173</v>
      </c>
      <c r="B176" s="0">
        <f>BD175*(1+Calculator!$D$11/100/12)</f>
      </c>
      <c r="C176" s="0">
        <f>BE175*(1+Calculator!$D$12/100/12)</f>
      </c>
      <c r="D176" s="0">
        <f>BF175*(1+Calculator!$D$13/100/12)</f>
      </c>
      <c r="E176" s="0">
        <f>BG175*(1+Calculator!$D$14/100/12)</f>
      </c>
      <c r="F176" s="0">
        <f>BH175*(1+Calculator!$D$15/100/12)</f>
      </c>
      <c r="G176" s="0">
        <f>BI175*(1+Calculator!$D$16/100/12)</f>
      </c>
      <c r="H176" s="0">
        <f>BJ175*(1+Calculator!$D$17/100/12)</f>
      </c>
      <c r="I176" s="0">
        <f>BK175*(1+Calculator!$D$18/100/12)</f>
      </c>
      <c r="J176" s="0">
        <f>BL175*(1+Calculator!$D$19/100/12)</f>
      </c>
      <c r="K176" s="0">
        <f>BM175*(1+Calculator!$D$20/100/12)</f>
      </c>
      <c r="L176" s="0">
        <f>BN175*(1+Calculator!$D$21/100/12)</f>
      </c>
      <c r="M176" s="0">
        <f>BO175*(1+Calculator!$D$22/100/12)</f>
      </c>
      <c r="N176" s="0">
        <f>BP175*(1+Calculator!$D$23/100/12)</f>
      </c>
      <c r="O176" s="0">
        <f>BQ175*(1+Calculator!$D$24/100/12)</f>
      </c>
      <c r="P176" s="0">
        <f>BR175*(1+Calculator!$D$25/100/12)</f>
      </c>
      <c r="Q176" s="0">
        <f>BS175*(1+Calculator!$D$26/100/12)</f>
      </c>
      <c r="R176" s="0">
        <f>BT175*(1+Calculator!$D$27/100/12)</f>
      </c>
      <c r="S176" s="0">
        <f>BU175*(1+Calculator!$D$28/100/12)</f>
      </c>
      <c r="T176" s="0">
        <f>MAX(0,B176-Calculator!$E$11)</f>
      </c>
      <c r="U176" s="0">
        <f>MAX(0,C176-Calculator!$E$12)</f>
      </c>
      <c r="V176" s="0">
        <f>MAX(0,D176-Calculator!$E$13)</f>
      </c>
      <c r="W176" s="0">
        <f>MAX(0,E176-Calculator!$E$14)</f>
      </c>
      <c r="X176" s="0">
        <f>MAX(0,F176-Calculator!$E$15)</f>
      </c>
      <c r="Y176" s="0">
        <f>MAX(0,G176-Calculator!$E$16)</f>
      </c>
      <c r="Z176" s="0">
        <f>MAX(0,H176-Calculator!$E$17)</f>
      </c>
      <c r="AA176" s="0">
        <f>MAX(0,I176-Calculator!$E$18)</f>
      </c>
      <c r="AB176" s="0">
        <f>MAX(0,J176-Calculator!$E$19)</f>
      </c>
      <c r="AC176" s="0">
        <f>MAX(0,K176-Calculator!$E$20)</f>
      </c>
      <c r="AD176" s="0">
        <f>MAX(0,L176-Calculator!$E$21)</f>
      </c>
      <c r="AE176" s="0">
        <f>MAX(0,M176-Calculator!$E$22)</f>
      </c>
      <c r="AF176" s="0">
        <f>MAX(0,N176-Calculator!$E$23)</f>
      </c>
      <c r="AG176" s="0">
        <f>MAX(0,O176-Calculator!$E$24)</f>
      </c>
      <c r="AH176" s="0">
        <f>MAX(0,P176-Calculator!$E$25)</f>
      </c>
      <c r="AI176" s="0">
        <f>MAX(0,Q176-Calculator!$E$26)</f>
      </c>
      <c r="AJ176" s="0">
        <f>MAX(0,R176-Calculator!$E$27)</f>
      </c>
      <c r="AK176" s="0">
        <f>MAX(0,S176-Calculator!$E$28)</f>
      </c>
      <c r="AL176" s="0">
        <f>MAX(0,MIN(T176,BX176-SUMPRODUCT(($T$2:$AK$2&lt;T$2)*($T176:$AK176))))</f>
      </c>
      <c r="AM176" s="0">
        <f>MAX(0,MIN(U176,BX176-SUMPRODUCT(($T$2:$AK$2&lt;U$2)*($T176:$AK176))))</f>
      </c>
      <c r="AN176" s="0">
        <f>MAX(0,MIN(V176,BX176-SUMPRODUCT(($T$2:$AK$2&lt;V$2)*($T176:$AK176))))</f>
      </c>
      <c r="AO176" s="0">
        <f>MAX(0,MIN(W176,BX176-SUMPRODUCT(($T$2:$AK$2&lt;W$2)*($T176:$AK176))))</f>
      </c>
      <c r="AP176" s="0">
        <f>MAX(0,MIN(X176,BX176-SUMPRODUCT(($T$2:$AK$2&lt;X$2)*($T176:$AK176))))</f>
      </c>
      <c r="AQ176" s="0">
        <f>MAX(0,MIN(Y176,BX176-SUMPRODUCT(($T$2:$AK$2&lt;Y$2)*($T176:$AK176))))</f>
      </c>
      <c r="AR176" s="0">
        <f>MAX(0,MIN(Z176,BX176-SUMPRODUCT(($T$2:$AK$2&lt;Z$2)*($T176:$AK176))))</f>
      </c>
      <c r="AS176" s="0">
        <f>MAX(0,MIN(AA176,BX176-SUMPRODUCT(($T$2:$AK$2&lt;AA$2)*($T176:$AK176))))</f>
      </c>
      <c r="AT176" s="0">
        <f>MAX(0,MIN(AB176,BX176-SUMPRODUCT(($T$2:$AK$2&lt;AB$2)*($T176:$AK176))))</f>
      </c>
      <c r="AU176" s="0">
        <f>MAX(0,MIN(AC176,BX176-SUMPRODUCT(($T$2:$AK$2&lt;AC$2)*($T176:$AK176))))</f>
      </c>
      <c r="AV176" s="0">
        <f>MAX(0,MIN(AD176,BX176-SUMPRODUCT(($T$2:$AK$2&lt;AD$2)*($T176:$AK176))))</f>
      </c>
      <c r="AW176" s="0">
        <f>MAX(0,MIN(AE176,BX176-SUMPRODUCT(($T$2:$AK$2&lt;AE$2)*($T176:$AK176))))</f>
      </c>
      <c r="AX176" s="0">
        <f>MAX(0,MIN(AF176,BX176-SUMPRODUCT(($T$2:$AK$2&lt;AF$2)*($T176:$AK176))))</f>
      </c>
      <c r="AY176" s="0">
        <f>MAX(0,MIN(AG176,BX176-SUMPRODUCT(($T$2:$AK$2&lt;AG$2)*($T176:$AK176))))</f>
      </c>
      <c r="AZ176" s="0">
        <f>MAX(0,MIN(AH176,BX176-SUMPRODUCT(($T$2:$AK$2&lt;AH$2)*($T176:$AK176))))</f>
      </c>
      <c r="BA176" s="0">
        <f>MAX(0,MIN(AI176,BX176-SUMPRODUCT(($T$2:$AK$2&lt;AI$2)*($T176:$AK176))))</f>
      </c>
      <c r="BB176" s="0">
        <f>MAX(0,MIN(AJ176,BX176-SUMPRODUCT(($T$2:$AK$2&lt;AJ$2)*($T176:$AK176))))</f>
      </c>
      <c r="BC176" s="0">
        <f>MAX(0,MIN(AK176,BX176-SUMPRODUCT(($T$2:$AK$2&lt;AK$2)*($T176:$AK176))))</f>
      </c>
      <c r="BD176" s="0">
        <f>T176-AL176</f>
      </c>
      <c r="BE176" s="0">
        <f>U176-AM176</f>
      </c>
      <c r="BF176" s="0">
        <f>V176-AN176</f>
      </c>
      <c r="BG176" s="0">
        <f>W176-AO176</f>
      </c>
      <c r="BH176" s="0">
        <f>X176-AP176</f>
      </c>
      <c r="BI176" s="0">
        <f>Y176-AQ176</f>
      </c>
      <c r="BJ176" s="0">
        <f>Z176-AR176</f>
      </c>
      <c r="BK176" s="0">
        <f>AA176-AS176</f>
      </c>
      <c r="BL176" s="0">
        <f>AB176-AT176</f>
      </c>
      <c r="BM176" s="0">
        <f>AC176-AU176</f>
      </c>
      <c r="BN176" s="0">
        <f>AD176-AV176</f>
      </c>
      <c r="BO176" s="0">
        <f>AE176-AW176</f>
      </c>
      <c r="BP176" s="0">
        <f>AF176-AX176</f>
      </c>
      <c r="BQ176" s="0">
        <f>AG176-AY176</f>
      </c>
      <c r="BR176" s="0">
        <f>AH176-AZ176</f>
      </c>
      <c r="BS176" s="0">
        <f>AI176-BA176</f>
      </c>
      <c r="BT176" s="0">
        <f>AJ176-BB176</f>
      </c>
      <c r="BU176" s="0">
        <f>AK176-BC176</f>
      </c>
      <c r="BV176" s="0">
        <f>SUM(B176:S176)</f>
      </c>
      <c r="BW176" s="0">
        <f>SUM(T176:AK176)</f>
      </c>
      <c r="BX176" s="0">
        <f>MAX(0,(SUM(Calculator!$E$11:$E$28)+Calculator!$C$6)-BV176+BW176)</f>
      </c>
      <c r="BY176" s="0">
        <f>SUM(BD176:BU176)</f>
      </c>
      <c r="BZ176" s="0">
        <f>BV176-BY175</f>
      </c>
      <c r="CA176" s="0">
        <f>IF(A176&lt;=IF($CD$1=0,999,$CD$1),BY176,NA())</f>
      </c>
      <c r="CB176" s="0">
        <f>IF(A176&lt;=IF($CD$1=0,999,$CD$1),A176,NA())</f>
      </c>
    </row>
    <row r="177">
      <c r="A177" s="0">
        <v>174</v>
      </c>
      <c r="B177" s="0">
        <f>BD176*(1+Calculator!$D$11/100/12)</f>
      </c>
      <c r="C177" s="0">
        <f>BE176*(1+Calculator!$D$12/100/12)</f>
      </c>
      <c r="D177" s="0">
        <f>BF176*(1+Calculator!$D$13/100/12)</f>
      </c>
      <c r="E177" s="0">
        <f>BG176*(1+Calculator!$D$14/100/12)</f>
      </c>
      <c r="F177" s="0">
        <f>BH176*(1+Calculator!$D$15/100/12)</f>
      </c>
      <c r="G177" s="0">
        <f>BI176*(1+Calculator!$D$16/100/12)</f>
      </c>
      <c r="H177" s="0">
        <f>BJ176*(1+Calculator!$D$17/100/12)</f>
      </c>
      <c r="I177" s="0">
        <f>BK176*(1+Calculator!$D$18/100/12)</f>
      </c>
      <c r="J177" s="0">
        <f>BL176*(1+Calculator!$D$19/100/12)</f>
      </c>
      <c r="K177" s="0">
        <f>BM176*(1+Calculator!$D$20/100/12)</f>
      </c>
      <c r="L177" s="0">
        <f>BN176*(1+Calculator!$D$21/100/12)</f>
      </c>
      <c r="M177" s="0">
        <f>BO176*(1+Calculator!$D$22/100/12)</f>
      </c>
      <c r="N177" s="0">
        <f>BP176*(1+Calculator!$D$23/100/12)</f>
      </c>
      <c r="O177" s="0">
        <f>BQ176*(1+Calculator!$D$24/100/12)</f>
      </c>
      <c r="P177" s="0">
        <f>BR176*(1+Calculator!$D$25/100/12)</f>
      </c>
      <c r="Q177" s="0">
        <f>BS176*(1+Calculator!$D$26/100/12)</f>
      </c>
      <c r="R177" s="0">
        <f>BT176*(1+Calculator!$D$27/100/12)</f>
      </c>
      <c r="S177" s="0">
        <f>BU176*(1+Calculator!$D$28/100/12)</f>
      </c>
      <c r="T177" s="0">
        <f>MAX(0,B177-Calculator!$E$11)</f>
      </c>
      <c r="U177" s="0">
        <f>MAX(0,C177-Calculator!$E$12)</f>
      </c>
      <c r="V177" s="0">
        <f>MAX(0,D177-Calculator!$E$13)</f>
      </c>
      <c r="W177" s="0">
        <f>MAX(0,E177-Calculator!$E$14)</f>
      </c>
      <c r="X177" s="0">
        <f>MAX(0,F177-Calculator!$E$15)</f>
      </c>
      <c r="Y177" s="0">
        <f>MAX(0,G177-Calculator!$E$16)</f>
      </c>
      <c r="Z177" s="0">
        <f>MAX(0,H177-Calculator!$E$17)</f>
      </c>
      <c r="AA177" s="0">
        <f>MAX(0,I177-Calculator!$E$18)</f>
      </c>
      <c r="AB177" s="0">
        <f>MAX(0,J177-Calculator!$E$19)</f>
      </c>
      <c r="AC177" s="0">
        <f>MAX(0,K177-Calculator!$E$20)</f>
      </c>
      <c r="AD177" s="0">
        <f>MAX(0,L177-Calculator!$E$21)</f>
      </c>
      <c r="AE177" s="0">
        <f>MAX(0,M177-Calculator!$E$22)</f>
      </c>
      <c r="AF177" s="0">
        <f>MAX(0,N177-Calculator!$E$23)</f>
      </c>
      <c r="AG177" s="0">
        <f>MAX(0,O177-Calculator!$E$24)</f>
      </c>
      <c r="AH177" s="0">
        <f>MAX(0,P177-Calculator!$E$25)</f>
      </c>
      <c r="AI177" s="0">
        <f>MAX(0,Q177-Calculator!$E$26)</f>
      </c>
      <c r="AJ177" s="0">
        <f>MAX(0,R177-Calculator!$E$27)</f>
      </c>
      <c r="AK177" s="0">
        <f>MAX(0,S177-Calculator!$E$28)</f>
      </c>
      <c r="AL177" s="0">
        <f>MAX(0,MIN(T177,BX177-SUMPRODUCT(($T$2:$AK$2&lt;T$2)*($T177:$AK177))))</f>
      </c>
      <c r="AM177" s="0">
        <f>MAX(0,MIN(U177,BX177-SUMPRODUCT(($T$2:$AK$2&lt;U$2)*($T177:$AK177))))</f>
      </c>
      <c r="AN177" s="0">
        <f>MAX(0,MIN(V177,BX177-SUMPRODUCT(($T$2:$AK$2&lt;V$2)*($T177:$AK177))))</f>
      </c>
      <c r="AO177" s="0">
        <f>MAX(0,MIN(W177,BX177-SUMPRODUCT(($T$2:$AK$2&lt;W$2)*($T177:$AK177))))</f>
      </c>
      <c r="AP177" s="0">
        <f>MAX(0,MIN(X177,BX177-SUMPRODUCT(($T$2:$AK$2&lt;X$2)*($T177:$AK177))))</f>
      </c>
      <c r="AQ177" s="0">
        <f>MAX(0,MIN(Y177,BX177-SUMPRODUCT(($T$2:$AK$2&lt;Y$2)*($T177:$AK177))))</f>
      </c>
      <c r="AR177" s="0">
        <f>MAX(0,MIN(Z177,BX177-SUMPRODUCT(($T$2:$AK$2&lt;Z$2)*($T177:$AK177))))</f>
      </c>
      <c r="AS177" s="0">
        <f>MAX(0,MIN(AA177,BX177-SUMPRODUCT(($T$2:$AK$2&lt;AA$2)*($T177:$AK177))))</f>
      </c>
      <c r="AT177" s="0">
        <f>MAX(0,MIN(AB177,BX177-SUMPRODUCT(($T$2:$AK$2&lt;AB$2)*($T177:$AK177))))</f>
      </c>
      <c r="AU177" s="0">
        <f>MAX(0,MIN(AC177,BX177-SUMPRODUCT(($T$2:$AK$2&lt;AC$2)*($T177:$AK177))))</f>
      </c>
      <c r="AV177" s="0">
        <f>MAX(0,MIN(AD177,BX177-SUMPRODUCT(($T$2:$AK$2&lt;AD$2)*($T177:$AK177))))</f>
      </c>
      <c r="AW177" s="0">
        <f>MAX(0,MIN(AE177,BX177-SUMPRODUCT(($T$2:$AK$2&lt;AE$2)*($T177:$AK177))))</f>
      </c>
      <c r="AX177" s="0">
        <f>MAX(0,MIN(AF177,BX177-SUMPRODUCT(($T$2:$AK$2&lt;AF$2)*($T177:$AK177))))</f>
      </c>
      <c r="AY177" s="0">
        <f>MAX(0,MIN(AG177,BX177-SUMPRODUCT(($T$2:$AK$2&lt;AG$2)*($T177:$AK177))))</f>
      </c>
      <c r="AZ177" s="0">
        <f>MAX(0,MIN(AH177,BX177-SUMPRODUCT(($T$2:$AK$2&lt;AH$2)*($T177:$AK177))))</f>
      </c>
      <c r="BA177" s="0">
        <f>MAX(0,MIN(AI177,BX177-SUMPRODUCT(($T$2:$AK$2&lt;AI$2)*($T177:$AK177))))</f>
      </c>
      <c r="BB177" s="0">
        <f>MAX(0,MIN(AJ177,BX177-SUMPRODUCT(($T$2:$AK$2&lt;AJ$2)*($T177:$AK177))))</f>
      </c>
      <c r="BC177" s="0">
        <f>MAX(0,MIN(AK177,BX177-SUMPRODUCT(($T$2:$AK$2&lt;AK$2)*($T177:$AK177))))</f>
      </c>
      <c r="BD177" s="0">
        <f>T177-AL177</f>
      </c>
      <c r="BE177" s="0">
        <f>U177-AM177</f>
      </c>
      <c r="BF177" s="0">
        <f>V177-AN177</f>
      </c>
      <c r="BG177" s="0">
        <f>W177-AO177</f>
      </c>
      <c r="BH177" s="0">
        <f>X177-AP177</f>
      </c>
      <c r="BI177" s="0">
        <f>Y177-AQ177</f>
      </c>
      <c r="BJ177" s="0">
        <f>Z177-AR177</f>
      </c>
      <c r="BK177" s="0">
        <f>AA177-AS177</f>
      </c>
      <c r="BL177" s="0">
        <f>AB177-AT177</f>
      </c>
      <c r="BM177" s="0">
        <f>AC177-AU177</f>
      </c>
      <c r="BN177" s="0">
        <f>AD177-AV177</f>
      </c>
      <c r="BO177" s="0">
        <f>AE177-AW177</f>
      </c>
      <c r="BP177" s="0">
        <f>AF177-AX177</f>
      </c>
      <c r="BQ177" s="0">
        <f>AG177-AY177</f>
      </c>
      <c r="BR177" s="0">
        <f>AH177-AZ177</f>
      </c>
      <c r="BS177" s="0">
        <f>AI177-BA177</f>
      </c>
      <c r="BT177" s="0">
        <f>AJ177-BB177</f>
      </c>
      <c r="BU177" s="0">
        <f>AK177-BC177</f>
      </c>
      <c r="BV177" s="0">
        <f>SUM(B177:S177)</f>
      </c>
      <c r="BW177" s="0">
        <f>SUM(T177:AK177)</f>
      </c>
      <c r="BX177" s="0">
        <f>MAX(0,(SUM(Calculator!$E$11:$E$28)+Calculator!$C$6)-BV177+BW177)</f>
      </c>
      <c r="BY177" s="0">
        <f>SUM(BD177:BU177)</f>
      </c>
      <c r="BZ177" s="0">
        <f>BV177-BY176</f>
      </c>
      <c r="CA177" s="0">
        <f>IF(A177&lt;=IF($CD$1=0,999,$CD$1),BY177,NA())</f>
      </c>
      <c r="CB177" s="0">
        <f>IF(A177&lt;=IF($CD$1=0,999,$CD$1),A177,NA())</f>
      </c>
    </row>
    <row r="178">
      <c r="A178" s="0">
        <v>175</v>
      </c>
      <c r="B178" s="0">
        <f>BD177*(1+Calculator!$D$11/100/12)</f>
      </c>
      <c r="C178" s="0">
        <f>BE177*(1+Calculator!$D$12/100/12)</f>
      </c>
      <c r="D178" s="0">
        <f>BF177*(1+Calculator!$D$13/100/12)</f>
      </c>
      <c r="E178" s="0">
        <f>BG177*(1+Calculator!$D$14/100/12)</f>
      </c>
      <c r="F178" s="0">
        <f>BH177*(1+Calculator!$D$15/100/12)</f>
      </c>
      <c r="G178" s="0">
        <f>BI177*(1+Calculator!$D$16/100/12)</f>
      </c>
      <c r="H178" s="0">
        <f>BJ177*(1+Calculator!$D$17/100/12)</f>
      </c>
      <c r="I178" s="0">
        <f>BK177*(1+Calculator!$D$18/100/12)</f>
      </c>
      <c r="J178" s="0">
        <f>BL177*(1+Calculator!$D$19/100/12)</f>
      </c>
      <c r="K178" s="0">
        <f>BM177*(1+Calculator!$D$20/100/12)</f>
      </c>
      <c r="L178" s="0">
        <f>BN177*(1+Calculator!$D$21/100/12)</f>
      </c>
      <c r="M178" s="0">
        <f>BO177*(1+Calculator!$D$22/100/12)</f>
      </c>
      <c r="N178" s="0">
        <f>BP177*(1+Calculator!$D$23/100/12)</f>
      </c>
      <c r="O178" s="0">
        <f>BQ177*(1+Calculator!$D$24/100/12)</f>
      </c>
      <c r="P178" s="0">
        <f>BR177*(1+Calculator!$D$25/100/12)</f>
      </c>
      <c r="Q178" s="0">
        <f>BS177*(1+Calculator!$D$26/100/12)</f>
      </c>
      <c r="R178" s="0">
        <f>BT177*(1+Calculator!$D$27/100/12)</f>
      </c>
      <c r="S178" s="0">
        <f>BU177*(1+Calculator!$D$28/100/12)</f>
      </c>
      <c r="T178" s="0">
        <f>MAX(0,B178-Calculator!$E$11)</f>
      </c>
      <c r="U178" s="0">
        <f>MAX(0,C178-Calculator!$E$12)</f>
      </c>
      <c r="V178" s="0">
        <f>MAX(0,D178-Calculator!$E$13)</f>
      </c>
      <c r="W178" s="0">
        <f>MAX(0,E178-Calculator!$E$14)</f>
      </c>
      <c r="X178" s="0">
        <f>MAX(0,F178-Calculator!$E$15)</f>
      </c>
      <c r="Y178" s="0">
        <f>MAX(0,G178-Calculator!$E$16)</f>
      </c>
      <c r="Z178" s="0">
        <f>MAX(0,H178-Calculator!$E$17)</f>
      </c>
      <c r="AA178" s="0">
        <f>MAX(0,I178-Calculator!$E$18)</f>
      </c>
      <c r="AB178" s="0">
        <f>MAX(0,J178-Calculator!$E$19)</f>
      </c>
      <c r="AC178" s="0">
        <f>MAX(0,K178-Calculator!$E$20)</f>
      </c>
      <c r="AD178" s="0">
        <f>MAX(0,L178-Calculator!$E$21)</f>
      </c>
      <c r="AE178" s="0">
        <f>MAX(0,M178-Calculator!$E$22)</f>
      </c>
      <c r="AF178" s="0">
        <f>MAX(0,N178-Calculator!$E$23)</f>
      </c>
      <c r="AG178" s="0">
        <f>MAX(0,O178-Calculator!$E$24)</f>
      </c>
      <c r="AH178" s="0">
        <f>MAX(0,P178-Calculator!$E$25)</f>
      </c>
      <c r="AI178" s="0">
        <f>MAX(0,Q178-Calculator!$E$26)</f>
      </c>
      <c r="AJ178" s="0">
        <f>MAX(0,R178-Calculator!$E$27)</f>
      </c>
      <c r="AK178" s="0">
        <f>MAX(0,S178-Calculator!$E$28)</f>
      </c>
      <c r="AL178" s="0">
        <f>MAX(0,MIN(T178,BX178-SUMPRODUCT(($T$2:$AK$2&lt;T$2)*($T178:$AK178))))</f>
      </c>
      <c r="AM178" s="0">
        <f>MAX(0,MIN(U178,BX178-SUMPRODUCT(($T$2:$AK$2&lt;U$2)*($T178:$AK178))))</f>
      </c>
      <c r="AN178" s="0">
        <f>MAX(0,MIN(V178,BX178-SUMPRODUCT(($T$2:$AK$2&lt;V$2)*($T178:$AK178))))</f>
      </c>
      <c r="AO178" s="0">
        <f>MAX(0,MIN(W178,BX178-SUMPRODUCT(($T$2:$AK$2&lt;W$2)*($T178:$AK178))))</f>
      </c>
      <c r="AP178" s="0">
        <f>MAX(0,MIN(X178,BX178-SUMPRODUCT(($T$2:$AK$2&lt;X$2)*($T178:$AK178))))</f>
      </c>
      <c r="AQ178" s="0">
        <f>MAX(0,MIN(Y178,BX178-SUMPRODUCT(($T$2:$AK$2&lt;Y$2)*($T178:$AK178))))</f>
      </c>
      <c r="AR178" s="0">
        <f>MAX(0,MIN(Z178,BX178-SUMPRODUCT(($T$2:$AK$2&lt;Z$2)*($T178:$AK178))))</f>
      </c>
      <c r="AS178" s="0">
        <f>MAX(0,MIN(AA178,BX178-SUMPRODUCT(($T$2:$AK$2&lt;AA$2)*($T178:$AK178))))</f>
      </c>
      <c r="AT178" s="0">
        <f>MAX(0,MIN(AB178,BX178-SUMPRODUCT(($T$2:$AK$2&lt;AB$2)*($T178:$AK178))))</f>
      </c>
      <c r="AU178" s="0">
        <f>MAX(0,MIN(AC178,BX178-SUMPRODUCT(($T$2:$AK$2&lt;AC$2)*($T178:$AK178))))</f>
      </c>
      <c r="AV178" s="0">
        <f>MAX(0,MIN(AD178,BX178-SUMPRODUCT(($T$2:$AK$2&lt;AD$2)*($T178:$AK178))))</f>
      </c>
      <c r="AW178" s="0">
        <f>MAX(0,MIN(AE178,BX178-SUMPRODUCT(($T$2:$AK$2&lt;AE$2)*($T178:$AK178))))</f>
      </c>
      <c r="AX178" s="0">
        <f>MAX(0,MIN(AF178,BX178-SUMPRODUCT(($T$2:$AK$2&lt;AF$2)*($T178:$AK178))))</f>
      </c>
      <c r="AY178" s="0">
        <f>MAX(0,MIN(AG178,BX178-SUMPRODUCT(($T$2:$AK$2&lt;AG$2)*($T178:$AK178))))</f>
      </c>
      <c r="AZ178" s="0">
        <f>MAX(0,MIN(AH178,BX178-SUMPRODUCT(($T$2:$AK$2&lt;AH$2)*($T178:$AK178))))</f>
      </c>
      <c r="BA178" s="0">
        <f>MAX(0,MIN(AI178,BX178-SUMPRODUCT(($T$2:$AK$2&lt;AI$2)*($T178:$AK178))))</f>
      </c>
      <c r="BB178" s="0">
        <f>MAX(0,MIN(AJ178,BX178-SUMPRODUCT(($T$2:$AK$2&lt;AJ$2)*($T178:$AK178))))</f>
      </c>
      <c r="BC178" s="0">
        <f>MAX(0,MIN(AK178,BX178-SUMPRODUCT(($T$2:$AK$2&lt;AK$2)*($T178:$AK178))))</f>
      </c>
      <c r="BD178" s="0">
        <f>T178-AL178</f>
      </c>
      <c r="BE178" s="0">
        <f>U178-AM178</f>
      </c>
      <c r="BF178" s="0">
        <f>V178-AN178</f>
      </c>
      <c r="BG178" s="0">
        <f>W178-AO178</f>
      </c>
      <c r="BH178" s="0">
        <f>X178-AP178</f>
      </c>
      <c r="BI178" s="0">
        <f>Y178-AQ178</f>
      </c>
      <c r="BJ178" s="0">
        <f>Z178-AR178</f>
      </c>
      <c r="BK178" s="0">
        <f>AA178-AS178</f>
      </c>
      <c r="BL178" s="0">
        <f>AB178-AT178</f>
      </c>
      <c r="BM178" s="0">
        <f>AC178-AU178</f>
      </c>
      <c r="BN178" s="0">
        <f>AD178-AV178</f>
      </c>
      <c r="BO178" s="0">
        <f>AE178-AW178</f>
      </c>
      <c r="BP178" s="0">
        <f>AF178-AX178</f>
      </c>
      <c r="BQ178" s="0">
        <f>AG178-AY178</f>
      </c>
      <c r="BR178" s="0">
        <f>AH178-AZ178</f>
      </c>
      <c r="BS178" s="0">
        <f>AI178-BA178</f>
      </c>
      <c r="BT178" s="0">
        <f>AJ178-BB178</f>
      </c>
      <c r="BU178" s="0">
        <f>AK178-BC178</f>
      </c>
      <c r="BV178" s="0">
        <f>SUM(B178:S178)</f>
      </c>
      <c r="BW178" s="0">
        <f>SUM(T178:AK178)</f>
      </c>
      <c r="BX178" s="0">
        <f>MAX(0,(SUM(Calculator!$E$11:$E$28)+Calculator!$C$6)-BV178+BW178)</f>
      </c>
      <c r="BY178" s="0">
        <f>SUM(BD178:BU178)</f>
      </c>
      <c r="BZ178" s="0">
        <f>BV178-BY177</f>
      </c>
      <c r="CA178" s="0">
        <f>IF(A178&lt;=IF($CD$1=0,999,$CD$1),BY178,NA())</f>
      </c>
      <c r="CB178" s="0">
        <f>IF(A178&lt;=IF($CD$1=0,999,$CD$1),A178,NA())</f>
      </c>
    </row>
    <row r="179">
      <c r="A179" s="0">
        <v>176</v>
      </c>
      <c r="B179" s="0">
        <f>BD178*(1+Calculator!$D$11/100/12)</f>
      </c>
      <c r="C179" s="0">
        <f>BE178*(1+Calculator!$D$12/100/12)</f>
      </c>
      <c r="D179" s="0">
        <f>BF178*(1+Calculator!$D$13/100/12)</f>
      </c>
      <c r="E179" s="0">
        <f>BG178*(1+Calculator!$D$14/100/12)</f>
      </c>
      <c r="F179" s="0">
        <f>BH178*(1+Calculator!$D$15/100/12)</f>
      </c>
      <c r="G179" s="0">
        <f>BI178*(1+Calculator!$D$16/100/12)</f>
      </c>
      <c r="H179" s="0">
        <f>BJ178*(1+Calculator!$D$17/100/12)</f>
      </c>
      <c r="I179" s="0">
        <f>BK178*(1+Calculator!$D$18/100/12)</f>
      </c>
      <c r="J179" s="0">
        <f>BL178*(1+Calculator!$D$19/100/12)</f>
      </c>
      <c r="K179" s="0">
        <f>BM178*(1+Calculator!$D$20/100/12)</f>
      </c>
      <c r="L179" s="0">
        <f>BN178*(1+Calculator!$D$21/100/12)</f>
      </c>
      <c r="M179" s="0">
        <f>BO178*(1+Calculator!$D$22/100/12)</f>
      </c>
      <c r="N179" s="0">
        <f>BP178*(1+Calculator!$D$23/100/12)</f>
      </c>
      <c r="O179" s="0">
        <f>BQ178*(1+Calculator!$D$24/100/12)</f>
      </c>
      <c r="P179" s="0">
        <f>BR178*(1+Calculator!$D$25/100/12)</f>
      </c>
      <c r="Q179" s="0">
        <f>BS178*(1+Calculator!$D$26/100/12)</f>
      </c>
      <c r="R179" s="0">
        <f>BT178*(1+Calculator!$D$27/100/12)</f>
      </c>
      <c r="S179" s="0">
        <f>BU178*(1+Calculator!$D$28/100/12)</f>
      </c>
      <c r="T179" s="0">
        <f>MAX(0,B179-Calculator!$E$11)</f>
      </c>
      <c r="U179" s="0">
        <f>MAX(0,C179-Calculator!$E$12)</f>
      </c>
      <c r="V179" s="0">
        <f>MAX(0,D179-Calculator!$E$13)</f>
      </c>
      <c r="W179" s="0">
        <f>MAX(0,E179-Calculator!$E$14)</f>
      </c>
      <c r="X179" s="0">
        <f>MAX(0,F179-Calculator!$E$15)</f>
      </c>
      <c r="Y179" s="0">
        <f>MAX(0,G179-Calculator!$E$16)</f>
      </c>
      <c r="Z179" s="0">
        <f>MAX(0,H179-Calculator!$E$17)</f>
      </c>
      <c r="AA179" s="0">
        <f>MAX(0,I179-Calculator!$E$18)</f>
      </c>
      <c r="AB179" s="0">
        <f>MAX(0,J179-Calculator!$E$19)</f>
      </c>
      <c r="AC179" s="0">
        <f>MAX(0,K179-Calculator!$E$20)</f>
      </c>
      <c r="AD179" s="0">
        <f>MAX(0,L179-Calculator!$E$21)</f>
      </c>
      <c r="AE179" s="0">
        <f>MAX(0,M179-Calculator!$E$22)</f>
      </c>
      <c r="AF179" s="0">
        <f>MAX(0,N179-Calculator!$E$23)</f>
      </c>
      <c r="AG179" s="0">
        <f>MAX(0,O179-Calculator!$E$24)</f>
      </c>
      <c r="AH179" s="0">
        <f>MAX(0,P179-Calculator!$E$25)</f>
      </c>
      <c r="AI179" s="0">
        <f>MAX(0,Q179-Calculator!$E$26)</f>
      </c>
      <c r="AJ179" s="0">
        <f>MAX(0,R179-Calculator!$E$27)</f>
      </c>
      <c r="AK179" s="0">
        <f>MAX(0,S179-Calculator!$E$28)</f>
      </c>
      <c r="AL179" s="0">
        <f>MAX(0,MIN(T179,BX179-SUMPRODUCT(($T$2:$AK$2&lt;T$2)*($T179:$AK179))))</f>
      </c>
      <c r="AM179" s="0">
        <f>MAX(0,MIN(U179,BX179-SUMPRODUCT(($T$2:$AK$2&lt;U$2)*($T179:$AK179))))</f>
      </c>
      <c r="AN179" s="0">
        <f>MAX(0,MIN(V179,BX179-SUMPRODUCT(($T$2:$AK$2&lt;V$2)*($T179:$AK179))))</f>
      </c>
      <c r="AO179" s="0">
        <f>MAX(0,MIN(W179,BX179-SUMPRODUCT(($T$2:$AK$2&lt;W$2)*($T179:$AK179))))</f>
      </c>
      <c r="AP179" s="0">
        <f>MAX(0,MIN(X179,BX179-SUMPRODUCT(($T$2:$AK$2&lt;X$2)*($T179:$AK179))))</f>
      </c>
      <c r="AQ179" s="0">
        <f>MAX(0,MIN(Y179,BX179-SUMPRODUCT(($T$2:$AK$2&lt;Y$2)*($T179:$AK179))))</f>
      </c>
      <c r="AR179" s="0">
        <f>MAX(0,MIN(Z179,BX179-SUMPRODUCT(($T$2:$AK$2&lt;Z$2)*($T179:$AK179))))</f>
      </c>
      <c r="AS179" s="0">
        <f>MAX(0,MIN(AA179,BX179-SUMPRODUCT(($T$2:$AK$2&lt;AA$2)*($T179:$AK179))))</f>
      </c>
      <c r="AT179" s="0">
        <f>MAX(0,MIN(AB179,BX179-SUMPRODUCT(($T$2:$AK$2&lt;AB$2)*($T179:$AK179))))</f>
      </c>
      <c r="AU179" s="0">
        <f>MAX(0,MIN(AC179,BX179-SUMPRODUCT(($T$2:$AK$2&lt;AC$2)*($T179:$AK179))))</f>
      </c>
      <c r="AV179" s="0">
        <f>MAX(0,MIN(AD179,BX179-SUMPRODUCT(($T$2:$AK$2&lt;AD$2)*($T179:$AK179))))</f>
      </c>
      <c r="AW179" s="0">
        <f>MAX(0,MIN(AE179,BX179-SUMPRODUCT(($T$2:$AK$2&lt;AE$2)*($T179:$AK179))))</f>
      </c>
      <c r="AX179" s="0">
        <f>MAX(0,MIN(AF179,BX179-SUMPRODUCT(($T$2:$AK$2&lt;AF$2)*($T179:$AK179))))</f>
      </c>
      <c r="AY179" s="0">
        <f>MAX(0,MIN(AG179,BX179-SUMPRODUCT(($T$2:$AK$2&lt;AG$2)*($T179:$AK179))))</f>
      </c>
      <c r="AZ179" s="0">
        <f>MAX(0,MIN(AH179,BX179-SUMPRODUCT(($T$2:$AK$2&lt;AH$2)*($T179:$AK179))))</f>
      </c>
      <c r="BA179" s="0">
        <f>MAX(0,MIN(AI179,BX179-SUMPRODUCT(($T$2:$AK$2&lt;AI$2)*($T179:$AK179))))</f>
      </c>
      <c r="BB179" s="0">
        <f>MAX(0,MIN(AJ179,BX179-SUMPRODUCT(($T$2:$AK$2&lt;AJ$2)*($T179:$AK179))))</f>
      </c>
      <c r="BC179" s="0">
        <f>MAX(0,MIN(AK179,BX179-SUMPRODUCT(($T$2:$AK$2&lt;AK$2)*($T179:$AK179))))</f>
      </c>
      <c r="BD179" s="0">
        <f>T179-AL179</f>
      </c>
      <c r="BE179" s="0">
        <f>U179-AM179</f>
      </c>
      <c r="BF179" s="0">
        <f>V179-AN179</f>
      </c>
      <c r="BG179" s="0">
        <f>W179-AO179</f>
      </c>
      <c r="BH179" s="0">
        <f>X179-AP179</f>
      </c>
      <c r="BI179" s="0">
        <f>Y179-AQ179</f>
      </c>
      <c r="BJ179" s="0">
        <f>Z179-AR179</f>
      </c>
      <c r="BK179" s="0">
        <f>AA179-AS179</f>
      </c>
      <c r="BL179" s="0">
        <f>AB179-AT179</f>
      </c>
      <c r="BM179" s="0">
        <f>AC179-AU179</f>
      </c>
      <c r="BN179" s="0">
        <f>AD179-AV179</f>
      </c>
      <c r="BO179" s="0">
        <f>AE179-AW179</f>
      </c>
      <c r="BP179" s="0">
        <f>AF179-AX179</f>
      </c>
      <c r="BQ179" s="0">
        <f>AG179-AY179</f>
      </c>
      <c r="BR179" s="0">
        <f>AH179-AZ179</f>
      </c>
      <c r="BS179" s="0">
        <f>AI179-BA179</f>
      </c>
      <c r="BT179" s="0">
        <f>AJ179-BB179</f>
      </c>
      <c r="BU179" s="0">
        <f>AK179-BC179</f>
      </c>
      <c r="BV179" s="0">
        <f>SUM(B179:S179)</f>
      </c>
      <c r="BW179" s="0">
        <f>SUM(T179:AK179)</f>
      </c>
      <c r="BX179" s="0">
        <f>MAX(0,(SUM(Calculator!$E$11:$E$28)+Calculator!$C$6)-BV179+BW179)</f>
      </c>
      <c r="BY179" s="0">
        <f>SUM(BD179:BU179)</f>
      </c>
      <c r="BZ179" s="0">
        <f>BV179-BY178</f>
      </c>
      <c r="CA179" s="0">
        <f>IF(A179&lt;=IF($CD$1=0,999,$CD$1),BY179,NA())</f>
      </c>
      <c r="CB179" s="0">
        <f>IF(A179&lt;=IF($CD$1=0,999,$CD$1),A179,NA())</f>
      </c>
    </row>
    <row r="180">
      <c r="A180" s="0">
        <v>177</v>
      </c>
      <c r="B180" s="0">
        <f>BD179*(1+Calculator!$D$11/100/12)</f>
      </c>
      <c r="C180" s="0">
        <f>BE179*(1+Calculator!$D$12/100/12)</f>
      </c>
      <c r="D180" s="0">
        <f>BF179*(1+Calculator!$D$13/100/12)</f>
      </c>
      <c r="E180" s="0">
        <f>BG179*(1+Calculator!$D$14/100/12)</f>
      </c>
      <c r="F180" s="0">
        <f>BH179*(1+Calculator!$D$15/100/12)</f>
      </c>
      <c r="G180" s="0">
        <f>BI179*(1+Calculator!$D$16/100/12)</f>
      </c>
      <c r="H180" s="0">
        <f>BJ179*(1+Calculator!$D$17/100/12)</f>
      </c>
      <c r="I180" s="0">
        <f>BK179*(1+Calculator!$D$18/100/12)</f>
      </c>
      <c r="J180" s="0">
        <f>BL179*(1+Calculator!$D$19/100/12)</f>
      </c>
      <c r="K180" s="0">
        <f>BM179*(1+Calculator!$D$20/100/12)</f>
      </c>
      <c r="L180" s="0">
        <f>BN179*(1+Calculator!$D$21/100/12)</f>
      </c>
      <c r="M180" s="0">
        <f>BO179*(1+Calculator!$D$22/100/12)</f>
      </c>
      <c r="N180" s="0">
        <f>BP179*(1+Calculator!$D$23/100/12)</f>
      </c>
      <c r="O180" s="0">
        <f>BQ179*(1+Calculator!$D$24/100/12)</f>
      </c>
      <c r="P180" s="0">
        <f>BR179*(1+Calculator!$D$25/100/12)</f>
      </c>
      <c r="Q180" s="0">
        <f>BS179*(1+Calculator!$D$26/100/12)</f>
      </c>
      <c r="R180" s="0">
        <f>BT179*(1+Calculator!$D$27/100/12)</f>
      </c>
      <c r="S180" s="0">
        <f>BU179*(1+Calculator!$D$28/100/12)</f>
      </c>
      <c r="T180" s="0">
        <f>MAX(0,B180-Calculator!$E$11)</f>
      </c>
      <c r="U180" s="0">
        <f>MAX(0,C180-Calculator!$E$12)</f>
      </c>
      <c r="V180" s="0">
        <f>MAX(0,D180-Calculator!$E$13)</f>
      </c>
      <c r="W180" s="0">
        <f>MAX(0,E180-Calculator!$E$14)</f>
      </c>
      <c r="X180" s="0">
        <f>MAX(0,F180-Calculator!$E$15)</f>
      </c>
      <c r="Y180" s="0">
        <f>MAX(0,G180-Calculator!$E$16)</f>
      </c>
      <c r="Z180" s="0">
        <f>MAX(0,H180-Calculator!$E$17)</f>
      </c>
      <c r="AA180" s="0">
        <f>MAX(0,I180-Calculator!$E$18)</f>
      </c>
      <c r="AB180" s="0">
        <f>MAX(0,J180-Calculator!$E$19)</f>
      </c>
      <c r="AC180" s="0">
        <f>MAX(0,K180-Calculator!$E$20)</f>
      </c>
      <c r="AD180" s="0">
        <f>MAX(0,L180-Calculator!$E$21)</f>
      </c>
      <c r="AE180" s="0">
        <f>MAX(0,M180-Calculator!$E$22)</f>
      </c>
      <c r="AF180" s="0">
        <f>MAX(0,N180-Calculator!$E$23)</f>
      </c>
      <c r="AG180" s="0">
        <f>MAX(0,O180-Calculator!$E$24)</f>
      </c>
      <c r="AH180" s="0">
        <f>MAX(0,P180-Calculator!$E$25)</f>
      </c>
      <c r="AI180" s="0">
        <f>MAX(0,Q180-Calculator!$E$26)</f>
      </c>
      <c r="AJ180" s="0">
        <f>MAX(0,R180-Calculator!$E$27)</f>
      </c>
      <c r="AK180" s="0">
        <f>MAX(0,S180-Calculator!$E$28)</f>
      </c>
      <c r="AL180" s="0">
        <f>MAX(0,MIN(T180,BX180-SUMPRODUCT(($T$2:$AK$2&lt;T$2)*($T180:$AK180))))</f>
      </c>
      <c r="AM180" s="0">
        <f>MAX(0,MIN(U180,BX180-SUMPRODUCT(($T$2:$AK$2&lt;U$2)*($T180:$AK180))))</f>
      </c>
      <c r="AN180" s="0">
        <f>MAX(0,MIN(V180,BX180-SUMPRODUCT(($T$2:$AK$2&lt;V$2)*($T180:$AK180))))</f>
      </c>
      <c r="AO180" s="0">
        <f>MAX(0,MIN(W180,BX180-SUMPRODUCT(($T$2:$AK$2&lt;W$2)*($T180:$AK180))))</f>
      </c>
      <c r="AP180" s="0">
        <f>MAX(0,MIN(X180,BX180-SUMPRODUCT(($T$2:$AK$2&lt;X$2)*($T180:$AK180))))</f>
      </c>
      <c r="AQ180" s="0">
        <f>MAX(0,MIN(Y180,BX180-SUMPRODUCT(($T$2:$AK$2&lt;Y$2)*($T180:$AK180))))</f>
      </c>
      <c r="AR180" s="0">
        <f>MAX(0,MIN(Z180,BX180-SUMPRODUCT(($T$2:$AK$2&lt;Z$2)*($T180:$AK180))))</f>
      </c>
      <c r="AS180" s="0">
        <f>MAX(0,MIN(AA180,BX180-SUMPRODUCT(($T$2:$AK$2&lt;AA$2)*($T180:$AK180))))</f>
      </c>
      <c r="AT180" s="0">
        <f>MAX(0,MIN(AB180,BX180-SUMPRODUCT(($T$2:$AK$2&lt;AB$2)*($T180:$AK180))))</f>
      </c>
      <c r="AU180" s="0">
        <f>MAX(0,MIN(AC180,BX180-SUMPRODUCT(($T$2:$AK$2&lt;AC$2)*($T180:$AK180))))</f>
      </c>
      <c r="AV180" s="0">
        <f>MAX(0,MIN(AD180,BX180-SUMPRODUCT(($T$2:$AK$2&lt;AD$2)*($T180:$AK180))))</f>
      </c>
      <c r="AW180" s="0">
        <f>MAX(0,MIN(AE180,BX180-SUMPRODUCT(($T$2:$AK$2&lt;AE$2)*($T180:$AK180))))</f>
      </c>
      <c r="AX180" s="0">
        <f>MAX(0,MIN(AF180,BX180-SUMPRODUCT(($T$2:$AK$2&lt;AF$2)*($T180:$AK180))))</f>
      </c>
      <c r="AY180" s="0">
        <f>MAX(0,MIN(AG180,BX180-SUMPRODUCT(($T$2:$AK$2&lt;AG$2)*($T180:$AK180))))</f>
      </c>
      <c r="AZ180" s="0">
        <f>MAX(0,MIN(AH180,BX180-SUMPRODUCT(($T$2:$AK$2&lt;AH$2)*($T180:$AK180))))</f>
      </c>
      <c r="BA180" s="0">
        <f>MAX(0,MIN(AI180,BX180-SUMPRODUCT(($T$2:$AK$2&lt;AI$2)*($T180:$AK180))))</f>
      </c>
      <c r="BB180" s="0">
        <f>MAX(0,MIN(AJ180,BX180-SUMPRODUCT(($T$2:$AK$2&lt;AJ$2)*($T180:$AK180))))</f>
      </c>
      <c r="BC180" s="0">
        <f>MAX(0,MIN(AK180,BX180-SUMPRODUCT(($T$2:$AK$2&lt;AK$2)*($T180:$AK180))))</f>
      </c>
      <c r="BD180" s="0">
        <f>T180-AL180</f>
      </c>
      <c r="BE180" s="0">
        <f>U180-AM180</f>
      </c>
      <c r="BF180" s="0">
        <f>V180-AN180</f>
      </c>
      <c r="BG180" s="0">
        <f>W180-AO180</f>
      </c>
      <c r="BH180" s="0">
        <f>X180-AP180</f>
      </c>
      <c r="BI180" s="0">
        <f>Y180-AQ180</f>
      </c>
      <c r="BJ180" s="0">
        <f>Z180-AR180</f>
      </c>
      <c r="BK180" s="0">
        <f>AA180-AS180</f>
      </c>
      <c r="BL180" s="0">
        <f>AB180-AT180</f>
      </c>
      <c r="BM180" s="0">
        <f>AC180-AU180</f>
      </c>
      <c r="BN180" s="0">
        <f>AD180-AV180</f>
      </c>
      <c r="BO180" s="0">
        <f>AE180-AW180</f>
      </c>
      <c r="BP180" s="0">
        <f>AF180-AX180</f>
      </c>
      <c r="BQ180" s="0">
        <f>AG180-AY180</f>
      </c>
      <c r="BR180" s="0">
        <f>AH180-AZ180</f>
      </c>
      <c r="BS180" s="0">
        <f>AI180-BA180</f>
      </c>
      <c r="BT180" s="0">
        <f>AJ180-BB180</f>
      </c>
      <c r="BU180" s="0">
        <f>AK180-BC180</f>
      </c>
      <c r="BV180" s="0">
        <f>SUM(B180:S180)</f>
      </c>
      <c r="BW180" s="0">
        <f>SUM(T180:AK180)</f>
      </c>
      <c r="BX180" s="0">
        <f>MAX(0,(SUM(Calculator!$E$11:$E$28)+Calculator!$C$6)-BV180+BW180)</f>
      </c>
      <c r="BY180" s="0">
        <f>SUM(BD180:BU180)</f>
      </c>
      <c r="BZ180" s="0">
        <f>BV180-BY179</f>
      </c>
      <c r="CA180" s="0">
        <f>IF(A180&lt;=IF($CD$1=0,999,$CD$1),BY180,NA())</f>
      </c>
      <c r="CB180" s="0">
        <f>IF(A180&lt;=IF($CD$1=0,999,$CD$1),A180,NA())</f>
      </c>
    </row>
    <row r="181">
      <c r="A181" s="0">
        <v>178</v>
      </c>
      <c r="B181" s="0">
        <f>BD180*(1+Calculator!$D$11/100/12)</f>
      </c>
      <c r="C181" s="0">
        <f>BE180*(1+Calculator!$D$12/100/12)</f>
      </c>
      <c r="D181" s="0">
        <f>BF180*(1+Calculator!$D$13/100/12)</f>
      </c>
      <c r="E181" s="0">
        <f>BG180*(1+Calculator!$D$14/100/12)</f>
      </c>
      <c r="F181" s="0">
        <f>BH180*(1+Calculator!$D$15/100/12)</f>
      </c>
      <c r="G181" s="0">
        <f>BI180*(1+Calculator!$D$16/100/12)</f>
      </c>
      <c r="H181" s="0">
        <f>BJ180*(1+Calculator!$D$17/100/12)</f>
      </c>
      <c r="I181" s="0">
        <f>BK180*(1+Calculator!$D$18/100/12)</f>
      </c>
      <c r="J181" s="0">
        <f>BL180*(1+Calculator!$D$19/100/12)</f>
      </c>
      <c r="K181" s="0">
        <f>BM180*(1+Calculator!$D$20/100/12)</f>
      </c>
      <c r="L181" s="0">
        <f>BN180*(1+Calculator!$D$21/100/12)</f>
      </c>
      <c r="M181" s="0">
        <f>BO180*(1+Calculator!$D$22/100/12)</f>
      </c>
      <c r="N181" s="0">
        <f>BP180*(1+Calculator!$D$23/100/12)</f>
      </c>
      <c r="O181" s="0">
        <f>BQ180*(1+Calculator!$D$24/100/12)</f>
      </c>
      <c r="P181" s="0">
        <f>BR180*(1+Calculator!$D$25/100/12)</f>
      </c>
      <c r="Q181" s="0">
        <f>BS180*(1+Calculator!$D$26/100/12)</f>
      </c>
      <c r="R181" s="0">
        <f>BT180*(1+Calculator!$D$27/100/12)</f>
      </c>
      <c r="S181" s="0">
        <f>BU180*(1+Calculator!$D$28/100/12)</f>
      </c>
      <c r="T181" s="0">
        <f>MAX(0,B181-Calculator!$E$11)</f>
      </c>
      <c r="U181" s="0">
        <f>MAX(0,C181-Calculator!$E$12)</f>
      </c>
      <c r="V181" s="0">
        <f>MAX(0,D181-Calculator!$E$13)</f>
      </c>
      <c r="W181" s="0">
        <f>MAX(0,E181-Calculator!$E$14)</f>
      </c>
      <c r="X181" s="0">
        <f>MAX(0,F181-Calculator!$E$15)</f>
      </c>
      <c r="Y181" s="0">
        <f>MAX(0,G181-Calculator!$E$16)</f>
      </c>
      <c r="Z181" s="0">
        <f>MAX(0,H181-Calculator!$E$17)</f>
      </c>
      <c r="AA181" s="0">
        <f>MAX(0,I181-Calculator!$E$18)</f>
      </c>
      <c r="AB181" s="0">
        <f>MAX(0,J181-Calculator!$E$19)</f>
      </c>
      <c r="AC181" s="0">
        <f>MAX(0,K181-Calculator!$E$20)</f>
      </c>
      <c r="AD181" s="0">
        <f>MAX(0,L181-Calculator!$E$21)</f>
      </c>
      <c r="AE181" s="0">
        <f>MAX(0,M181-Calculator!$E$22)</f>
      </c>
      <c r="AF181" s="0">
        <f>MAX(0,N181-Calculator!$E$23)</f>
      </c>
      <c r="AG181" s="0">
        <f>MAX(0,O181-Calculator!$E$24)</f>
      </c>
      <c r="AH181" s="0">
        <f>MAX(0,P181-Calculator!$E$25)</f>
      </c>
      <c r="AI181" s="0">
        <f>MAX(0,Q181-Calculator!$E$26)</f>
      </c>
      <c r="AJ181" s="0">
        <f>MAX(0,R181-Calculator!$E$27)</f>
      </c>
      <c r="AK181" s="0">
        <f>MAX(0,S181-Calculator!$E$28)</f>
      </c>
      <c r="AL181" s="0">
        <f>MAX(0,MIN(T181,BX181-SUMPRODUCT(($T$2:$AK$2&lt;T$2)*($T181:$AK181))))</f>
      </c>
      <c r="AM181" s="0">
        <f>MAX(0,MIN(U181,BX181-SUMPRODUCT(($T$2:$AK$2&lt;U$2)*($T181:$AK181))))</f>
      </c>
      <c r="AN181" s="0">
        <f>MAX(0,MIN(V181,BX181-SUMPRODUCT(($T$2:$AK$2&lt;V$2)*($T181:$AK181))))</f>
      </c>
      <c r="AO181" s="0">
        <f>MAX(0,MIN(W181,BX181-SUMPRODUCT(($T$2:$AK$2&lt;W$2)*($T181:$AK181))))</f>
      </c>
      <c r="AP181" s="0">
        <f>MAX(0,MIN(X181,BX181-SUMPRODUCT(($T$2:$AK$2&lt;X$2)*($T181:$AK181))))</f>
      </c>
      <c r="AQ181" s="0">
        <f>MAX(0,MIN(Y181,BX181-SUMPRODUCT(($T$2:$AK$2&lt;Y$2)*($T181:$AK181))))</f>
      </c>
      <c r="AR181" s="0">
        <f>MAX(0,MIN(Z181,BX181-SUMPRODUCT(($T$2:$AK$2&lt;Z$2)*($T181:$AK181))))</f>
      </c>
      <c r="AS181" s="0">
        <f>MAX(0,MIN(AA181,BX181-SUMPRODUCT(($T$2:$AK$2&lt;AA$2)*($T181:$AK181))))</f>
      </c>
      <c r="AT181" s="0">
        <f>MAX(0,MIN(AB181,BX181-SUMPRODUCT(($T$2:$AK$2&lt;AB$2)*($T181:$AK181))))</f>
      </c>
      <c r="AU181" s="0">
        <f>MAX(0,MIN(AC181,BX181-SUMPRODUCT(($T$2:$AK$2&lt;AC$2)*($T181:$AK181))))</f>
      </c>
      <c r="AV181" s="0">
        <f>MAX(0,MIN(AD181,BX181-SUMPRODUCT(($T$2:$AK$2&lt;AD$2)*($T181:$AK181))))</f>
      </c>
      <c r="AW181" s="0">
        <f>MAX(0,MIN(AE181,BX181-SUMPRODUCT(($T$2:$AK$2&lt;AE$2)*($T181:$AK181))))</f>
      </c>
      <c r="AX181" s="0">
        <f>MAX(0,MIN(AF181,BX181-SUMPRODUCT(($T$2:$AK$2&lt;AF$2)*($T181:$AK181))))</f>
      </c>
      <c r="AY181" s="0">
        <f>MAX(0,MIN(AG181,BX181-SUMPRODUCT(($T$2:$AK$2&lt;AG$2)*($T181:$AK181))))</f>
      </c>
      <c r="AZ181" s="0">
        <f>MAX(0,MIN(AH181,BX181-SUMPRODUCT(($T$2:$AK$2&lt;AH$2)*($T181:$AK181))))</f>
      </c>
      <c r="BA181" s="0">
        <f>MAX(0,MIN(AI181,BX181-SUMPRODUCT(($T$2:$AK$2&lt;AI$2)*($T181:$AK181))))</f>
      </c>
      <c r="BB181" s="0">
        <f>MAX(0,MIN(AJ181,BX181-SUMPRODUCT(($T$2:$AK$2&lt;AJ$2)*($T181:$AK181))))</f>
      </c>
      <c r="BC181" s="0">
        <f>MAX(0,MIN(AK181,BX181-SUMPRODUCT(($T$2:$AK$2&lt;AK$2)*($T181:$AK181))))</f>
      </c>
      <c r="BD181" s="0">
        <f>T181-AL181</f>
      </c>
      <c r="BE181" s="0">
        <f>U181-AM181</f>
      </c>
      <c r="BF181" s="0">
        <f>V181-AN181</f>
      </c>
      <c r="BG181" s="0">
        <f>W181-AO181</f>
      </c>
      <c r="BH181" s="0">
        <f>X181-AP181</f>
      </c>
      <c r="BI181" s="0">
        <f>Y181-AQ181</f>
      </c>
      <c r="BJ181" s="0">
        <f>Z181-AR181</f>
      </c>
      <c r="BK181" s="0">
        <f>AA181-AS181</f>
      </c>
      <c r="BL181" s="0">
        <f>AB181-AT181</f>
      </c>
      <c r="BM181" s="0">
        <f>AC181-AU181</f>
      </c>
      <c r="BN181" s="0">
        <f>AD181-AV181</f>
      </c>
      <c r="BO181" s="0">
        <f>AE181-AW181</f>
      </c>
      <c r="BP181" s="0">
        <f>AF181-AX181</f>
      </c>
      <c r="BQ181" s="0">
        <f>AG181-AY181</f>
      </c>
      <c r="BR181" s="0">
        <f>AH181-AZ181</f>
      </c>
      <c r="BS181" s="0">
        <f>AI181-BA181</f>
      </c>
      <c r="BT181" s="0">
        <f>AJ181-BB181</f>
      </c>
      <c r="BU181" s="0">
        <f>AK181-BC181</f>
      </c>
      <c r="BV181" s="0">
        <f>SUM(B181:S181)</f>
      </c>
      <c r="BW181" s="0">
        <f>SUM(T181:AK181)</f>
      </c>
      <c r="BX181" s="0">
        <f>MAX(0,(SUM(Calculator!$E$11:$E$28)+Calculator!$C$6)-BV181+BW181)</f>
      </c>
      <c r="BY181" s="0">
        <f>SUM(BD181:BU181)</f>
      </c>
      <c r="BZ181" s="0">
        <f>BV181-BY180</f>
      </c>
      <c r="CA181" s="0">
        <f>IF(A181&lt;=IF($CD$1=0,999,$CD$1),BY181,NA())</f>
      </c>
      <c r="CB181" s="0">
        <f>IF(A181&lt;=IF($CD$1=0,999,$CD$1),A181,NA())</f>
      </c>
    </row>
    <row r="182">
      <c r="A182" s="0">
        <v>179</v>
      </c>
      <c r="B182" s="0">
        <f>BD181*(1+Calculator!$D$11/100/12)</f>
      </c>
      <c r="C182" s="0">
        <f>BE181*(1+Calculator!$D$12/100/12)</f>
      </c>
      <c r="D182" s="0">
        <f>BF181*(1+Calculator!$D$13/100/12)</f>
      </c>
      <c r="E182" s="0">
        <f>BG181*(1+Calculator!$D$14/100/12)</f>
      </c>
      <c r="F182" s="0">
        <f>BH181*(1+Calculator!$D$15/100/12)</f>
      </c>
      <c r="G182" s="0">
        <f>BI181*(1+Calculator!$D$16/100/12)</f>
      </c>
      <c r="H182" s="0">
        <f>BJ181*(1+Calculator!$D$17/100/12)</f>
      </c>
      <c r="I182" s="0">
        <f>BK181*(1+Calculator!$D$18/100/12)</f>
      </c>
      <c r="J182" s="0">
        <f>BL181*(1+Calculator!$D$19/100/12)</f>
      </c>
      <c r="K182" s="0">
        <f>BM181*(1+Calculator!$D$20/100/12)</f>
      </c>
      <c r="L182" s="0">
        <f>BN181*(1+Calculator!$D$21/100/12)</f>
      </c>
      <c r="M182" s="0">
        <f>BO181*(1+Calculator!$D$22/100/12)</f>
      </c>
      <c r="N182" s="0">
        <f>BP181*(1+Calculator!$D$23/100/12)</f>
      </c>
      <c r="O182" s="0">
        <f>BQ181*(1+Calculator!$D$24/100/12)</f>
      </c>
      <c r="P182" s="0">
        <f>BR181*(1+Calculator!$D$25/100/12)</f>
      </c>
      <c r="Q182" s="0">
        <f>BS181*(1+Calculator!$D$26/100/12)</f>
      </c>
      <c r="R182" s="0">
        <f>BT181*(1+Calculator!$D$27/100/12)</f>
      </c>
      <c r="S182" s="0">
        <f>BU181*(1+Calculator!$D$28/100/12)</f>
      </c>
      <c r="T182" s="0">
        <f>MAX(0,B182-Calculator!$E$11)</f>
      </c>
      <c r="U182" s="0">
        <f>MAX(0,C182-Calculator!$E$12)</f>
      </c>
      <c r="V182" s="0">
        <f>MAX(0,D182-Calculator!$E$13)</f>
      </c>
      <c r="W182" s="0">
        <f>MAX(0,E182-Calculator!$E$14)</f>
      </c>
      <c r="X182" s="0">
        <f>MAX(0,F182-Calculator!$E$15)</f>
      </c>
      <c r="Y182" s="0">
        <f>MAX(0,G182-Calculator!$E$16)</f>
      </c>
      <c r="Z182" s="0">
        <f>MAX(0,H182-Calculator!$E$17)</f>
      </c>
      <c r="AA182" s="0">
        <f>MAX(0,I182-Calculator!$E$18)</f>
      </c>
      <c r="AB182" s="0">
        <f>MAX(0,J182-Calculator!$E$19)</f>
      </c>
      <c r="AC182" s="0">
        <f>MAX(0,K182-Calculator!$E$20)</f>
      </c>
      <c r="AD182" s="0">
        <f>MAX(0,L182-Calculator!$E$21)</f>
      </c>
      <c r="AE182" s="0">
        <f>MAX(0,M182-Calculator!$E$22)</f>
      </c>
      <c r="AF182" s="0">
        <f>MAX(0,N182-Calculator!$E$23)</f>
      </c>
      <c r="AG182" s="0">
        <f>MAX(0,O182-Calculator!$E$24)</f>
      </c>
      <c r="AH182" s="0">
        <f>MAX(0,P182-Calculator!$E$25)</f>
      </c>
      <c r="AI182" s="0">
        <f>MAX(0,Q182-Calculator!$E$26)</f>
      </c>
      <c r="AJ182" s="0">
        <f>MAX(0,R182-Calculator!$E$27)</f>
      </c>
      <c r="AK182" s="0">
        <f>MAX(0,S182-Calculator!$E$28)</f>
      </c>
      <c r="AL182" s="0">
        <f>MAX(0,MIN(T182,BX182-SUMPRODUCT(($T$2:$AK$2&lt;T$2)*($T182:$AK182))))</f>
      </c>
      <c r="AM182" s="0">
        <f>MAX(0,MIN(U182,BX182-SUMPRODUCT(($T$2:$AK$2&lt;U$2)*($T182:$AK182))))</f>
      </c>
      <c r="AN182" s="0">
        <f>MAX(0,MIN(V182,BX182-SUMPRODUCT(($T$2:$AK$2&lt;V$2)*($T182:$AK182))))</f>
      </c>
      <c r="AO182" s="0">
        <f>MAX(0,MIN(W182,BX182-SUMPRODUCT(($T$2:$AK$2&lt;W$2)*($T182:$AK182))))</f>
      </c>
      <c r="AP182" s="0">
        <f>MAX(0,MIN(X182,BX182-SUMPRODUCT(($T$2:$AK$2&lt;X$2)*($T182:$AK182))))</f>
      </c>
      <c r="AQ182" s="0">
        <f>MAX(0,MIN(Y182,BX182-SUMPRODUCT(($T$2:$AK$2&lt;Y$2)*($T182:$AK182))))</f>
      </c>
      <c r="AR182" s="0">
        <f>MAX(0,MIN(Z182,BX182-SUMPRODUCT(($T$2:$AK$2&lt;Z$2)*($T182:$AK182))))</f>
      </c>
      <c r="AS182" s="0">
        <f>MAX(0,MIN(AA182,BX182-SUMPRODUCT(($T$2:$AK$2&lt;AA$2)*($T182:$AK182))))</f>
      </c>
      <c r="AT182" s="0">
        <f>MAX(0,MIN(AB182,BX182-SUMPRODUCT(($T$2:$AK$2&lt;AB$2)*($T182:$AK182))))</f>
      </c>
      <c r="AU182" s="0">
        <f>MAX(0,MIN(AC182,BX182-SUMPRODUCT(($T$2:$AK$2&lt;AC$2)*($T182:$AK182))))</f>
      </c>
      <c r="AV182" s="0">
        <f>MAX(0,MIN(AD182,BX182-SUMPRODUCT(($T$2:$AK$2&lt;AD$2)*($T182:$AK182))))</f>
      </c>
      <c r="AW182" s="0">
        <f>MAX(0,MIN(AE182,BX182-SUMPRODUCT(($T$2:$AK$2&lt;AE$2)*($T182:$AK182))))</f>
      </c>
      <c r="AX182" s="0">
        <f>MAX(0,MIN(AF182,BX182-SUMPRODUCT(($T$2:$AK$2&lt;AF$2)*($T182:$AK182))))</f>
      </c>
      <c r="AY182" s="0">
        <f>MAX(0,MIN(AG182,BX182-SUMPRODUCT(($T$2:$AK$2&lt;AG$2)*($T182:$AK182))))</f>
      </c>
      <c r="AZ182" s="0">
        <f>MAX(0,MIN(AH182,BX182-SUMPRODUCT(($T$2:$AK$2&lt;AH$2)*($T182:$AK182))))</f>
      </c>
      <c r="BA182" s="0">
        <f>MAX(0,MIN(AI182,BX182-SUMPRODUCT(($T$2:$AK$2&lt;AI$2)*($T182:$AK182))))</f>
      </c>
      <c r="BB182" s="0">
        <f>MAX(0,MIN(AJ182,BX182-SUMPRODUCT(($T$2:$AK$2&lt;AJ$2)*($T182:$AK182))))</f>
      </c>
      <c r="BC182" s="0">
        <f>MAX(0,MIN(AK182,BX182-SUMPRODUCT(($T$2:$AK$2&lt;AK$2)*($T182:$AK182))))</f>
      </c>
      <c r="BD182" s="0">
        <f>T182-AL182</f>
      </c>
      <c r="BE182" s="0">
        <f>U182-AM182</f>
      </c>
      <c r="BF182" s="0">
        <f>V182-AN182</f>
      </c>
      <c r="BG182" s="0">
        <f>W182-AO182</f>
      </c>
      <c r="BH182" s="0">
        <f>X182-AP182</f>
      </c>
      <c r="BI182" s="0">
        <f>Y182-AQ182</f>
      </c>
      <c r="BJ182" s="0">
        <f>Z182-AR182</f>
      </c>
      <c r="BK182" s="0">
        <f>AA182-AS182</f>
      </c>
      <c r="BL182" s="0">
        <f>AB182-AT182</f>
      </c>
      <c r="BM182" s="0">
        <f>AC182-AU182</f>
      </c>
      <c r="BN182" s="0">
        <f>AD182-AV182</f>
      </c>
      <c r="BO182" s="0">
        <f>AE182-AW182</f>
      </c>
      <c r="BP182" s="0">
        <f>AF182-AX182</f>
      </c>
      <c r="BQ182" s="0">
        <f>AG182-AY182</f>
      </c>
      <c r="BR182" s="0">
        <f>AH182-AZ182</f>
      </c>
      <c r="BS182" s="0">
        <f>AI182-BA182</f>
      </c>
      <c r="BT182" s="0">
        <f>AJ182-BB182</f>
      </c>
      <c r="BU182" s="0">
        <f>AK182-BC182</f>
      </c>
      <c r="BV182" s="0">
        <f>SUM(B182:S182)</f>
      </c>
      <c r="BW182" s="0">
        <f>SUM(T182:AK182)</f>
      </c>
      <c r="BX182" s="0">
        <f>MAX(0,(SUM(Calculator!$E$11:$E$28)+Calculator!$C$6)-BV182+BW182)</f>
      </c>
      <c r="BY182" s="0">
        <f>SUM(BD182:BU182)</f>
      </c>
      <c r="BZ182" s="0">
        <f>BV182-BY181</f>
      </c>
      <c r="CA182" s="0">
        <f>IF(A182&lt;=IF($CD$1=0,999,$CD$1),BY182,NA())</f>
      </c>
      <c r="CB182" s="0">
        <f>IF(A182&lt;=IF($CD$1=0,999,$CD$1),A182,NA())</f>
      </c>
    </row>
    <row r="183">
      <c r="A183" s="0">
        <v>180</v>
      </c>
      <c r="B183" s="0">
        <f>BD182*(1+Calculator!$D$11/100/12)</f>
      </c>
      <c r="C183" s="0">
        <f>BE182*(1+Calculator!$D$12/100/12)</f>
      </c>
      <c r="D183" s="0">
        <f>BF182*(1+Calculator!$D$13/100/12)</f>
      </c>
      <c r="E183" s="0">
        <f>BG182*(1+Calculator!$D$14/100/12)</f>
      </c>
      <c r="F183" s="0">
        <f>BH182*(1+Calculator!$D$15/100/12)</f>
      </c>
      <c r="G183" s="0">
        <f>BI182*(1+Calculator!$D$16/100/12)</f>
      </c>
      <c r="H183" s="0">
        <f>BJ182*(1+Calculator!$D$17/100/12)</f>
      </c>
      <c r="I183" s="0">
        <f>BK182*(1+Calculator!$D$18/100/12)</f>
      </c>
      <c r="J183" s="0">
        <f>BL182*(1+Calculator!$D$19/100/12)</f>
      </c>
      <c r="K183" s="0">
        <f>BM182*(1+Calculator!$D$20/100/12)</f>
      </c>
      <c r="L183" s="0">
        <f>BN182*(1+Calculator!$D$21/100/12)</f>
      </c>
      <c r="M183" s="0">
        <f>BO182*(1+Calculator!$D$22/100/12)</f>
      </c>
      <c r="N183" s="0">
        <f>BP182*(1+Calculator!$D$23/100/12)</f>
      </c>
      <c r="O183" s="0">
        <f>BQ182*(1+Calculator!$D$24/100/12)</f>
      </c>
      <c r="P183" s="0">
        <f>BR182*(1+Calculator!$D$25/100/12)</f>
      </c>
      <c r="Q183" s="0">
        <f>BS182*(1+Calculator!$D$26/100/12)</f>
      </c>
      <c r="R183" s="0">
        <f>BT182*(1+Calculator!$D$27/100/12)</f>
      </c>
      <c r="S183" s="0">
        <f>BU182*(1+Calculator!$D$28/100/12)</f>
      </c>
      <c r="T183" s="0">
        <f>MAX(0,B183-Calculator!$E$11)</f>
      </c>
      <c r="U183" s="0">
        <f>MAX(0,C183-Calculator!$E$12)</f>
      </c>
      <c r="V183" s="0">
        <f>MAX(0,D183-Calculator!$E$13)</f>
      </c>
      <c r="W183" s="0">
        <f>MAX(0,E183-Calculator!$E$14)</f>
      </c>
      <c r="X183" s="0">
        <f>MAX(0,F183-Calculator!$E$15)</f>
      </c>
      <c r="Y183" s="0">
        <f>MAX(0,G183-Calculator!$E$16)</f>
      </c>
      <c r="Z183" s="0">
        <f>MAX(0,H183-Calculator!$E$17)</f>
      </c>
      <c r="AA183" s="0">
        <f>MAX(0,I183-Calculator!$E$18)</f>
      </c>
      <c r="AB183" s="0">
        <f>MAX(0,J183-Calculator!$E$19)</f>
      </c>
      <c r="AC183" s="0">
        <f>MAX(0,K183-Calculator!$E$20)</f>
      </c>
      <c r="AD183" s="0">
        <f>MAX(0,L183-Calculator!$E$21)</f>
      </c>
      <c r="AE183" s="0">
        <f>MAX(0,M183-Calculator!$E$22)</f>
      </c>
      <c r="AF183" s="0">
        <f>MAX(0,N183-Calculator!$E$23)</f>
      </c>
      <c r="AG183" s="0">
        <f>MAX(0,O183-Calculator!$E$24)</f>
      </c>
      <c r="AH183" s="0">
        <f>MAX(0,P183-Calculator!$E$25)</f>
      </c>
      <c r="AI183" s="0">
        <f>MAX(0,Q183-Calculator!$E$26)</f>
      </c>
      <c r="AJ183" s="0">
        <f>MAX(0,R183-Calculator!$E$27)</f>
      </c>
      <c r="AK183" s="0">
        <f>MAX(0,S183-Calculator!$E$28)</f>
      </c>
      <c r="AL183" s="0">
        <f>MAX(0,MIN(T183,BX183-SUMPRODUCT(($T$2:$AK$2&lt;T$2)*($T183:$AK183))))</f>
      </c>
      <c r="AM183" s="0">
        <f>MAX(0,MIN(U183,BX183-SUMPRODUCT(($T$2:$AK$2&lt;U$2)*($T183:$AK183))))</f>
      </c>
      <c r="AN183" s="0">
        <f>MAX(0,MIN(V183,BX183-SUMPRODUCT(($T$2:$AK$2&lt;V$2)*($T183:$AK183))))</f>
      </c>
      <c r="AO183" s="0">
        <f>MAX(0,MIN(W183,BX183-SUMPRODUCT(($T$2:$AK$2&lt;W$2)*($T183:$AK183))))</f>
      </c>
      <c r="AP183" s="0">
        <f>MAX(0,MIN(X183,BX183-SUMPRODUCT(($T$2:$AK$2&lt;X$2)*($T183:$AK183))))</f>
      </c>
      <c r="AQ183" s="0">
        <f>MAX(0,MIN(Y183,BX183-SUMPRODUCT(($T$2:$AK$2&lt;Y$2)*($T183:$AK183))))</f>
      </c>
      <c r="AR183" s="0">
        <f>MAX(0,MIN(Z183,BX183-SUMPRODUCT(($T$2:$AK$2&lt;Z$2)*($T183:$AK183))))</f>
      </c>
      <c r="AS183" s="0">
        <f>MAX(0,MIN(AA183,BX183-SUMPRODUCT(($T$2:$AK$2&lt;AA$2)*($T183:$AK183))))</f>
      </c>
      <c r="AT183" s="0">
        <f>MAX(0,MIN(AB183,BX183-SUMPRODUCT(($T$2:$AK$2&lt;AB$2)*($T183:$AK183))))</f>
      </c>
      <c r="AU183" s="0">
        <f>MAX(0,MIN(AC183,BX183-SUMPRODUCT(($T$2:$AK$2&lt;AC$2)*($T183:$AK183))))</f>
      </c>
      <c r="AV183" s="0">
        <f>MAX(0,MIN(AD183,BX183-SUMPRODUCT(($T$2:$AK$2&lt;AD$2)*($T183:$AK183))))</f>
      </c>
      <c r="AW183" s="0">
        <f>MAX(0,MIN(AE183,BX183-SUMPRODUCT(($T$2:$AK$2&lt;AE$2)*($T183:$AK183))))</f>
      </c>
      <c r="AX183" s="0">
        <f>MAX(0,MIN(AF183,BX183-SUMPRODUCT(($T$2:$AK$2&lt;AF$2)*($T183:$AK183))))</f>
      </c>
      <c r="AY183" s="0">
        <f>MAX(0,MIN(AG183,BX183-SUMPRODUCT(($T$2:$AK$2&lt;AG$2)*($T183:$AK183))))</f>
      </c>
      <c r="AZ183" s="0">
        <f>MAX(0,MIN(AH183,BX183-SUMPRODUCT(($T$2:$AK$2&lt;AH$2)*($T183:$AK183))))</f>
      </c>
      <c r="BA183" s="0">
        <f>MAX(0,MIN(AI183,BX183-SUMPRODUCT(($T$2:$AK$2&lt;AI$2)*($T183:$AK183))))</f>
      </c>
      <c r="BB183" s="0">
        <f>MAX(0,MIN(AJ183,BX183-SUMPRODUCT(($T$2:$AK$2&lt;AJ$2)*($T183:$AK183))))</f>
      </c>
      <c r="BC183" s="0">
        <f>MAX(0,MIN(AK183,BX183-SUMPRODUCT(($T$2:$AK$2&lt;AK$2)*($T183:$AK183))))</f>
      </c>
      <c r="BD183" s="0">
        <f>T183-AL183</f>
      </c>
      <c r="BE183" s="0">
        <f>U183-AM183</f>
      </c>
      <c r="BF183" s="0">
        <f>V183-AN183</f>
      </c>
      <c r="BG183" s="0">
        <f>W183-AO183</f>
      </c>
      <c r="BH183" s="0">
        <f>X183-AP183</f>
      </c>
      <c r="BI183" s="0">
        <f>Y183-AQ183</f>
      </c>
      <c r="BJ183" s="0">
        <f>Z183-AR183</f>
      </c>
      <c r="BK183" s="0">
        <f>AA183-AS183</f>
      </c>
      <c r="BL183" s="0">
        <f>AB183-AT183</f>
      </c>
      <c r="BM183" s="0">
        <f>AC183-AU183</f>
      </c>
      <c r="BN183" s="0">
        <f>AD183-AV183</f>
      </c>
      <c r="BO183" s="0">
        <f>AE183-AW183</f>
      </c>
      <c r="BP183" s="0">
        <f>AF183-AX183</f>
      </c>
      <c r="BQ183" s="0">
        <f>AG183-AY183</f>
      </c>
      <c r="BR183" s="0">
        <f>AH183-AZ183</f>
      </c>
      <c r="BS183" s="0">
        <f>AI183-BA183</f>
      </c>
      <c r="BT183" s="0">
        <f>AJ183-BB183</f>
      </c>
      <c r="BU183" s="0">
        <f>AK183-BC183</f>
      </c>
      <c r="BV183" s="0">
        <f>SUM(B183:S183)</f>
      </c>
      <c r="BW183" s="0">
        <f>SUM(T183:AK183)</f>
      </c>
      <c r="BX183" s="0">
        <f>MAX(0,(SUM(Calculator!$E$11:$E$28)+Calculator!$C$6)-BV183+BW183)</f>
      </c>
      <c r="BY183" s="0">
        <f>SUM(BD183:BU183)</f>
      </c>
      <c r="BZ183" s="0">
        <f>BV183-BY182</f>
      </c>
      <c r="CA183" s="0">
        <f>IF(A183&lt;=IF($CD$1=0,999,$CD$1),BY183,NA())</f>
      </c>
      <c r="CB183" s="0">
        <f>IF(A183&lt;=IF($CD$1=0,999,$CD$1),A183,NA())</f>
      </c>
    </row>
    <row r="184">
      <c r="A184" s="0">
        <v>181</v>
      </c>
      <c r="B184" s="0">
        <f>BD183*(1+Calculator!$D$11/100/12)</f>
      </c>
      <c r="C184" s="0">
        <f>BE183*(1+Calculator!$D$12/100/12)</f>
      </c>
      <c r="D184" s="0">
        <f>BF183*(1+Calculator!$D$13/100/12)</f>
      </c>
      <c r="E184" s="0">
        <f>BG183*(1+Calculator!$D$14/100/12)</f>
      </c>
      <c r="F184" s="0">
        <f>BH183*(1+Calculator!$D$15/100/12)</f>
      </c>
      <c r="G184" s="0">
        <f>BI183*(1+Calculator!$D$16/100/12)</f>
      </c>
      <c r="H184" s="0">
        <f>BJ183*(1+Calculator!$D$17/100/12)</f>
      </c>
      <c r="I184" s="0">
        <f>BK183*(1+Calculator!$D$18/100/12)</f>
      </c>
      <c r="J184" s="0">
        <f>BL183*(1+Calculator!$D$19/100/12)</f>
      </c>
      <c r="K184" s="0">
        <f>BM183*(1+Calculator!$D$20/100/12)</f>
      </c>
      <c r="L184" s="0">
        <f>BN183*(1+Calculator!$D$21/100/12)</f>
      </c>
      <c r="M184" s="0">
        <f>BO183*(1+Calculator!$D$22/100/12)</f>
      </c>
      <c r="N184" s="0">
        <f>BP183*(1+Calculator!$D$23/100/12)</f>
      </c>
      <c r="O184" s="0">
        <f>BQ183*(1+Calculator!$D$24/100/12)</f>
      </c>
      <c r="P184" s="0">
        <f>BR183*(1+Calculator!$D$25/100/12)</f>
      </c>
      <c r="Q184" s="0">
        <f>BS183*(1+Calculator!$D$26/100/12)</f>
      </c>
      <c r="R184" s="0">
        <f>BT183*(1+Calculator!$D$27/100/12)</f>
      </c>
      <c r="S184" s="0">
        <f>BU183*(1+Calculator!$D$28/100/12)</f>
      </c>
      <c r="T184" s="0">
        <f>MAX(0,B184-Calculator!$E$11)</f>
      </c>
      <c r="U184" s="0">
        <f>MAX(0,C184-Calculator!$E$12)</f>
      </c>
      <c r="V184" s="0">
        <f>MAX(0,D184-Calculator!$E$13)</f>
      </c>
      <c r="W184" s="0">
        <f>MAX(0,E184-Calculator!$E$14)</f>
      </c>
      <c r="X184" s="0">
        <f>MAX(0,F184-Calculator!$E$15)</f>
      </c>
      <c r="Y184" s="0">
        <f>MAX(0,G184-Calculator!$E$16)</f>
      </c>
      <c r="Z184" s="0">
        <f>MAX(0,H184-Calculator!$E$17)</f>
      </c>
      <c r="AA184" s="0">
        <f>MAX(0,I184-Calculator!$E$18)</f>
      </c>
      <c r="AB184" s="0">
        <f>MAX(0,J184-Calculator!$E$19)</f>
      </c>
      <c r="AC184" s="0">
        <f>MAX(0,K184-Calculator!$E$20)</f>
      </c>
      <c r="AD184" s="0">
        <f>MAX(0,L184-Calculator!$E$21)</f>
      </c>
      <c r="AE184" s="0">
        <f>MAX(0,M184-Calculator!$E$22)</f>
      </c>
      <c r="AF184" s="0">
        <f>MAX(0,N184-Calculator!$E$23)</f>
      </c>
      <c r="AG184" s="0">
        <f>MAX(0,O184-Calculator!$E$24)</f>
      </c>
      <c r="AH184" s="0">
        <f>MAX(0,P184-Calculator!$E$25)</f>
      </c>
      <c r="AI184" s="0">
        <f>MAX(0,Q184-Calculator!$E$26)</f>
      </c>
      <c r="AJ184" s="0">
        <f>MAX(0,R184-Calculator!$E$27)</f>
      </c>
      <c r="AK184" s="0">
        <f>MAX(0,S184-Calculator!$E$28)</f>
      </c>
      <c r="AL184" s="0">
        <f>MAX(0,MIN(T184,BX184-SUMPRODUCT(($T$2:$AK$2&lt;T$2)*($T184:$AK184))))</f>
      </c>
      <c r="AM184" s="0">
        <f>MAX(0,MIN(U184,BX184-SUMPRODUCT(($T$2:$AK$2&lt;U$2)*($T184:$AK184))))</f>
      </c>
      <c r="AN184" s="0">
        <f>MAX(0,MIN(V184,BX184-SUMPRODUCT(($T$2:$AK$2&lt;V$2)*($T184:$AK184))))</f>
      </c>
      <c r="AO184" s="0">
        <f>MAX(0,MIN(W184,BX184-SUMPRODUCT(($T$2:$AK$2&lt;W$2)*($T184:$AK184))))</f>
      </c>
      <c r="AP184" s="0">
        <f>MAX(0,MIN(X184,BX184-SUMPRODUCT(($T$2:$AK$2&lt;X$2)*($T184:$AK184))))</f>
      </c>
      <c r="AQ184" s="0">
        <f>MAX(0,MIN(Y184,BX184-SUMPRODUCT(($T$2:$AK$2&lt;Y$2)*($T184:$AK184))))</f>
      </c>
      <c r="AR184" s="0">
        <f>MAX(0,MIN(Z184,BX184-SUMPRODUCT(($T$2:$AK$2&lt;Z$2)*($T184:$AK184))))</f>
      </c>
      <c r="AS184" s="0">
        <f>MAX(0,MIN(AA184,BX184-SUMPRODUCT(($T$2:$AK$2&lt;AA$2)*($T184:$AK184))))</f>
      </c>
      <c r="AT184" s="0">
        <f>MAX(0,MIN(AB184,BX184-SUMPRODUCT(($T$2:$AK$2&lt;AB$2)*($T184:$AK184))))</f>
      </c>
      <c r="AU184" s="0">
        <f>MAX(0,MIN(AC184,BX184-SUMPRODUCT(($T$2:$AK$2&lt;AC$2)*($T184:$AK184))))</f>
      </c>
      <c r="AV184" s="0">
        <f>MAX(0,MIN(AD184,BX184-SUMPRODUCT(($T$2:$AK$2&lt;AD$2)*($T184:$AK184))))</f>
      </c>
      <c r="AW184" s="0">
        <f>MAX(0,MIN(AE184,BX184-SUMPRODUCT(($T$2:$AK$2&lt;AE$2)*($T184:$AK184))))</f>
      </c>
      <c r="AX184" s="0">
        <f>MAX(0,MIN(AF184,BX184-SUMPRODUCT(($T$2:$AK$2&lt;AF$2)*($T184:$AK184))))</f>
      </c>
      <c r="AY184" s="0">
        <f>MAX(0,MIN(AG184,BX184-SUMPRODUCT(($T$2:$AK$2&lt;AG$2)*($T184:$AK184))))</f>
      </c>
      <c r="AZ184" s="0">
        <f>MAX(0,MIN(AH184,BX184-SUMPRODUCT(($T$2:$AK$2&lt;AH$2)*($T184:$AK184))))</f>
      </c>
      <c r="BA184" s="0">
        <f>MAX(0,MIN(AI184,BX184-SUMPRODUCT(($T$2:$AK$2&lt;AI$2)*($T184:$AK184))))</f>
      </c>
      <c r="BB184" s="0">
        <f>MAX(0,MIN(AJ184,BX184-SUMPRODUCT(($T$2:$AK$2&lt;AJ$2)*($T184:$AK184))))</f>
      </c>
      <c r="BC184" s="0">
        <f>MAX(0,MIN(AK184,BX184-SUMPRODUCT(($T$2:$AK$2&lt;AK$2)*($T184:$AK184))))</f>
      </c>
      <c r="BD184" s="0">
        <f>T184-AL184</f>
      </c>
      <c r="BE184" s="0">
        <f>U184-AM184</f>
      </c>
      <c r="BF184" s="0">
        <f>V184-AN184</f>
      </c>
      <c r="BG184" s="0">
        <f>W184-AO184</f>
      </c>
      <c r="BH184" s="0">
        <f>X184-AP184</f>
      </c>
      <c r="BI184" s="0">
        <f>Y184-AQ184</f>
      </c>
      <c r="BJ184" s="0">
        <f>Z184-AR184</f>
      </c>
      <c r="BK184" s="0">
        <f>AA184-AS184</f>
      </c>
      <c r="BL184" s="0">
        <f>AB184-AT184</f>
      </c>
      <c r="BM184" s="0">
        <f>AC184-AU184</f>
      </c>
      <c r="BN184" s="0">
        <f>AD184-AV184</f>
      </c>
      <c r="BO184" s="0">
        <f>AE184-AW184</f>
      </c>
      <c r="BP184" s="0">
        <f>AF184-AX184</f>
      </c>
      <c r="BQ184" s="0">
        <f>AG184-AY184</f>
      </c>
      <c r="BR184" s="0">
        <f>AH184-AZ184</f>
      </c>
      <c r="BS184" s="0">
        <f>AI184-BA184</f>
      </c>
      <c r="BT184" s="0">
        <f>AJ184-BB184</f>
      </c>
      <c r="BU184" s="0">
        <f>AK184-BC184</f>
      </c>
      <c r="BV184" s="0">
        <f>SUM(B184:S184)</f>
      </c>
      <c r="BW184" s="0">
        <f>SUM(T184:AK184)</f>
      </c>
      <c r="BX184" s="0">
        <f>MAX(0,(SUM(Calculator!$E$11:$E$28)+Calculator!$C$6)-BV184+BW184)</f>
      </c>
      <c r="BY184" s="0">
        <f>SUM(BD184:BU184)</f>
      </c>
      <c r="BZ184" s="0">
        <f>BV184-BY183</f>
      </c>
      <c r="CA184" s="0">
        <f>IF(A184&lt;=IF($CD$1=0,999,$CD$1),BY184,NA())</f>
      </c>
      <c r="CB184" s="0">
        <f>IF(A184&lt;=IF($CD$1=0,999,$CD$1),A184,NA())</f>
      </c>
    </row>
    <row r="185">
      <c r="A185" s="0">
        <v>182</v>
      </c>
      <c r="B185" s="0">
        <f>BD184*(1+Calculator!$D$11/100/12)</f>
      </c>
      <c r="C185" s="0">
        <f>BE184*(1+Calculator!$D$12/100/12)</f>
      </c>
      <c r="D185" s="0">
        <f>BF184*(1+Calculator!$D$13/100/12)</f>
      </c>
      <c r="E185" s="0">
        <f>BG184*(1+Calculator!$D$14/100/12)</f>
      </c>
      <c r="F185" s="0">
        <f>BH184*(1+Calculator!$D$15/100/12)</f>
      </c>
      <c r="G185" s="0">
        <f>BI184*(1+Calculator!$D$16/100/12)</f>
      </c>
      <c r="H185" s="0">
        <f>BJ184*(1+Calculator!$D$17/100/12)</f>
      </c>
      <c r="I185" s="0">
        <f>BK184*(1+Calculator!$D$18/100/12)</f>
      </c>
      <c r="J185" s="0">
        <f>BL184*(1+Calculator!$D$19/100/12)</f>
      </c>
      <c r="K185" s="0">
        <f>BM184*(1+Calculator!$D$20/100/12)</f>
      </c>
      <c r="L185" s="0">
        <f>BN184*(1+Calculator!$D$21/100/12)</f>
      </c>
      <c r="M185" s="0">
        <f>BO184*(1+Calculator!$D$22/100/12)</f>
      </c>
      <c r="N185" s="0">
        <f>BP184*(1+Calculator!$D$23/100/12)</f>
      </c>
      <c r="O185" s="0">
        <f>BQ184*(1+Calculator!$D$24/100/12)</f>
      </c>
      <c r="P185" s="0">
        <f>BR184*(1+Calculator!$D$25/100/12)</f>
      </c>
      <c r="Q185" s="0">
        <f>BS184*(1+Calculator!$D$26/100/12)</f>
      </c>
      <c r="R185" s="0">
        <f>BT184*(1+Calculator!$D$27/100/12)</f>
      </c>
      <c r="S185" s="0">
        <f>BU184*(1+Calculator!$D$28/100/12)</f>
      </c>
      <c r="T185" s="0">
        <f>MAX(0,B185-Calculator!$E$11)</f>
      </c>
      <c r="U185" s="0">
        <f>MAX(0,C185-Calculator!$E$12)</f>
      </c>
      <c r="V185" s="0">
        <f>MAX(0,D185-Calculator!$E$13)</f>
      </c>
      <c r="W185" s="0">
        <f>MAX(0,E185-Calculator!$E$14)</f>
      </c>
      <c r="X185" s="0">
        <f>MAX(0,F185-Calculator!$E$15)</f>
      </c>
      <c r="Y185" s="0">
        <f>MAX(0,G185-Calculator!$E$16)</f>
      </c>
      <c r="Z185" s="0">
        <f>MAX(0,H185-Calculator!$E$17)</f>
      </c>
      <c r="AA185" s="0">
        <f>MAX(0,I185-Calculator!$E$18)</f>
      </c>
      <c r="AB185" s="0">
        <f>MAX(0,J185-Calculator!$E$19)</f>
      </c>
      <c r="AC185" s="0">
        <f>MAX(0,K185-Calculator!$E$20)</f>
      </c>
      <c r="AD185" s="0">
        <f>MAX(0,L185-Calculator!$E$21)</f>
      </c>
      <c r="AE185" s="0">
        <f>MAX(0,M185-Calculator!$E$22)</f>
      </c>
      <c r="AF185" s="0">
        <f>MAX(0,N185-Calculator!$E$23)</f>
      </c>
      <c r="AG185" s="0">
        <f>MAX(0,O185-Calculator!$E$24)</f>
      </c>
      <c r="AH185" s="0">
        <f>MAX(0,P185-Calculator!$E$25)</f>
      </c>
      <c r="AI185" s="0">
        <f>MAX(0,Q185-Calculator!$E$26)</f>
      </c>
      <c r="AJ185" s="0">
        <f>MAX(0,R185-Calculator!$E$27)</f>
      </c>
      <c r="AK185" s="0">
        <f>MAX(0,S185-Calculator!$E$28)</f>
      </c>
      <c r="AL185" s="0">
        <f>MAX(0,MIN(T185,BX185-SUMPRODUCT(($T$2:$AK$2&lt;T$2)*($T185:$AK185))))</f>
      </c>
      <c r="AM185" s="0">
        <f>MAX(0,MIN(U185,BX185-SUMPRODUCT(($T$2:$AK$2&lt;U$2)*($T185:$AK185))))</f>
      </c>
      <c r="AN185" s="0">
        <f>MAX(0,MIN(V185,BX185-SUMPRODUCT(($T$2:$AK$2&lt;V$2)*($T185:$AK185))))</f>
      </c>
      <c r="AO185" s="0">
        <f>MAX(0,MIN(W185,BX185-SUMPRODUCT(($T$2:$AK$2&lt;W$2)*($T185:$AK185))))</f>
      </c>
      <c r="AP185" s="0">
        <f>MAX(0,MIN(X185,BX185-SUMPRODUCT(($T$2:$AK$2&lt;X$2)*($T185:$AK185))))</f>
      </c>
      <c r="AQ185" s="0">
        <f>MAX(0,MIN(Y185,BX185-SUMPRODUCT(($T$2:$AK$2&lt;Y$2)*($T185:$AK185))))</f>
      </c>
      <c r="AR185" s="0">
        <f>MAX(0,MIN(Z185,BX185-SUMPRODUCT(($T$2:$AK$2&lt;Z$2)*($T185:$AK185))))</f>
      </c>
      <c r="AS185" s="0">
        <f>MAX(0,MIN(AA185,BX185-SUMPRODUCT(($T$2:$AK$2&lt;AA$2)*($T185:$AK185))))</f>
      </c>
      <c r="AT185" s="0">
        <f>MAX(0,MIN(AB185,BX185-SUMPRODUCT(($T$2:$AK$2&lt;AB$2)*($T185:$AK185))))</f>
      </c>
      <c r="AU185" s="0">
        <f>MAX(0,MIN(AC185,BX185-SUMPRODUCT(($T$2:$AK$2&lt;AC$2)*($T185:$AK185))))</f>
      </c>
      <c r="AV185" s="0">
        <f>MAX(0,MIN(AD185,BX185-SUMPRODUCT(($T$2:$AK$2&lt;AD$2)*($T185:$AK185))))</f>
      </c>
      <c r="AW185" s="0">
        <f>MAX(0,MIN(AE185,BX185-SUMPRODUCT(($T$2:$AK$2&lt;AE$2)*($T185:$AK185))))</f>
      </c>
      <c r="AX185" s="0">
        <f>MAX(0,MIN(AF185,BX185-SUMPRODUCT(($T$2:$AK$2&lt;AF$2)*($T185:$AK185))))</f>
      </c>
      <c r="AY185" s="0">
        <f>MAX(0,MIN(AG185,BX185-SUMPRODUCT(($T$2:$AK$2&lt;AG$2)*($T185:$AK185))))</f>
      </c>
      <c r="AZ185" s="0">
        <f>MAX(0,MIN(AH185,BX185-SUMPRODUCT(($T$2:$AK$2&lt;AH$2)*($T185:$AK185))))</f>
      </c>
      <c r="BA185" s="0">
        <f>MAX(0,MIN(AI185,BX185-SUMPRODUCT(($T$2:$AK$2&lt;AI$2)*($T185:$AK185))))</f>
      </c>
      <c r="BB185" s="0">
        <f>MAX(0,MIN(AJ185,BX185-SUMPRODUCT(($T$2:$AK$2&lt;AJ$2)*($T185:$AK185))))</f>
      </c>
      <c r="BC185" s="0">
        <f>MAX(0,MIN(AK185,BX185-SUMPRODUCT(($T$2:$AK$2&lt;AK$2)*($T185:$AK185))))</f>
      </c>
      <c r="BD185" s="0">
        <f>T185-AL185</f>
      </c>
      <c r="BE185" s="0">
        <f>U185-AM185</f>
      </c>
      <c r="BF185" s="0">
        <f>V185-AN185</f>
      </c>
      <c r="BG185" s="0">
        <f>W185-AO185</f>
      </c>
      <c r="BH185" s="0">
        <f>X185-AP185</f>
      </c>
      <c r="BI185" s="0">
        <f>Y185-AQ185</f>
      </c>
      <c r="BJ185" s="0">
        <f>Z185-AR185</f>
      </c>
      <c r="BK185" s="0">
        <f>AA185-AS185</f>
      </c>
      <c r="BL185" s="0">
        <f>AB185-AT185</f>
      </c>
      <c r="BM185" s="0">
        <f>AC185-AU185</f>
      </c>
      <c r="BN185" s="0">
        <f>AD185-AV185</f>
      </c>
      <c r="BO185" s="0">
        <f>AE185-AW185</f>
      </c>
      <c r="BP185" s="0">
        <f>AF185-AX185</f>
      </c>
      <c r="BQ185" s="0">
        <f>AG185-AY185</f>
      </c>
      <c r="BR185" s="0">
        <f>AH185-AZ185</f>
      </c>
      <c r="BS185" s="0">
        <f>AI185-BA185</f>
      </c>
      <c r="BT185" s="0">
        <f>AJ185-BB185</f>
      </c>
      <c r="BU185" s="0">
        <f>AK185-BC185</f>
      </c>
      <c r="BV185" s="0">
        <f>SUM(B185:S185)</f>
      </c>
      <c r="BW185" s="0">
        <f>SUM(T185:AK185)</f>
      </c>
      <c r="BX185" s="0">
        <f>MAX(0,(SUM(Calculator!$E$11:$E$28)+Calculator!$C$6)-BV185+BW185)</f>
      </c>
      <c r="BY185" s="0">
        <f>SUM(BD185:BU185)</f>
      </c>
      <c r="BZ185" s="0">
        <f>BV185-BY184</f>
      </c>
      <c r="CA185" s="0">
        <f>IF(A185&lt;=IF($CD$1=0,999,$CD$1),BY185,NA())</f>
      </c>
      <c r="CB185" s="0">
        <f>IF(A185&lt;=IF($CD$1=0,999,$CD$1),A185,NA())</f>
      </c>
    </row>
    <row r="186">
      <c r="A186" s="0">
        <v>183</v>
      </c>
      <c r="B186" s="0">
        <f>BD185*(1+Calculator!$D$11/100/12)</f>
      </c>
      <c r="C186" s="0">
        <f>BE185*(1+Calculator!$D$12/100/12)</f>
      </c>
      <c r="D186" s="0">
        <f>BF185*(1+Calculator!$D$13/100/12)</f>
      </c>
      <c r="E186" s="0">
        <f>BG185*(1+Calculator!$D$14/100/12)</f>
      </c>
      <c r="F186" s="0">
        <f>BH185*(1+Calculator!$D$15/100/12)</f>
      </c>
      <c r="G186" s="0">
        <f>BI185*(1+Calculator!$D$16/100/12)</f>
      </c>
      <c r="H186" s="0">
        <f>BJ185*(1+Calculator!$D$17/100/12)</f>
      </c>
      <c r="I186" s="0">
        <f>BK185*(1+Calculator!$D$18/100/12)</f>
      </c>
      <c r="J186" s="0">
        <f>BL185*(1+Calculator!$D$19/100/12)</f>
      </c>
      <c r="K186" s="0">
        <f>BM185*(1+Calculator!$D$20/100/12)</f>
      </c>
      <c r="L186" s="0">
        <f>BN185*(1+Calculator!$D$21/100/12)</f>
      </c>
      <c r="M186" s="0">
        <f>BO185*(1+Calculator!$D$22/100/12)</f>
      </c>
      <c r="N186" s="0">
        <f>BP185*(1+Calculator!$D$23/100/12)</f>
      </c>
      <c r="O186" s="0">
        <f>BQ185*(1+Calculator!$D$24/100/12)</f>
      </c>
      <c r="P186" s="0">
        <f>BR185*(1+Calculator!$D$25/100/12)</f>
      </c>
      <c r="Q186" s="0">
        <f>BS185*(1+Calculator!$D$26/100/12)</f>
      </c>
      <c r="R186" s="0">
        <f>BT185*(1+Calculator!$D$27/100/12)</f>
      </c>
      <c r="S186" s="0">
        <f>BU185*(1+Calculator!$D$28/100/12)</f>
      </c>
      <c r="T186" s="0">
        <f>MAX(0,B186-Calculator!$E$11)</f>
      </c>
      <c r="U186" s="0">
        <f>MAX(0,C186-Calculator!$E$12)</f>
      </c>
      <c r="V186" s="0">
        <f>MAX(0,D186-Calculator!$E$13)</f>
      </c>
      <c r="W186" s="0">
        <f>MAX(0,E186-Calculator!$E$14)</f>
      </c>
      <c r="X186" s="0">
        <f>MAX(0,F186-Calculator!$E$15)</f>
      </c>
      <c r="Y186" s="0">
        <f>MAX(0,G186-Calculator!$E$16)</f>
      </c>
      <c r="Z186" s="0">
        <f>MAX(0,H186-Calculator!$E$17)</f>
      </c>
      <c r="AA186" s="0">
        <f>MAX(0,I186-Calculator!$E$18)</f>
      </c>
      <c r="AB186" s="0">
        <f>MAX(0,J186-Calculator!$E$19)</f>
      </c>
      <c r="AC186" s="0">
        <f>MAX(0,K186-Calculator!$E$20)</f>
      </c>
      <c r="AD186" s="0">
        <f>MAX(0,L186-Calculator!$E$21)</f>
      </c>
      <c r="AE186" s="0">
        <f>MAX(0,M186-Calculator!$E$22)</f>
      </c>
      <c r="AF186" s="0">
        <f>MAX(0,N186-Calculator!$E$23)</f>
      </c>
      <c r="AG186" s="0">
        <f>MAX(0,O186-Calculator!$E$24)</f>
      </c>
      <c r="AH186" s="0">
        <f>MAX(0,P186-Calculator!$E$25)</f>
      </c>
      <c r="AI186" s="0">
        <f>MAX(0,Q186-Calculator!$E$26)</f>
      </c>
      <c r="AJ186" s="0">
        <f>MAX(0,R186-Calculator!$E$27)</f>
      </c>
      <c r="AK186" s="0">
        <f>MAX(0,S186-Calculator!$E$28)</f>
      </c>
      <c r="AL186" s="0">
        <f>MAX(0,MIN(T186,BX186-SUMPRODUCT(($T$2:$AK$2&lt;T$2)*($T186:$AK186))))</f>
      </c>
      <c r="AM186" s="0">
        <f>MAX(0,MIN(U186,BX186-SUMPRODUCT(($T$2:$AK$2&lt;U$2)*($T186:$AK186))))</f>
      </c>
      <c r="AN186" s="0">
        <f>MAX(0,MIN(V186,BX186-SUMPRODUCT(($T$2:$AK$2&lt;V$2)*($T186:$AK186))))</f>
      </c>
      <c r="AO186" s="0">
        <f>MAX(0,MIN(W186,BX186-SUMPRODUCT(($T$2:$AK$2&lt;W$2)*($T186:$AK186))))</f>
      </c>
      <c r="AP186" s="0">
        <f>MAX(0,MIN(X186,BX186-SUMPRODUCT(($T$2:$AK$2&lt;X$2)*($T186:$AK186))))</f>
      </c>
      <c r="AQ186" s="0">
        <f>MAX(0,MIN(Y186,BX186-SUMPRODUCT(($T$2:$AK$2&lt;Y$2)*($T186:$AK186))))</f>
      </c>
      <c r="AR186" s="0">
        <f>MAX(0,MIN(Z186,BX186-SUMPRODUCT(($T$2:$AK$2&lt;Z$2)*($T186:$AK186))))</f>
      </c>
      <c r="AS186" s="0">
        <f>MAX(0,MIN(AA186,BX186-SUMPRODUCT(($T$2:$AK$2&lt;AA$2)*($T186:$AK186))))</f>
      </c>
      <c r="AT186" s="0">
        <f>MAX(0,MIN(AB186,BX186-SUMPRODUCT(($T$2:$AK$2&lt;AB$2)*($T186:$AK186))))</f>
      </c>
      <c r="AU186" s="0">
        <f>MAX(0,MIN(AC186,BX186-SUMPRODUCT(($T$2:$AK$2&lt;AC$2)*($T186:$AK186))))</f>
      </c>
      <c r="AV186" s="0">
        <f>MAX(0,MIN(AD186,BX186-SUMPRODUCT(($T$2:$AK$2&lt;AD$2)*($T186:$AK186))))</f>
      </c>
      <c r="AW186" s="0">
        <f>MAX(0,MIN(AE186,BX186-SUMPRODUCT(($T$2:$AK$2&lt;AE$2)*($T186:$AK186))))</f>
      </c>
      <c r="AX186" s="0">
        <f>MAX(0,MIN(AF186,BX186-SUMPRODUCT(($T$2:$AK$2&lt;AF$2)*($T186:$AK186))))</f>
      </c>
      <c r="AY186" s="0">
        <f>MAX(0,MIN(AG186,BX186-SUMPRODUCT(($T$2:$AK$2&lt;AG$2)*($T186:$AK186))))</f>
      </c>
      <c r="AZ186" s="0">
        <f>MAX(0,MIN(AH186,BX186-SUMPRODUCT(($T$2:$AK$2&lt;AH$2)*($T186:$AK186))))</f>
      </c>
      <c r="BA186" s="0">
        <f>MAX(0,MIN(AI186,BX186-SUMPRODUCT(($T$2:$AK$2&lt;AI$2)*($T186:$AK186))))</f>
      </c>
      <c r="BB186" s="0">
        <f>MAX(0,MIN(AJ186,BX186-SUMPRODUCT(($T$2:$AK$2&lt;AJ$2)*($T186:$AK186))))</f>
      </c>
      <c r="BC186" s="0">
        <f>MAX(0,MIN(AK186,BX186-SUMPRODUCT(($T$2:$AK$2&lt;AK$2)*($T186:$AK186))))</f>
      </c>
      <c r="BD186" s="0">
        <f>T186-AL186</f>
      </c>
      <c r="BE186" s="0">
        <f>U186-AM186</f>
      </c>
      <c r="BF186" s="0">
        <f>V186-AN186</f>
      </c>
      <c r="BG186" s="0">
        <f>W186-AO186</f>
      </c>
      <c r="BH186" s="0">
        <f>X186-AP186</f>
      </c>
      <c r="BI186" s="0">
        <f>Y186-AQ186</f>
      </c>
      <c r="BJ186" s="0">
        <f>Z186-AR186</f>
      </c>
      <c r="BK186" s="0">
        <f>AA186-AS186</f>
      </c>
      <c r="BL186" s="0">
        <f>AB186-AT186</f>
      </c>
      <c r="BM186" s="0">
        <f>AC186-AU186</f>
      </c>
      <c r="BN186" s="0">
        <f>AD186-AV186</f>
      </c>
      <c r="BO186" s="0">
        <f>AE186-AW186</f>
      </c>
      <c r="BP186" s="0">
        <f>AF186-AX186</f>
      </c>
      <c r="BQ186" s="0">
        <f>AG186-AY186</f>
      </c>
      <c r="BR186" s="0">
        <f>AH186-AZ186</f>
      </c>
      <c r="BS186" s="0">
        <f>AI186-BA186</f>
      </c>
      <c r="BT186" s="0">
        <f>AJ186-BB186</f>
      </c>
      <c r="BU186" s="0">
        <f>AK186-BC186</f>
      </c>
      <c r="BV186" s="0">
        <f>SUM(B186:S186)</f>
      </c>
      <c r="BW186" s="0">
        <f>SUM(T186:AK186)</f>
      </c>
      <c r="BX186" s="0">
        <f>MAX(0,(SUM(Calculator!$E$11:$E$28)+Calculator!$C$6)-BV186+BW186)</f>
      </c>
      <c r="BY186" s="0">
        <f>SUM(BD186:BU186)</f>
      </c>
      <c r="BZ186" s="0">
        <f>BV186-BY185</f>
      </c>
      <c r="CA186" s="0">
        <f>IF(A186&lt;=IF($CD$1=0,999,$CD$1),BY186,NA())</f>
      </c>
      <c r="CB186" s="0">
        <f>IF(A186&lt;=IF($CD$1=0,999,$CD$1),A186,NA())</f>
      </c>
    </row>
    <row r="187">
      <c r="A187" s="0">
        <v>184</v>
      </c>
      <c r="B187" s="0">
        <f>BD186*(1+Calculator!$D$11/100/12)</f>
      </c>
      <c r="C187" s="0">
        <f>BE186*(1+Calculator!$D$12/100/12)</f>
      </c>
      <c r="D187" s="0">
        <f>BF186*(1+Calculator!$D$13/100/12)</f>
      </c>
      <c r="E187" s="0">
        <f>BG186*(1+Calculator!$D$14/100/12)</f>
      </c>
      <c r="F187" s="0">
        <f>BH186*(1+Calculator!$D$15/100/12)</f>
      </c>
      <c r="G187" s="0">
        <f>BI186*(1+Calculator!$D$16/100/12)</f>
      </c>
      <c r="H187" s="0">
        <f>BJ186*(1+Calculator!$D$17/100/12)</f>
      </c>
      <c r="I187" s="0">
        <f>BK186*(1+Calculator!$D$18/100/12)</f>
      </c>
      <c r="J187" s="0">
        <f>BL186*(1+Calculator!$D$19/100/12)</f>
      </c>
      <c r="K187" s="0">
        <f>BM186*(1+Calculator!$D$20/100/12)</f>
      </c>
      <c r="L187" s="0">
        <f>BN186*(1+Calculator!$D$21/100/12)</f>
      </c>
      <c r="M187" s="0">
        <f>BO186*(1+Calculator!$D$22/100/12)</f>
      </c>
      <c r="N187" s="0">
        <f>BP186*(1+Calculator!$D$23/100/12)</f>
      </c>
      <c r="O187" s="0">
        <f>BQ186*(1+Calculator!$D$24/100/12)</f>
      </c>
      <c r="P187" s="0">
        <f>BR186*(1+Calculator!$D$25/100/12)</f>
      </c>
      <c r="Q187" s="0">
        <f>BS186*(1+Calculator!$D$26/100/12)</f>
      </c>
      <c r="R187" s="0">
        <f>BT186*(1+Calculator!$D$27/100/12)</f>
      </c>
      <c r="S187" s="0">
        <f>BU186*(1+Calculator!$D$28/100/12)</f>
      </c>
      <c r="T187" s="0">
        <f>MAX(0,B187-Calculator!$E$11)</f>
      </c>
      <c r="U187" s="0">
        <f>MAX(0,C187-Calculator!$E$12)</f>
      </c>
      <c r="V187" s="0">
        <f>MAX(0,D187-Calculator!$E$13)</f>
      </c>
      <c r="W187" s="0">
        <f>MAX(0,E187-Calculator!$E$14)</f>
      </c>
      <c r="X187" s="0">
        <f>MAX(0,F187-Calculator!$E$15)</f>
      </c>
      <c r="Y187" s="0">
        <f>MAX(0,G187-Calculator!$E$16)</f>
      </c>
      <c r="Z187" s="0">
        <f>MAX(0,H187-Calculator!$E$17)</f>
      </c>
      <c r="AA187" s="0">
        <f>MAX(0,I187-Calculator!$E$18)</f>
      </c>
      <c r="AB187" s="0">
        <f>MAX(0,J187-Calculator!$E$19)</f>
      </c>
      <c r="AC187" s="0">
        <f>MAX(0,K187-Calculator!$E$20)</f>
      </c>
      <c r="AD187" s="0">
        <f>MAX(0,L187-Calculator!$E$21)</f>
      </c>
      <c r="AE187" s="0">
        <f>MAX(0,M187-Calculator!$E$22)</f>
      </c>
      <c r="AF187" s="0">
        <f>MAX(0,N187-Calculator!$E$23)</f>
      </c>
      <c r="AG187" s="0">
        <f>MAX(0,O187-Calculator!$E$24)</f>
      </c>
      <c r="AH187" s="0">
        <f>MAX(0,P187-Calculator!$E$25)</f>
      </c>
      <c r="AI187" s="0">
        <f>MAX(0,Q187-Calculator!$E$26)</f>
      </c>
      <c r="AJ187" s="0">
        <f>MAX(0,R187-Calculator!$E$27)</f>
      </c>
      <c r="AK187" s="0">
        <f>MAX(0,S187-Calculator!$E$28)</f>
      </c>
      <c r="AL187" s="0">
        <f>MAX(0,MIN(T187,BX187-SUMPRODUCT(($T$2:$AK$2&lt;T$2)*($T187:$AK187))))</f>
      </c>
      <c r="AM187" s="0">
        <f>MAX(0,MIN(U187,BX187-SUMPRODUCT(($T$2:$AK$2&lt;U$2)*($T187:$AK187))))</f>
      </c>
      <c r="AN187" s="0">
        <f>MAX(0,MIN(V187,BX187-SUMPRODUCT(($T$2:$AK$2&lt;V$2)*($T187:$AK187))))</f>
      </c>
      <c r="AO187" s="0">
        <f>MAX(0,MIN(W187,BX187-SUMPRODUCT(($T$2:$AK$2&lt;W$2)*($T187:$AK187))))</f>
      </c>
      <c r="AP187" s="0">
        <f>MAX(0,MIN(X187,BX187-SUMPRODUCT(($T$2:$AK$2&lt;X$2)*($T187:$AK187))))</f>
      </c>
      <c r="AQ187" s="0">
        <f>MAX(0,MIN(Y187,BX187-SUMPRODUCT(($T$2:$AK$2&lt;Y$2)*($T187:$AK187))))</f>
      </c>
      <c r="AR187" s="0">
        <f>MAX(0,MIN(Z187,BX187-SUMPRODUCT(($T$2:$AK$2&lt;Z$2)*($T187:$AK187))))</f>
      </c>
      <c r="AS187" s="0">
        <f>MAX(0,MIN(AA187,BX187-SUMPRODUCT(($T$2:$AK$2&lt;AA$2)*($T187:$AK187))))</f>
      </c>
      <c r="AT187" s="0">
        <f>MAX(0,MIN(AB187,BX187-SUMPRODUCT(($T$2:$AK$2&lt;AB$2)*($T187:$AK187))))</f>
      </c>
      <c r="AU187" s="0">
        <f>MAX(0,MIN(AC187,BX187-SUMPRODUCT(($T$2:$AK$2&lt;AC$2)*($T187:$AK187))))</f>
      </c>
      <c r="AV187" s="0">
        <f>MAX(0,MIN(AD187,BX187-SUMPRODUCT(($T$2:$AK$2&lt;AD$2)*($T187:$AK187))))</f>
      </c>
      <c r="AW187" s="0">
        <f>MAX(0,MIN(AE187,BX187-SUMPRODUCT(($T$2:$AK$2&lt;AE$2)*($T187:$AK187))))</f>
      </c>
      <c r="AX187" s="0">
        <f>MAX(0,MIN(AF187,BX187-SUMPRODUCT(($T$2:$AK$2&lt;AF$2)*($T187:$AK187))))</f>
      </c>
      <c r="AY187" s="0">
        <f>MAX(0,MIN(AG187,BX187-SUMPRODUCT(($T$2:$AK$2&lt;AG$2)*($T187:$AK187))))</f>
      </c>
      <c r="AZ187" s="0">
        <f>MAX(0,MIN(AH187,BX187-SUMPRODUCT(($T$2:$AK$2&lt;AH$2)*($T187:$AK187))))</f>
      </c>
      <c r="BA187" s="0">
        <f>MAX(0,MIN(AI187,BX187-SUMPRODUCT(($T$2:$AK$2&lt;AI$2)*($T187:$AK187))))</f>
      </c>
      <c r="BB187" s="0">
        <f>MAX(0,MIN(AJ187,BX187-SUMPRODUCT(($T$2:$AK$2&lt;AJ$2)*($T187:$AK187))))</f>
      </c>
      <c r="BC187" s="0">
        <f>MAX(0,MIN(AK187,BX187-SUMPRODUCT(($T$2:$AK$2&lt;AK$2)*($T187:$AK187))))</f>
      </c>
      <c r="BD187" s="0">
        <f>T187-AL187</f>
      </c>
      <c r="BE187" s="0">
        <f>U187-AM187</f>
      </c>
      <c r="BF187" s="0">
        <f>V187-AN187</f>
      </c>
      <c r="BG187" s="0">
        <f>W187-AO187</f>
      </c>
      <c r="BH187" s="0">
        <f>X187-AP187</f>
      </c>
      <c r="BI187" s="0">
        <f>Y187-AQ187</f>
      </c>
      <c r="BJ187" s="0">
        <f>Z187-AR187</f>
      </c>
      <c r="BK187" s="0">
        <f>AA187-AS187</f>
      </c>
      <c r="BL187" s="0">
        <f>AB187-AT187</f>
      </c>
      <c r="BM187" s="0">
        <f>AC187-AU187</f>
      </c>
      <c r="BN187" s="0">
        <f>AD187-AV187</f>
      </c>
      <c r="BO187" s="0">
        <f>AE187-AW187</f>
      </c>
      <c r="BP187" s="0">
        <f>AF187-AX187</f>
      </c>
      <c r="BQ187" s="0">
        <f>AG187-AY187</f>
      </c>
      <c r="BR187" s="0">
        <f>AH187-AZ187</f>
      </c>
      <c r="BS187" s="0">
        <f>AI187-BA187</f>
      </c>
      <c r="BT187" s="0">
        <f>AJ187-BB187</f>
      </c>
      <c r="BU187" s="0">
        <f>AK187-BC187</f>
      </c>
      <c r="BV187" s="0">
        <f>SUM(B187:S187)</f>
      </c>
      <c r="BW187" s="0">
        <f>SUM(T187:AK187)</f>
      </c>
      <c r="BX187" s="0">
        <f>MAX(0,(SUM(Calculator!$E$11:$E$28)+Calculator!$C$6)-BV187+BW187)</f>
      </c>
      <c r="BY187" s="0">
        <f>SUM(BD187:BU187)</f>
      </c>
      <c r="BZ187" s="0">
        <f>BV187-BY186</f>
      </c>
      <c r="CA187" s="0">
        <f>IF(A187&lt;=IF($CD$1=0,999,$CD$1),BY187,NA())</f>
      </c>
      <c r="CB187" s="0">
        <f>IF(A187&lt;=IF($CD$1=0,999,$CD$1),A187,NA())</f>
      </c>
    </row>
    <row r="188">
      <c r="A188" s="0">
        <v>185</v>
      </c>
      <c r="B188" s="0">
        <f>BD187*(1+Calculator!$D$11/100/12)</f>
      </c>
      <c r="C188" s="0">
        <f>BE187*(1+Calculator!$D$12/100/12)</f>
      </c>
      <c r="D188" s="0">
        <f>BF187*(1+Calculator!$D$13/100/12)</f>
      </c>
      <c r="E188" s="0">
        <f>BG187*(1+Calculator!$D$14/100/12)</f>
      </c>
      <c r="F188" s="0">
        <f>BH187*(1+Calculator!$D$15/100/12)</f>
      </c>
      <c r="G188" s="0">
        <f>BI187*(1+Calculator!$D$16/100/12)</f>
      </c>
      <c r="H188" s="0">
        <f>BJ187*(1+Calculator!$D$17/100/12)</f>
      </c>
      <c r="I188" s="0">
        <f>BK187*(1+Calculator!$D$18/100/12)</f>
      </c>
      <c r="J188" s="0">
        <f>BL187*(1+Calculator!$D$19/100/12)</f>
      </c>
      <c r="K188" s="0">
        <f>BM187*(1+Calculator!$D$20/100/12)</f>
      </c>
      <c r="L188" s="0">
        <f>BN187*(1+Calculator!$D$21/100/12)</f>
      </c>
      <c r="M188" s="0">
        <f>BO187*(1+Calculator!$D$22/100/12)</f>
      </c>
      <c r="N188" s="0">
        <f>BP187*(1+Calculator!$D$23/100/12)</f>
      </c>
      <c r="O188" s="0">
        <f>BQ187*(1+Calculator!$D$24/100/12)</f>
      </c>
      <c r="P188" s="0">
        <f>BR187*(1+Calculator!$D$25/100/12)</f>
      </c>
      <c r="Q188" s="0">
        <f>BS187*(1+Calculator!$D$26/100/12)</f>
      </c>
      <c r="R188" s="0">
        <f>BT187*(1+Calculator!$D$27/100/12)</f>
      </c>
      <c r="S188" s="0">
        <f>BU187*(1+Calculator!$D$28/100/12)</f>
      </c>
      <c r="T188" s="0">
        <f>MAX(0,B188-Calculator!$E$11)</f>
      </c>
      <c r="U188" s="0">
        <f>MAX(0,C188-Calculator!$E$12)</f>
      </c>
      <c r="V188" s="0">
        <f>MAX(0,D188-Calculator!$E$13)</f>
      </c>
      <c r="W188" s="0">
        <f>MAX(0,E188-Calculator!$E$14)</f>
      </c>
      <c r="X188" s="0">
        <f>MAX(0,F188-Calculator!$E$15)</f>
      </c>
      <c r="Y188" s="0">
        <f>MAX(0,G188-Calculator!$E$16)</f>
      </c>
      <c r="Z188" s="0">
        <f>MAX(0,H188-Calculator!$E$17)</f>
      </c>
      <c r="AA188" s="0">
        <f>MAX(0,I188-Calculator!$E$18)</f>
      </c>
      <c r="AB188" s="0">
        <f>MAX(0,J188-Calculator!$E$19)</f>
      </c>
      <c r="AC188" s="0">
        <f>MAX(0,K188-Calculator!$E$20)</f>
      </c>
      <c r="AD188" s="0">
        <f>MAX(0,L188-Calculator!$E$21)</f>
      </c>
      <c r="AE188" s="0">
        <f>MAX(0,M188-Calculator!$E$22)</f>
      </c>
      <c r="AF188" s="0">
        <f>MAX(0,N188-Calculator!$E$23)</f>
      </c>
      <c r="AG188" s="0">
        <f>MAX(0,O188-Calculator!$E$24)</f>
      </c>
      <c r="AH188" s="0">
        <f>MAX(0,P188-Calculator!$E$25)</f>
      </c>
      <c r="AI188" s="0">
        <f>MAX(0,Q188-Calculator!$E$26)</f>
      </c>
      <c r="AJ188" s="0">
        <f>MAX(0,R188-Calculator!$E$27)</f>
      </c>
      <c r="AK188" s="0">
        <f>MAX(0,S188-Calculator!$E$28)</f>
      </c>
      <c r="AL188" s="0">
        <f>MAX(0,MIN(T188,BX188-SUMPRODUCT(($T$2:$AK$2&lt;T$2)*($T188:$AK188))))</f>
      </c>
      <c r="AM188" s="0">
        <f>MAX(0,MIN(U188,BX188-SUMPRODUCT(($T$2:$AK$2&lt;U$2)*($T188:$AK188))))</f>
      </c>
      <c r="AN188" s="0">
        <f>MAX(0,MIN(V188,BX188-SUMPRODUCT(($T$2:$AK$2&lt;V$2)*($T188:$AK188))))</f>
      </c>
      <c r="AO188" s="0">
        <f>MAX(0,MIN(W188,BX188-SUMPRODUCT(($T$2:$AK$2&lt;W$2)*($T188:$AK188))))</f>
      </c>
      <c r="AP188" s="0">
        <f>MAX(0,MIN(X188,BX188-SUMPRODUCT(($T$2:$AK$2&lt;X$2)*($T188:$AK188))))</f>
      </c>
      <c r="AQ188" s="0">
        <f>MAX(0,MIN(Y188,BX188-SUMPRODUCT(($T$2:$AK$2&lt;Y$2)*($T188:$AK188))))</f>
      </c>
      <c r="AR188" s="0">
        <f>MAX(0,MIN(Z188,BX188-SUMPRODUCT(($T$2:$AK$2&lt;Z$2)*($T188:$AK188))))</f>
      </c>
      <c r="AS188" s="0">
        <f>MAX(0,MIN(AA188,BX188-SUMPRODUCT(($T$2:$AK$2&lt;AA$2)*($T188:$AK188))))</f>
      </c>
      <c r="AT188" s="0">
        <f>MAX(0,MIN(AB188,BX188-SUMPRODUCT(($T$2:$AK$2&lt;AB$2)*($T188:$AK188))))</f>
      </c>
      <c r="AU188" s="0">
        <f>MAX(0,MIN(AC188,BX188-SUMPRODUCT(($T$2:$AK$2&lt;AC$2)*($T188:$AK188))))</f>
      </c>
      <c r="AV188" s="0">
        <f>MAX(0,MIN(AD188,BX188-SUMPRODUCT(($T$2:$AK$2&lt;AD$2)*($T188:$AK188))))</f>
      </c>
      <c r="AW188" s="0">
        <f>MAX(0,MIN(AE188,BX188-SUMPRODUCT(($T$2:$AK$2&lt;AE$2)*($T188:$AK188))))</f>
      </c>
      <c r="AX188" s="0">
        <f>MAX(0,MIN(AF188,BX188-SUMPRODUCT(($T$2:$AK$2&lt;AF$2)*($T188:$AK188))))</f>
      </c>
      <c r="AY188" s="0">
        <f>MAX(0,MIN(AG188,BX188-SUMPRODUCT(($T$2:$AK$2&lt;AG$2)*($T188:$AK188))))</f>
      </c>
      <c r="AZ188" s="0">
        <f>MAX(0,MIN(AH188,BX188-SUMPRODUCT(($T$2:$AK$2&lt;AH$2)*($T188:$AK188))))</f>
      </c>
      <c r="BA188" s="0">
        <f>MAX(0,MIN(AI188,BX188-SUMPRODUCT(($T$2:$AK$2&lt;AI$2)*($T188:$AK188))))</f>
      </c>
      <c r="BB188" s="0">
        <f>MAX(0,MIN(AJ188,BX188-SUMPRODUCT(($T$2:$AK$2&lt;AJ$2)*($T188:$AK188))))</f>
      </c>
      <c r="BC188" s="0">
        <f>MAX(0,MIN(AK188,BX188-SUMPRODUCT(($T$2:$AK$2&lt;AK$2)*($T188:$AK188))))</f>
      </c>
      <c r="BD188" s="0">
        <f>T188-AL188</f>
      </c>
      <c r="BE188" s="0">
        <f>U188-AM188</f>
      </c>
      <c r="BF188" s="0">
        <f>V188-AN188</f>
      </c>
      <c r="BG188" s="0">
        <f>W188-AO188</f>
      </c>
      <c r="BH188" s="0">
        <f>X188-AP188</f>
      </c>
      <c r="BI188" s="0">
        <f>Y188-AQ188</f>
      </c>
      <c r="BJ188" s="0">
        <f>Z188-AR188</f>
      </c>
      <c r="BK188" s="0">
        <f>AA188-AS188</f>
      </c>
      <c r="BL188" s="0">
        <f>AB188-AT188</f>
      </c>
      <c r="BM188" s="0">
        <f>AC188-AU188</f>
      </c>
      <c r="BN188" s="0">
        <f>AD188-AV188</f>
      </c>
      <c r="BO188" s="0">
        <f>AE188-AW188</f>
      </c>
      <c r="BP188" s="0">
        <f>AF188-AX188</f>
      </c>
      <c r="BQ188" s="0">
        <f>AG188-AY188</f>
      </c>
      <c r="BR188" s="0">
        <f>AH188-AZ188</f>
      </c>
      <c r="BS188" s="0">
        <f>AI188-BA188</f>
      </c>
      <c r="BT188" s="0">
        <f>AJ188-BB188</f>
      </c>
      <c r="BU188" s="0">
        <f>AK188-BC188</f>
      </c>
      <c r="BV188" s="0">
        <f>SUM(B188:S188)</f>
      </c>
      <c r="BW188" s="0">
        <f>SUM(T188:AK188)</f>
      </c>
      <c r="BX188" s="0">
        <f>MAX(0,(SUM(Calculator!$E$11:$E$28)+Calculator!$C$6)-BV188+BW188)</f>
      </c>
      <c r="BY188" s="0">
        <f>SUM(BD188:BU188)</f>
      </c>
      <c r="BZ188" s="0">
        <f>BV188-BY187</f>
      </c>
      <c r="CA188" s="0">
        <f>IF(A188&lt;=IF($CD$1=0,999,$CD$1),BY188,NA())</f>
      </c>
      <c r="CB188" s="0">
        <f>IF(A188&lt;=IF($CD$1=0,999,$CD$1),A188,NA())</f>
      </c>
    </row>
    <row r="189">
      <c r="A189" s="0">
        <v>186</v>
      </c>
      <c r="B189" s="0">
        <f>BD188*(1+Calculator!$D$11/100/12)</f>
      </c>
      <c r="C189" s="0">
        <f>BE188*(1+Calculator!$D$12/100/12)</f>
      </c>
      <c r="D189" s="0">
        <f>BF188*(1+Calculator!$D$13/100/12)</f>
      </c>
      <c r="E189" s="0">
        <f>BG188*(1+Calculator!$D$14/100/12)</f>
      </c>
      <c r="F189" s="0">
        <f>BH188*(1+Calculator!$D$15/100/12)</f>
      </c>
      <c r="G189" s="0">
        <f>BI188*(1+Calculator!$D$16/100/12)</f>
      </c>
      <c r="H189" s="0">
        <f>BJ188*(1+Calculator!$D$17/100/12)</f>
      </c>
      <c r="I189" s="0">
        <f>BK188*(1+Calculator!$D$18/100/12)</f>
      </c>
      <c r="J189" s="0">
        <f>BL188*(1+Calculator!$D$19/100/12)</f>
      </c>
      <c r="K189" s="0">
        <f>BM188*(1+Calculator!$D$20/100/12)</f>
      </c>
      <c r="L189" s="0">
        <f>BN188*(1+Calculator!$D$21/100/12)</f>
      </c>
      <c r="M189" s="0">
        <f>BO188*(1+Calculator!$D$22/100/12)</f>
      </c>
      <c r="N189" s="0">
        <f>BP188*(1+Calculator!$D$23/100/12)</f>
      </c>
      <c r="O189" s="0">
        <f>BQ188*(1+Calculator!$D$24/100/12)</f>
      </c>
      <c r="P189" s="0">
        <f>BR188*(1+Calculator!$D$25/100/12)</f>
      </c>
      <c r="Q189" s="0">
        <f>BS188*(1+Calculator!$D$26/100/12)</f>
      </c>
      <c r="R189" s="0">
        <f>BT188*(1+Calculator!$D$27/100/12)</f>
      </c>
      <c r="S189" s="0">
        <f>BU188*(1+Calculator!$D$28/100/12)</f>
      </c>
      <c r="T189" s="0">
        <f>MAX(0,B189-Calculator!$E$11)</f>
      </c>
      <c r="U189" s="0">
        <f>MAX(0,C189-Calculator!$E$12)</f>
      </c>
      <c r="V189" s="0">
        <f>MAX(0,D189-Calculator!$E$13)</f>
      </c>
      <c r="W189" s="0">
        <f>MAX(0,E189-Calculator!$E$14)</f>
      </c>
      <c r="X189" s="0">
        <f>MAX(0,F189-Calculator!$E$15)</f>
      </c>
      <c r="Y189" s="0">
        <f>MAX(0,G189-Calculator!$E$16)</f>
      </c>
      <c r="Z189" s="0">
        <f>MAX(0,H189-Calculator!$E$17)</f>
      </c>
      <c r="AA189" s="0">
        <f>MAX(0,I189-Calculator!$E$18)</f>
      </c>
      <c r="AB189" s="0">
        <f>MAX(0,J189-Calculator!$E$19)</f>
      </c>
      <c r="AC189" s="0">
        <f>MAX(0,K189-Calculator!$E$20)</f>
      </c>
      <c r="AD189" s="0">
        <f>MAX(0,L189-Calculator!$E$21)</f>
      </c>
      <c r="AE189" s="0">
        <f>MAX(0,M189-Calculator!$E$22)</f>
      </c>
      <c r="AF189" s="0">
        <f>MAX(0,N189-Calculator!$E$23)</f>
      </c>
      <c r="AG189" s="0">
        <f>MAX(0,O189-Calculator!$E$24)</f>
      </c>
      <c r="AH189" s="0">
        <f>MAX(0,P189-Calculator!$E$25)</f>
      </c>
      <c r="AI189" s="0">
        <f>MAX(0,Q189-Calculator!$E$26)</f>
      </c>
      <c r="AJ189" s="0">
        <f>MAX(0,R189-Calculator!$E$27)</f>
      </c>
      <c r="AK189" s="0">
        <f>MAX(0,S189-Calculator!$E$28)</f>
      </c>
      <c r="AL189" s="0">
        <f>MAX(0,MIN(T189,BX189-SUMPRODUCT(($T$2:$AK$2&lt;T$2)*($T189:$AK189))))</f>
      </c>
      <c r="AM189" s="0">
        <f>MAX(0,MIN(U189,BX189-SUMPRODUCT(($T$2:$AK$2&lt;U$2)*($T189:$AK189))))</f>
      </c>
      <c r="AN189" s="0">
        <f>MAX(0,MIN(V189,BX189-SUMPRODUCT(($T$2:$AK$2&lt;V$2)*($T189:$AK189))))</f>
      </c>
      <c r="AO189" s="0">
        <f>MAX(0,MIN(W189,BX189-SUMPRODUCT(($T$2:$AK$2&lt;W$2)*($T189:$AK189))))</f>
      </c>
      <c r="AP189" s="0">
        <f>MAX(0,MIN(X189,BX189-SUMPRODUCT(($T$2:$AK$2&lt;X$2)*($T189:$AK189))))</f>
      </c>
      <c r="AQ189" s="0">
        <f>MAX(0,MIN(Y189,BX189-SUMPRODUCT(($T$2:$AK$2&lt;Y$2)*($T189:$AK189))))</f>
      </c>
      <c r="AR189" s="0">
        <f>MAX(0,MIN(Z189,BX189-SUMPRODUCT(($T$2:$AK$2&lt;Z$2)*($T189:$AK189))))</f>
      </c>
      <c r="AS189" s="0">
        <f>MAX(0,MIN(AA189,BX189-SUMPRODUCT(($T$2:$AK$2&lt;AA$2)*($T189:$AK189))))</f>
      </c>
      <c r="AT189" s="0">
        <f>MAX(0,MIN(AB189,BX189-SUMPRODUCT(($T$2:$AK$2&lt;AB$2)*($T189:$AK189))))</f>
      </c>
      <c r="AU189" s="0">
        <f>MAX(0,MIN(AC189,BX189-SUMPRODUCT(($T$2:$AK$2&lt;AC$2)*($T189:$AK189))))</f>
      </c>
      <c r="AV189" s="0">
        <f>MAX(0,MIN(AD189,BX189-SUMPRODUCT(($T$2:$AK$2&lt;AD$2)*($T189:$AK189))))</f>
      </c>
      <c r="AW189" s="0">
        <f>MAX(0,MIN(AE189,BX189-SUMPRODUCT(($T$2:$AK$2&lt;AE$2)*($T189:$AK189))))</f>
      </c>
      <c r="AX189" s="0">
        <f>MAX(0,MIN(AF189,BX189-SUMPRODUCT(($T$2:$AK$2&lt;AF$2)*($T189:$AK189))))</f>
      </c>
      <c r="AY189" s="0">
        <f>MAX(0,MIN(AG189,BX189-SUMPRODUCT(($T$2:$AK$2&lt;AG$2)*($T189:$AK189))))</f>
      </c>
      <c r="AZ189" s="0">
        <f>MAX(0,MIN(AH189,BX189-SUMPRODUCT(($T$2:$AK$2&lt;AH$2)*($T189:$AK189))))</f>
      </c>
      <c r="BA189" s="0">
        <f>MAX(0,MIN(AI189,BX189-SUMPRODUCT(($T$2:$AK$2&lt;AI$2)*($T189:$AK189))))</f>
      </c>
      <c r="BB189" s="0">
        <f>MAX(0,MIN(AJ189,BX189-SUMPRODUCT(($T$2:$AK$2&lt;AJ$2)*($T189:$AK189))))</f>
      </c>
      <c r="BC189" s="0">
        <f>MAX(0,MIN(AK189,BX189-SUMPRODUCT(($T$2:$AK$2&lt;AK$2)*($T189:$AK189))))</f>
      </c>
      <c r="BD189" s="0">
        <f>T189-AL189</f>
      </c>
      <c r="BE189" s="0">
        <f>U189-AM189</f>
      </c>
      <c r="BF189" s="0">
        <f>V189-AN189</f>
      </c>
      <c r="BG189" s="0">
        <f>W189-AO189</f>
      </c>
      <c r="BH189" s="0">
        <f>X189-AP189</f>
      </c>
      <c r="BI189" s="0">
        <f>Y189-AQ189</f>
      </c>
      <c r="BJ189" s="0">
        <f>Z189-AR189</f>
      </c>
      <c r="BK189" s="0">
        <f>AA189-AS189</f>
      </c>
      <c r="BL189" s="0">
        <f>AB189-AT189</f>
      </c>
      <c r="BM189" s="0">
        <f>AC189-AU189</f>
      </c>
      <c r="BN189" s="0">
        <f>AD189-AV189</f>
      </c>
      <c r="BO189" s="0">
        <f>AE189-AW189</f>
      </c>
      <c r="BP189" s="0">
        <f>AF189-AX189</f>
      </c>
      <c r="BQ189" s="0">
        <f>AG189-AY189</f>
      </c>
      <c r="BR189" s="0">
        <f>AH189-AZ189</f>
      </c>
      <c r="BS189" s="0">
        <f>AI189-BA189</f>
      </c>
      <c r="BT189" s="0">
        <f>AJ189-BB189</f>
      </c>
      <c r="BU189" s="0">
        <f>AK189-BC189</f>
      </c>
      <c r="BV189" s="0">
        <f>SUM(B189:S189)</f>
      </c>
      <c r="BW189" s="0">
        <f>SUM(T189:AK189)</f>
      </c>
      <c r="BX189" s="0">
        <f>MAX(0,(SUM(Calculator!$E$11:$E$28)+Calculator!$C$6)-BV189+BW189)</f>
      </c>
      <c r="BY189" s="0">
        <f>SUM(BD189:BU189)</f>
      </c>
      <c r="BZ189" s="0">
        <f>BV189-BY188</f>
      </c>
      <c r="CA189" s="0">
        <f>IF(A189&lt;=IF($CD$1=0,999,$CD$1),BY189,NA())</f>
      </c>
      <c r="CB189" s="0">
        <f>IF(A189&lt;=IF($CD$1=0,999,$CD$1),A189,NA())</f>
      </c>
    </row>
    <row r="190">
      <c r="A190" s="0">
        <v>187</v>
      </c>
      <c r="B190" s="0">
        <f>BD189*(1+Calculator!$D$11/100/12)</f>
      </c>
      <c r="C190" s="0">
        <f>BE189*(1+Calculator!$D$12/100/12)</f>
      </c>
      <c r="D190" s="0">
        <f>BF189*(1+Calculator!$D$13/100/12)</f>
      </c>
      <c r="E190" s="0">
        <f>BG189*(1+Calculator!$D$14/100/12)</f>
      </c>
      <c r="F190" s="0">
        <f>BH189*(1+Calculator!$D$15/100/12)</f>
      </c>
      <c r="G190" s="0">
        <f>BI189*(1+Calculator!$D$16/100/12)</f>
      </c>
      <c r="H190" s="0">
        <f>BJ189*(1+Calculator!$D$17/100/12)</f>
      </c>
      <c r="I190" s="0">
        <f>BK189*(1+Calculator!$D$18/100/12)</f>
      </c>
      <c r="J190" s="0">
        <f>BL189*(1+Calculator!$D$19/100/12)</f>
      </c>
      <c r="K190" s="0">
        <f>BM189*(1+Calculator!$D$20/100/12)</f>
      </c>
      <c r="L190" s="0">
        <f>BN189*(1+Calculator!$D$21/100/12)</f>
      </c>
      <c r="M190" s="0">
        <f>BO189*(1+Calculator!$D$22/100/12)</f>
      </c>
      <c r="N190" s="0">
        <f>BP189*(1+Calculator!$D$23/100/12)</f>
      </c>
      <c r="O190" s="0">
        <f>BQ189*(1+Calculator!$D$24/100/12)</f>
      </c>
      <c r="P190" s="0">
        <f>BR189*(1+Calculator!$D$25/100/12)</f>
      </c>
      <c r="Q190" s="0">
        <f>BS189*(1+Calculator!$D$26/100/12)</f>
      </c>
      <c r="R190" s="0">
        <f>BT189*(1+Calculator!$D$27/100/12)</f>
      </c>
      <c r="S190" s="0">
        <f>BU189*(1+Calculator!$D$28/100/12)</f>
      </c>
      <c r="T190" s="0">
        <f>MAX(0,B190-Calculator!$E$11)</f>
      </c>
      <c r="U190" s="0">
        <f>MAX(0,C190-Calculator!$E$12)</f>
      </c>
      <c r="V190" s="0">
        <f>MAX(0,D190-Calculator!$E$13)</f>
      </c>
      <c r="W190" s="0">
        <f>MAX(0,E190-Calculator!$E$14)</f>
      </c>
      <c r="X190" s="0">
        <f>MAX(0,F190-Calculator!$E$15)</f>
      </c>
      <c r="Y190" s="0">
        <f>MAX(0,G190-Calculator!$E$16)</f>
      </c>
      <c r="Z190" s="0">
        <f>MAX(0,H190-Calculator!$E$17)</f>
      </c>
      <c r="AA190" s="0">
        <f>MAX(0,I190-Calculator!$E$18)</f>
      </c>
      <c r="AB190" s="0">
        <f>MAX(0,J190-Calculator!$E$19)</f>
      </c>
      <c r="AC190" s="0">
        <f>MAX(0,K190-Calculator!$E$20)</f>
      </c>
      <c r="AD190" s="0">
        <f>MAX(0,L190-Calculator!$E$21)</f>
      </c>
      <c r="AE190" s="0">
        <f>MAX(0,M190-Calculator!$E$22)</f>
      </c>
      <c r="AF190" s="0">
        <f>MAX(0,N190-Calculator!$E$23)</f>
      </c>
      <c r="AG190" s="0">
        <f>MAX(0,O190-Calculator!$E$24)</f>
      </c>
      <c r="AH190" s="0">
        <f>MAX(0,P190-Calculator!$E$25)</f>
      </c>
      <c r="AI190" s="0">
        <f>MAX(0,Q190-Calculator!$E$26)</f>
      </c>
      <c r="AJ190" s="0">
        <f>MAX(0,R190-Calculator!$E$27)</f>
      </c>
      <c r="AK190" s="0">
        <f>MAX(0,S190-Calculator!$E$28)</f>
      </c>
      <c r="AL190" s="0">
        <f>MAX(0,MIN(T190,BX190-SUMPRODUCT(($T$2:$AK$2&lt;T$2)*($T190:$AK190))))</f>
      </c>
      <c r="AM190" s="0">
        <f>MAX(0,MIN(U190,BX190-SUMPRODUCT(($T$2:$AK$2&lt;U$2)*($T190:$AK190))))</f>
      </c>
      <c r="AN190" s="0">
        <f>MAX(0,MIN(V190,BX190-SUMPRODUCT(($T$2:$AK$2&lt;V$2)*($T190:$AK190))))</f>
      </c>
      <c r="AO190" s="0">
        <f>MAX(0,MIN(W190,BX190-SUMPRODUCT(($T$2:$AK$2&lt;W$2)*($T190:$AK190))))</f>
      </c>
      <c r="AP190" s="0">
        <f>MAX(0,MIN(X190,BX190-SUMPRODUCT(($T$2:$AK$2&lt;X$2)*($T190:$AK190))))</f>
      </c>
      <c r="AQ190" s="0">
        <f>MAX(0,MIN(Y190,BX190-SUMPRODUCT(($T$2:$AK$2&lt;Y$2)*($T190:$AK190))))</f>
      </c>
      <c r="AR190" s="0">
        <f>MAX(0,MIN(Z190,BX190-SUMPRODUCT(($T$2:$AK$2&lt;Z$2)*($T190:$AK190))))</f>
      </c>
      <c r="AS190" s="0">
        <f>MAX(0,MIN(AA190,BX190-SUMPRODUCT(($T$2:$AK$2&lt;AA$2)*($T190:$AK190))))</f>
      </c>
      <c r="AT190" s="0">
        <f>MAX(0,MIN(AB190,BX190-SUMPRODUCT(($T$2:$AK$2&lt;AB$2)*($T190:$AK190))))</f>
      </c>
      <c r="AU190" s="0">
        <f>MAX(0,MIN(AC190,BX190-SUMPRODUCT(($T$2:$AK$2&lt;AC$2)*($T190:$AK190))))</f>
      </c>
      <c r="AV190" s="0">
        <f>MAX(0,MIN(AD190,BX190-SUMPRODUCT(($T$2:$AK$2&lt;AD$2)*($T190:$AK190))))</f>
      </c>
      <c r="AW190" s="0">
        <f>MAX(0,MIN(AE190,BX190-SUMPRODUCT(($T$2:$AK$2&lt;AE$2)*($T190:$AK190))))</f>
      </c>
      <c r="AX190" s="0">
        <f>MAX(0,MIN(AF190,BX190-SUMPRODUCT(($T$2:$AK$2&lt;AF$2)*($T190:$AK190))))</f>
      </c>
      <c r="AY190" s="0">
        <f>MAX(0,MIN(AG190,BX190-SUMPRODUCT(($T$2:$AK$2&lt;AG$2)*($T190:$AK190))))</f>
      </c>
      <c r="AZ190" s="0">
        <f>MAX(0,MIN(AH190,BX190-SUMPRODUCT(($T$2:$AK$2&lt;AH$2)*($T190:$AK190))))</f>
      </c>
      <c r="BA190" s="0">
        <f>MAX(0,MIN(AI190,BX190-SUMPRODUCT(($T$2:$AK$2&lt;AI$2)*($T190:$AK190))))</f>
      </c>
      <c r="BB190" s="0">
        <f>MAX(0,MIN(AJ190,BX190-SUMPRODUCT(($T$2:$AK$2&lt;AJ$2)*($T190:$AK190))))</f>
      </c>
      <c r="BC190" s="0">
        <f>MAX(0,MIN(AK190,BX190-SUMPRODUCT(($T$2:$AK$2&lt;AK$2)*($T190:$AK190))))</f>
      </c>
      <c r="BD190" s="0">
        <f>T190-AL190</f>
      </c>
      <c r="BE190" s="0">
        <f>U190-AM190</f>
      </c>
      <c r="BF190" s="0">
        <f>V190-AN190</f>
      </c>
      <c r="BG190" s="0">
        <f>W190-AO190</f>
      </c>
      <c r="BH190" s="0">
        <f>X190-AP190</f>
      </c>
      <c r="BI190" s="0">
        <f>Y190-AQ190</f>
      </c>
      <c r="BJ190" s="0">
        <f>Z190-AR190</f>
      </c>
      <c r="BK190" s="0">
        <f>AA190-AS190</f>
      </c>
      <c r="BL190" s="0">
        <f>AB190-AT190</f>
      </c>
      <c r="BM190" s="0">
        <f>AC190-AU190</f>
      </c>
      <c r="BN190" s="0">
        <f>AD190-AV190</f>
      </c>
      <c r="BO190" s="0">
        <f>AE190-AW190</f>
      </c>
      <c r="BP190" s="0">
        <f>AF190-AX190</f>
      </c>
      <c r="BQ190" s="0">
        <f>AG190-AY190</f>
      </c>
      <c r="BR190" s="0">
        <f>AH190-AZ190</f>
      </c>
      <c r="BS190" s="0">
        <f>AI190-BA190</f>
      </c>
      <c r="BT190" s="0">
        <f>AJ190-BB190</f>
      </c>
      <c r="BU190" s="0">
        <f>AK190-BC190</f>
      </c>
      <c r="BV190" s="0">
        <f>SUM(B190:S190)</f>
      </c>
      <c r="BW190" s="0">
        <f>SUM(T190:AK190)</f>
      </c>
      <c r="BX190" s="0">
        <f>MAX(0,(SUM(Calculator!$E$11:$E$28)+Calculator!$C$6)-BV190+BW190)</f>
      </c>
      <c r="BY190" s="0">
        <f>SUM(BD190:BU190)</f>
      </c>
      <c r="BZ190" s="0">
        <f>BV190-BY189</f>
      </c>
      <c r="CA190" s="0">
        <f>IF(A190&lt;=IF($CD$1=0,999,$CD$1),BY190,NA())</f>
      </c>
      <c r="CB190" s="0">
        <f>IF(A190&lt;=IF($CD$1=0,999,$CD$1),A190,NA())</f>
      </c>
    </row>
    <row r="191">
      <c r="A191" s="0">
        <v>188</v>
      </c>
      <c r="B191" s="0">
        <f>BD190*(1+Calculator!$D$11/100/12)</f>
      </c>
      <c r="C191" s="0">
        <f>BE190*(1+Calculator!$D$12/100/12)</f>
      </c>
      <c r="D191" s="0">
        <f>BF190*(1+Calculator!$D$13/100/12)</f>
      </c>
      <c r="E191" s="0">
        <f>BG190*(1+Calculator!$D$14/100/12)</f>
      </c>
      <c r="F191" s="0">
        <f>BH190*(1+Calculator!$D$15/100/12)</f>
      </c>
      <c r="G191" s="0">
        <f>BI190*(1+Calculator!$D$16/100/12)</f>
      </c>
      <c r="H191" s="0">
        <f>BJ190*(1+Calculator!$D$17/100/12)</f>
      </c>
      <c r="I191" s="0">
        <f>BK190*(1+Calculator!$D$18/100/12)</f>
      </c>
      <c r="J191" s="0">
        <f>BL190*(1+Calculator!$D$19/100/12)</f>
      </c>
      <c r="K191" s="0">
        <f>BM190*(1+Calculator!$D$20/100/12)</f>
      </c>
      <c r="L191" s="0">
        <f>BN190*(1+Calculator!$D$21/100/12)</f>
      </c>
      <c r="M191" s="0">
        <f>BO190*(1+Calculator!$D$22/100/12)</f>
      </c>
      <c r="N191" s="0">
        <f>BP190*(1+Calculator!$D$23/100/12)</f>
      </c>
      <c r="O191" s="0">
        <f>BQ190*(1+Calculator!$D$24/100/12)</f>
      </c>
      <c r="P191" s="0">
        <f>BR190*(1+Calculator!$D$25/100/12)</f>
      </c>
      <c r="Q191" s="0">
        <f>BS190*(1+Calculator!$D$26/100/12)</f>
      </c>
      <c r="R191" s="0">
        <f>BT190*(1+Calculator!$D$27/100/12)</f>
      </c>
      <c r="S191" s="0">
        <f>BU190*(1+Calculator!$D$28/100/12)</f>
      </c>
      <c r="T191" s="0">
        <f>MAX(0,B191-Calculator!$E$11)</f>
      </c>
      <c r="U191" s="0">
        <f>MAX(0,C191-Calculator!$E$12)</f>
      </c>
      <c r="V191" s="0">
        <f>MAX(0,D191-Calculator!$E$13)</f>
      </c>
      <c r="W191" s="0">
        <f>MAX(0,E191-Calculator!$E$14)</f>
      </c>
      <c r="X191" s="0">
        <f>MAX(0,F191-Calculator!$E$15)</f>
      </c>
      <c r="Y191" s="0">
        <f>MAX(0,G191-Calculator!$E$16)</f>
      </c>
      <c r="Z191" s="0">
        <f>MAX(0,H191-Calculator!$E$17)</f>
      </c>
      <c r="AA191" s="0">
        <f>MAX(0,I191-Calculator!$E$18)</f>
      </c>
      <c r="AB191" s="0">
        <f>MAX(0,J191-Calculator!$E$19)</f>
      </c>
      <c r="AC191" s="0">
        <f>MAX(0,K191-Calculator!$E$20)</f>
      </c>
      <c r="AD191" s="0">
        <f>MAX(0,L191-Calculator!$E$21)</f>
      </c>
      <c r="AE191" s="0">
        <f>MAX(0,M191-Calculator!$E$22)</f>
      </c>
      <c r="AF191" s="0">
        <f>MAX(0,N191-Calculator!$E$23)</f>
      </c>
      <c r="AG191" s="0">
        <f>MAX(0,O191-Calculator!$E$24)</f>
      </c>
      <c r="AH191" s="0">
        <f>MAX(0,P191-Calculator!$E$25)</f>
      </c>
      <c r="AI191" s="0">
        <f>MAX(0,Q191-Calculator!$E$26)</f>
      </c>
      <c r="AJ191" s="0">
        <f>MAX(0,R191-Calculator!$E$27)</f>
      </c>
      <c r="AK191" s="0">
        <f>MAX(0,S191-Calculator!$E$28)</f>
      </c>
      <c r="AL191" s="0">
        <f>MAX(0,MIN(T191,BX191-SUMPRODUCT(($T$2:$AK$2&lt;T$2)*($T191:$AK191))))</f>
      </c>
      <c r="AM191" s="0">
        <f>MAX(0,MIN(U191,BX191-SUMPRODUCT(($T$2:$AK$2&lt;U$2)*($T191:$AK191))))</f>
      </c>
      <c r="AN191" s="0">
        <f>MAX(0,MIN(V191,BX191-SUMPRODUCT(($T$2:$AK$2&lt;V$2)*($T191:$AK191))))</f>
      </c>
      <c r="AO191" s="0">
        <f>MAX(0,MIN(W191,BX191-SUMPRODUCT(($T$2:$AK$2&lt;W$2)*($T191:$AK191))))</f>
      </c>
      <c r="AP191" s="0">
        <f>MAX(0,MIN(X191,BX191-SUMPRODUCT(($T$2:$AK$2&lt;X$2)*($T191:$AK191))))</f>
      </c>
      <c r="AQ191" s="0">
        <f>MAX(0,MIN(Y191,BX191-SUMPRODUCT(($T$2:$AK$2&lt;Y$2)*($T191:$AK191))))</f>
      </c>
      <c r="AR191" s="0">
        <f>MAX(0,MIN(Z191,BX191-SUMPRODUCT(($T$2:$AK$2&lt;Z$2)*($T191:$AK191))))</f>
      </c>
      <c r="AS191" s="0">
        <f>MAX(0,MIN(AA191,BX191-SUMPRODUCT(($T$2:$AK$2&lt;AA$2)*($T191:$AK191))))</f>
      </c>
      <c r="AT191" s="0">
        <f>MAX(0,MIN(AB191,BX191-SUMPRODUCT(($T$2:$AK$2&lt;AB$2)*($T191:$AK191))))</f>
      </c>
      <c r="AU191" s="0">
        <f>MAX(0,MIN(AC191,BX191-SUMPRODUCT(($T$2:$AK$2&lt;AC$2)*($T191:$AK191))))</f>
      </c>
      <c r="AV191" s="0">
        <f>MAX(0,MIN(AD191,BX191-SUMPRODUCT(($T$2:$AK$2&lt;AD$2)*($T191:$AK191))))</f>
      </c>
      <c r="AW191" s="0">
        <f>MAX(0,MIN(AE191,BX191-SUMPRODUCT(($T$2:$AK$2&lt;AE$2)*($T191:$AK191))))</f>
      </c>
      <c r="AX191" s="0">
        <f>MAX(0,MIN(AF191,BX191-SUMPRODUCT(($T$2:$AK$2&lt;AF$2)*($T191:$AK191))))</f>
      </c>
      <c r="AY191" s="0">
        <f>MAX(0,MIN(AG191,BX191-SUMPRODUCT(($T$2:$AK$2&lt;AG$2)*($T191:$AK191))))</f>
      </c>
      <c r="AZ191" s="0">
        <f>MAX(0,MIN(AH191,BX191-SUMPRODUCT(($T$2:$AK$2&lt;AH$2)*($T191:$AK191))))</f>
      </c>
      <c r="BA191" s="0">
        <f>MAX(0,MIN(AI191,BX191-SUMPRODUCT(($T$2:$AK$2&lt;AI$2)*($T191:$AK191))))</f>
      </c>
      <c r="BB191" s="0">
        <f>MAX(0,MIN(AJ191,BX191-SUMPRODUCT(($T$2:$AK$2&lt;AJ$2)*($T191:$AK191))))</f>
      </c>
      <c r="BC191" s="0">
        <f>MAX(0,MIN(AK191,BX191-SUMPRODUCT(($T$2:$AK$2&lt;AK$2)*($T191:$AK191))))</f>
      </c>
      <c r="BD191" s="0">
        <f>T191-AL191</f>
      </c>
      <c r="BE191" s="0">
        <f>U191-AM191</f>
      </c>
      <c r="BF191" s="0">
        <f>V191-AN191</f>
      </c>
      <c r="BG191" s="0">
        <f>W191-AO191</f>
      </c>
      <c r="BH191" s="0">
        <f>X191-AP191</f>
      </c>
      <c r="BI191" s="0">
        <f>Y191-AQ191</f>
      </c>
      <c r="BJ191" s="0">
        <f>Z191-AR191</f>
      </c>
      <c r="BK191" s="0">
        <f>AA191-AS191</f>
      </c>
      <c r="BL191" s="0">
        <f>AB191-AT191</f>
      </c>
      <c r="BM191" s="0">
        <f>AC191-AU191</f>
      </c>
      <c r="BN191" s="0">
        <f>AD191-AV191</f>
      </c>
      <c r="BO191" s="0">
        <f>AE191-AW191</f>
      </c>
      <c r="BP191" s="0">
        <f>AF191-AX191</f>
      </c>
      <c r="BQ191" s="0">
        <f>AG191-AY191</f>
      </c>
      <c r="BR191" s="0">
        <f>AH191-AZ191</f>
      </c>
      <c r="BS191" s="0">
        <f>AI191-BA191</f>
      </c>
      <c r="BT191" s="0">
        <f>AJ191-BB191</f>
      </c>
      <c r="BU191" s="0">
        <f>AK191-BC191</f>
      </c>
      <c r="BV191" s="0">
        <f>SUM(B191:S191)</f>
      </c>
      <c r="BW191" s="0">
        <f>SUM(T191:AK191)</f>
      </c>
      <c r="BX191" s="0">
        <f>MAX(0,(SUM(Calculator!$E$11:$E$28)+Calculator!$C$6)-BV191+BW191)</f>
      </c>
      <c r="BY191" s="0">
        <f>SUM(BD191:BU191)</f>
      </c>
      <c r="BZ191" s="0">
        <f>BV191-BY190</f>
      </c>
      <c r="CA191" s="0">
        <f>IF(A191&lt;=IF($CD$1=0,999,$CD$1),BY191,NA())</f>
      </c>
      <c r="CB191" s="0">
        <f>IF(A191&lt;=IF($CD$1=0,999,$CD$1),A191,NA())</f>
      </c>
    </row>
    <row r="192">
      <c r="A192" s="0">
        <v>189</v>
      </c>
      <c r="B192" s="0">
        <f>BD191*(1+Calculator!$D$11/100/12)</f>
      </c>
      <c r="C192" s="0">
        <f>BE191*(1+Calculator!$D$12/100/12)</f>
      </c>
      <c r="D192" s="0">
        <f>BF191*(1+Calculator!$D$13/100/12)</f>
      </c>
      <c r="E192" s="0">
        <f>BG191*(1+Calculator!$D$14/100/12)</f>
      </c>
      <c r="F192" s="0">
        <f>BH191*(1+Calculator!$D$15/100/12)</f>
      </c>
      <c r="G192" s="0">
        <f>BI191*(1+Calculator!$D$16/100/12)</f>
      </c>
      <c r="H192" s="0">
        <f>BJ191*(1+Calculator!$D$17/100/12)</f>
      </c>
      <c r="I192" s="0">
        <f>BK191*(1+Calculator!$D$18/100/12)</f>
      </c>
      <c r="J192" s="0">
        <f>BL191*(1+Calculator!$D$19/100/12)</f>
      </c>
      <c r="K192" s="0">
        <f>BM191*(1+Calculator!$D$20/100/12)</f>
      </c>
      <c r="L192" s="0">
        <f>BN191*(1+Calculator!$D$21/100/12)</f>
      </c>
      <c r="M192" s="0">
        <f>BO191*(1+Calculator!$D$22/100/12)</f>
      </c>
      <c r="N192" s="0">
        <f>BP191*(1+Calculator!$D$23/100/12)</f>
      </c>
      <c r="O192" s="0">
        <f>BQ191*(1+Calculator!$D$24/100/12)</f>
      </c>
      <c r="P192" s="0">
        <f>BR191*(1+Calculator!$D$25/100/12)</f>
      </c>
      <c r="Q192" s="0">
        <f>BS191*(1+Calculator!$D$26/100/12)</f>
      </c>
      <c r="R192" s="0">
        <f>BT191*(1+Calculator!$D$27/100/12)</f>
      </c>
      <c r="S192" s="0">
        <f>BU191*(1+Calculator!$D$28/100/12)</f>
      </c>
      <c r="T192" s="0">
        <f>MAX(0,B192-Calculator!$E$11)</f>
      </c>
      <c r="U192" s="0">
        <f>MAX(0,C192-Calculator!$E$12)</f>
      </c>
      <c r="V192" s="0">
        <f>MAX(0,D192-Calculator!$E$13)</f>
      </c>
      <c r="W192" s="0">
        <f>MAX(0,E192-Calculator!$E$14)</f>
      </c>
      <c r="X192" s="0">
        <f>MAX(0,F192-Calculator!$E$15)</f>
      </c>
      <c r="Y192" s="0">
        <f>MAX(0,G192-Calculator!$E$16)</f>
      </c>
      <c r="Z192" s="0">
        <f>MAX(0,H192-Calculator!$E$17)</f>
      </c>
      <c r="AA192" s="0">
        <f>MAX(0,I192-Calculator!$E$18)</f>
      </c>
      <c r="AB192" s="0">
        <f>MAX(0,J192-Calculator!$E$19)</f>
      </c>
      <c r="AC192" s="0">
        <f>MAX(0,K192-Calculator!$E$20)</f>
      </c>
      <c r="AD192" s="0">
        <f>MAX(0,L192-Calculator!$E$21)</f>
      </c>
      <c r="AE192" s="0">
        <f>MAX(0,M192-Calculator!$E$22)</f>
      </c>
      <c r="AF192" s="0">
        <f>MAX(0,N192-Calculator!$E$23)</f>
      </c>
      <c r="AG192" s="0">
        <f>MAX(0,O192-Calculator!$E$24)</f>
      </c>
      <c r="AH192" s="0">
        <f>MAX(0,P192-Calculator!$E$25)</f>
      </c>
      <c r="AI192" s="0">
        <f>MAX(0,Q192-Calculator!$E$26)</f>
      </c>
      <c r="AJ192" s="0">
        <f>MAX(0,R192-Calculator!$E$27)</f>
      </c>
      <c r="AK192" s="0">
        <f>MAX(0,S192-Calculator!$E$28)</f>
      </c>
      <c r="AL192" s="0">
        <f>MAX(0,MIN(T192,BX192-SUMPRODUCT(($T$2:$AK$2&lt;T$2)*($T192:$AK192))))</f>
      </c>
      <c r="AM192" s="0">
        <f>MAX(0,MIN(U192,BX192-SUMPRODUCT(($T$2:$AK$2&lt;U$2)*($T192:$AK192))))</f>
      </c>
      <c r="AN192" s="0">
        <f>MAX(0,MIN(V192,BX192-SUMPRODUCT(($T$2:$AK$2&lt;V$2)*($T192:$AK192))))</f>
      </c>
      <c r="AO192" s="0">
        <f>MAX(0,MIN(W192,BX192-SUMPRODUCT(($T$2:$AK$2&lt;W$2)*($T192:$AK192))))</f>
      </c>
      <c r="AP192" s="0">
        <f>MAX(0,MIN(X192,BX192-SUMPRODUCT(($T$2:$AK$2&lt;X$2)*($T192:$AK192))))</f>
      </c>
      <c r="AQ192" s="0">
        <f>MAX(0,MIN(Y192,BX192-SUMPRODUCT(($T$2:$AK$2&lt;Y$2)*($T192:$AK192))))</f>
      </c>
      <c r="AR192" s="0">
        <f>MAX(0,MIN(Z192,BX192-SUMPRODUCT(($T$2:$AK$2&lt;Z$2)*($T192:$AK192))))</f>
      </c>
      <c r="AS192" s="0">
        <f>MAX(0,MIN(AA192,BX192-SUMPRODUCT(($T$2:$AK$2&lt;AA$2)*($T192:$AK192))))</f>
      </c>
      <c r="AT192" s="0">
        <f>MAX(0,MIN(AB192,BX192-SUMPRODUCT(($T$2:$AK$2&lt;AB$2)*($T192:$AK192))))</f>
      </c>
      <c r="AU192" s="0">
        <f>MAX(0,MIN(AC192,BX192-SUMPRODUCT(($T$2:$AK$2&lt;AC$2)*($T192:$AK192))))</f>
      </c>
      <c r="AV192" s="0">
        <f>MAX(0,MIN(AD192,BX192-SUMPRODUCT(($T$2:$AK$2&lt;AD$2)*($T192:$AK192))))</f>
      </c>
      <c r="AW192" s="0">
        <f>MAX(0,MIN(AE192,BX192-SUMPRODUCT(($T$2:$AK$2&lt;AE$2)*($T192:$AK192))))</f>
      </c>
      <c r="AX192" s="0">
        <f>MAX(0,MIN(AF192,BX192-SUMPRODUCT(($T$2:$AK$2&lt;AF$2)*($T192:$AK192))))</f>
      </c>
      <c r="AY192" s="0">
        <f>MAX(0,MIN(AG192,BX192-SUMPRODUCT(($T$2:$AK$2&lt;AG$2)*($T192:$AK192))))</f>
      </c>
      <c r="AZ192" s="0">
        <f>MAX(0,MIN(AH192,BX192-SUMPRODUCT(($T$2:$AK$2&lt;AH$2)*($T192:$AK192))))</f>
      </c>
      <c r="BA192" s="0">
        <f>MAX(0,MIN(AI192,BX192-SUMPRODUCT(($T$2:$AK$2&lt;AI$2)*($T192:$AK192))))</f>
      </c>
      <c r="BB192" s="0">
        <f>MAX(0,MIN(AJ192,BX192-SUMPRODUCT(($T$2:$AK$2&lt;AJ$2)*($T192:$AK192))))</f>
      </c>
      <c r="BC192" s="0">
        <f>MAX(0,MIN(AK192,BX192-SUMPRODUCT(($T$2:$AK$2&lt;AK$2)*($T192:$AK192))))</f>
      </c>
      <c r="BD192" s="0">
        <f>T192-AL192</f>
      </c>
      <c r="BE192" s="0">
        <f>U192-AM192</f>
      </c>
      <c r="BF192" s="0">
        <f>V192-AN192</f>
      </c>
      <c r="BG192" s="0">
        <f>W192-AO192</f>
      </c>
      <c r="BH192" s="0">
        <f>X192-AP192</f>
      </c>
      <c r="BI192" s="0">
        <f>Y192-AQ192</f>
      </c>
      <c r="BJ192" s="0">
        <f>Z192-AR192</f>
      </c>
      <c r="BK192" s="0">
        <f>AA192-AS192</f>
      </c>
      <c r="BL192" s="0">
        <f>AB192-AT192</f>
      </c>
      <c r="BM192" s="0">
        <f>AC192-AU192</f>
      </c>
      <c r="BN192" s="0">
        <f>AD192-AV192</f>
      </c>
      <c r="BO192" s="0">
        <f>AE192-AW192</f>
      </c>
      <c r="BP192" s="0">
        <f>AF192-AX192</f>
      </c>
      <c r="BQ192" s="0">
        <f>AG192-AY192</f>
      </c>
      <c r="BR192" s="0">
        <f>AH192-AZ192</f>
      </c>
      <c r="BS192" s="0">
        <f>AI192-BA192</f>
      </c>
      <c r="BT192" s="0">
        <f>AJ192-BB192</f>
      </c>
      <c r="BU192" s="0">
        <f>AK192-BC192</f>
      </c>
      <c r="BV192" s="0">
        <f>SUM(B192:S192)</f>
      </c>
      <c r="BW192" s="0">
        <f>SUM(T192:AK192)</f>
      </c>
      <c r="BX192" s="0">
        <f>MAX(0,(SUM(Calculator!$E$11:$E$28)+Calculator!$C$6)-BV192+BW192)</f>
      </c>
      <c r="BY192" s="0">
        <f>SUM(BD192:BU192)</f>
      </c>
      <c r="BZ192" s="0">
        <f>BV192-BY191</f>
      </c>
      <c r="CA192" s="0">
        <f>IF(A192&lt;=IF($CD$1=0,999,$CD$1),BY192,NA())</f>
      </c>
      <c r="CB192" s="0">
        <f>IF(A192&lt;=IF($CD$1=0,999,$CD$1),A192,NA())</f>
      </c>
    </row>
    <row r="193">
      <c r="A193" s="0">
        <v>190</v>
      </c>
      <c r="B193" s="0">
        <f>BD192*(1+Calculator!$D$11/100/12)</f>
      </c>
      <c r="C193" s="0">
        <f>BE192*(1+Calculator!$D$12/100/12)</f>
      </c>
      <c r="D193" s="0">
        <f>BF192*(1+Calculator!$D$13/100/12)</f>
      </c>
      <c r="E193" s="0">
        <f>BG192*(1+Calculator!$D$14/100/12)</f>
      </c>
      <c r="F193" s="0">
        <f>BH192*(1+Calculator!$D$15/100/12)</f>
      </c>
      <c r="G193" s="0">
        <f>BI192*(1+Calculator!$D$16/100/12)</f>
      </c>
      <c r="H193" s="0">
        <f>BJ192*(1+Calculator!$D$17/100/12)</f>
      </c>
      <c r="I193" s="0">
        <f>BK192*(1+Calculator!$D$18/100/12)</f>
      </c>
      <c r="J193" s="0">
        <f>BL192*(1+Calculator!$D$19/100/12)</f>
      </c>
      <c r="K193" s="0">
        <f>BM192*(1+Calculator!$D$20/100/12)</f>
      </c>
      <c r="L193" s="0">
        <f>BN192*(1+Calculator!$D$21/100/12)</f>
      </c>
      <c r="M193" s="0">
        <f>BO192*(1+Calculator!$D$22/100/12)</f>
      </c>
      <c r="N193" s="0">
        <f>BP192*(1+Calculator!$D$23/100/12)</f>
      </c>
      <c r="O193" s="0">
        <f>BQ192*(1+Calculator!$D$24/100/12)</f>
      </c>
      <c r="P193" s="0">
        <f>BR192*(1+Calculator!$D$25/100/12)</f>
      </c>
      <c r="Q193" s="0">
        <f>BS192*(1+Calculator!$D$26/100/12)</f>
      </c>
      <c r="R193" s="0">
        <f>BT192*(1+Calculator!$D$27/100/12)</f>
      </c>
      <c r="S193" s="0">
        <f>BU192*(1+Calculator!$D$28/100/12)</f>
      </c>
      <c r="T193" s="0">
        <f>MAX(0,B193-Calculator!$E$11)</f>
      </c>
      <c r="U193" s="0">
        <f>MAX(0,C193-Calculator!$E$12)</f>
      </c>
      <c r="V193" s="0">
        <f>MAX(0,D193-Calculator!$E$13)</f>
      </c>
      <c r="W193" s="0">
        <f>MAX(0,E193-Calculator!$E$14)</f>
      </c>
      <c r="X193" s="0">
        <f>MAX(0,F193-Calculator!$E$15)</f>
      </c>
      <c r="Y193" s="0">
        <f>MAX(0,G193-Calculator!$E$16)</f>
      </c>
      <c r="Z193" s="0">
        <f>MAX(0,H193-Calculator!$E$17)</f>
      </c>
      <c r="AA193" s="0">
        <f>MAX(0,I193-Calculator!$E$18)</f>
      </c>
      <c r="AB193" s="0">
        <f>MAX(0,J193-Calculator!$E$19)</f>
      </c>
      <c r="AC193" s="0">
        <f>MAX(0,K193-Calculator!$E$20)</f>
      </c>
      <c r="AD193" s="0">
        <f>MAX(0,L193-Calculator!$E$21)</f>
      </c>
      <c r="AE193" s="0">
        <f>MAX(0,M193-Calculator!$E$22)</f>
      </c>
      <c r="AF193" s="0">
        <f>MAX(0,N193-Calculator!$E$23)</f>
      </c>
      <c r="AG193" s="0">
        <f>MAX(0,O193-Calculator!$E$24)</f>
      </c>
      <c r="AH193" s="0">
        <f>MAX(0,P193-Calculator!$E$25)</f>
      </c>
      <c r="AI193" s="0">
        <f>MAX(0,Q193-Calculator!$E$26)</f>
      </c>
      <c r="AJ193" s="0">
        <f>MAX(0,R193-Calculator!$E$27)</f>
      </c>
      <c r="AK193" s="0">
        <f>MAX(0,S193-Calculator!$E$28)</f>
      </c>
      <c r="AL193" s="0">
        <f>MAX(0,MIN(T193,BX193-SUMPRODUCT(($T$2:$AK$2&lt;T$2)*($T193:$AK193))))</f>
      </c>
      <c r="AM193" s="0">
        <f>MAX(0,MIN(U193,BX193-SUMPRODUCT(($T$2:$AK$2&lt;U$2)*($T193:$AK193))))</f>
      </c>
      <c r="AN193" s="0">
        <f>MAX(0,MIN(V193,BX193-SUMPRODUCT(($T$2:$AK$2&lt;V$2)*($T193:$AK193))))</f>
      </c>
      <c r="AO193" s="0">
        <f>MAX(0,MIN(W193,BX193-SUMPRODUCT(($T$2:$AK$2&lt;W$2)*($T193:$AK193))))</f>
      </c>
      <c r="AP193" s="0">
        <f>MAX(0,MIN(X193,BX193-SUMPRODUCT(($T$2:$AK$2&lt;X$2)*($T193:$AK193))))</f>
      </c>
      <c r="AQ193" s="0">
        <f>MAX(0,MIN(Y193,BX193-SUMPRODUCT(($T$2:$AK$2&lt;Y$2)*($T193:$AK193))))</f>
      </c>
      <c r="AR193" s="0">
        <f>MAX(0,MIN(Z193,BX193-SUMPRODUCT(($T$2:$AK$2&lt;Z$2)*($T193:$AK193))))</f>
      </c>
      <c r="AS193" s="0">
        <f>MAX(0,MIN(AA193,BX193-SUMPRODUCT(($T$2:$AK$2&lt;AA$2)*($T193:$AK193))))</f>
      </c>
      <c r="AT193" s="0">
        <f>MAX(0,MIN(AB193,BX193-SUMPRODUCT(($T$2:$AK$2&lt;AB$2)*($T193:$AK193))))</f>
      </c>
      <c r="AU193" s="0">
        <f>MAX(0,MIN(AC193,BX193-SUMPRODUCT(($T$2:$AK$2&lt;AC$2)*($T193:$AK193))))</f>
      </c>
      <c r="AV193" s="0">
        <f>MAX(0,MIN(AD193,BX193-SUMPRODUCT(($T$2:$AK$2&lt;AD$2)*($T193:$AK193))))</f>
      </c>
      <c r="AW193" s="0">
        <f>MAX(0,MIN(AE193,BX193-SUMPRODUCT(($T$2:$AK$2&lt;AE$2)*($T193:$AK193))))</f>
      </c>
      <c r="AX193" s="0">
        <f>MAX(0,MIN(AF193,BX193-SUMPRODUCT(($T$2:$AK$2&lt;AF$2)*($T193:$AK193))))</f>
      </c>
      <c r="AY193" s="0">
        <f>MAX(0,MIN(AG193,BX193-SUMPRODUCT(($T$2:$AK$2&lt;AG$2)*($T193:$AK193))))</f>
      </c>
      <c r="AZ193" s="0">
        <f>MAX(0,MIN(AH193,BX193-SUMPRODUCT(($T$2:$AK$2&lt;AH$2)*($T193:$AK193))))</f>
      </c>
      <c r="BA193" s="0">
        <f>MAX(0,MIN(AI193,BX193-SUMPRODUCT(($T$2:$AK$2&lt;AI$2)*($T193:$AK193))))</f>
      </c>
      <c r="BB193" s="0">
        <f>MAX(0,MIN(AJ193,BX193-SUMPRODUCT(($T$2:$AK$2&lt;AJ$2)*($T193:$AK193))))</f>
      </c>
      <c r="BC193" s="0">
        <f>MAX(0,MIN(AK193,BX193-SUMPRODUCT(($T$2:$AK$2&lt;AK$2)*($T193:$AK193))))</f>
      </c>
      <c r="BD193" s="0">
        <f>T193-AL193</f>
      </c>
      <c r="BE193" s="0">
        <f>U193-AM193</f>
      </c>
      <c r="BF193" s="0">
        <f>V193-AN193</f>
      </c>
      <c r="BG193" s="0">
        <f>W193-AO193</f>
      </c>
      <c r="BH193" s="0">
        <f>X193-AP193</f>
      </c>
      <c r="BI193" s="0">
        <f>Y193-AQ193</f>
      </c>
      <c r="BJ193" s="0">
        <f>Z193-AR193</f>
      </c>
      <c r="BK193" s="0">
        <f>AA193-AS193</f>
      </c>
      <c r="BL193" s="0">
        <f>AB193-AT193</f>
      </c>
      <c r="BM193" s="0">
        <f>AC193-AU193</f>
      </c>
      <c r="BN193" s="0">
        <f>AD193-AV193</f>
      </c>
      <c r="BO193" s="0">
        <f>AE193-AW193</f>
      </c>
      <c r="BP193" s="0">
        <f>AF193-AX193</f>
      </c>
      <c r="BQ193" s="0">
        <f>AG193-AY193</f>
      </c>
      <c r="BR193" s="0">
        <f>AH193-AZ193</f>
      </c>
      <c r="BS193" s="0">
        <f>AI193-BA193</f>
      </c>
      <c r="BT193" s="0">
        <f>AJ193-BB193</f>
      </c>
      <c r="BU193" s="0">
        <f>AK193-BC193</f>
      </c>
      <c r="BV193" s="0">
        <f>SUM(B193:S193)</f>
      </c>
      <c r="BW193" s="0">
        <f>SUM(T193:AK193)</f>
      </c>
      <c r="BX193" s="0">
        <f>MAX(0,(SUM(Calculator!$E$11:$E$28)+Calculator!$C$6)-BV193+BW193)</f>
      </c>
      <c r="BY193" s="0">
        <f>SUM(BD193:BU193)</f>
      </c>
      <c r="BZ193" s="0">
        <f>BV193-BY192</f>
      </c>
      <c r="CA193" s="0">
        <f>IF(A193&lt;=IF($CD$1=0,999,$CD$1),BY193,NA())</f>
      </c>
      <c r="CB193" s="0">
        <f>IF(A193&lt;=IF($CD$1=0,999,$CD$1),A193,NA())</f>
      </c>
    </row>
    <row r="194">
      <c r="A194" s="0">
        <v>191</v>
      </c>
      <c r="B194" s="0">
        <f>BD193*(1+Calculator!$D$11/100/12)</f>
      </c>
      <c r="C194" s="0">
        <f>BE193*(1+Calculator!$D$12/100/12)</f>
      </c>
      <c r="D194" s="0">
        <f>BF193*(1+Calculator!$D$13/100/12)</f>
      </c>
      <c r="E194" s="0">
        <f>BG193*(1+Calculator!$D$14/100/12)</f>
      </c>
      <c r="F194" s="0">
        <f>BH193*(1+Calculator!$D$15/100/12)</f>
      </c>
      <c r="G194" s="0">
        <f>BI193*(1+Calculator!$D$16/100/12)</f>
      </c>
      <c r="H194" s="0">
        <f>BJ193*(1+Calculator!$D$17/100/12)</f>
      </c>
      <c r="I194" s="0">
        <f>BK193*(1+Calculator!$D$18/100/12)</f>
      </c>
      <c r="J194" s="0">
        <f>BL193*(1+Calculator!$D$19/100/12)</f>
      </c>
      <c r="K194" s="0">
        <f>BM193*(1+Calculator!$D$20/100/12)</f>
      </c>
      <c r="L194" s="0">
        <f>BN193*(1+Calculator!$D$21/100/12)</f>
      </c>
      <c r="M194" s="0">
        <f>BO193*(1+Calculator!$D$22/100/12)</f>
      </c>
      <c r="N194" s="0">
        <f>BP193*(1+Calculator!$D$23/100/12)</f>
      </c>
      <c r="O194" s="0">
        <f>BQ193*(1+Calculator!$D$24/100/12)</f>
      </c>
      <c r="P194" s="0">
        <f>BR193*(1+Calculator!$D$25/100/12)</f>
      </c>
      <c r="Q194" s="0">
        <f>BS193*(1+Calculator!$D$26/100/12)</f>
      </c>
      <c r="R194" s="0">
        <f>BT193*(1+Calculator!$D$27/100/12)</f>
      </c>
      <c r="S194" s="0">
        <f>BU193*(1+Calculator!$D$28/100/12)</f>
      </c>
      <c r="T194" s="0">
        <f>MAX(0,B194-Calculator!$E$11)</f>
      </c>
      <c r="U194" s="0">
        <f>MAX(0,C194-Calculator!$E$12)</f>
      </c>
      <c r="V194" s="0">
        <f>MAX(0,D194-Calculator!$E$13)</f>
      </c>
      <c r="W194" s="0">
        <f>MAX(0,E194-Calculator!$E$14)</f>
      </c>
      <c r="X194" s="0">
        <f>MAX(0,F194-Calculator!$E$15)</f>
      </c>
      <c r="Y194" s="0">
        <f>MAX(0,G194-Calculator!$E$16)</f>
      </c>
      <c r="Z194" s="0">
        <f>MAX(0,H194-Calculator!$E$17)</f>
      </c>
      <c r="AA194" s="0">
        <f>MAX(0,I194-Calculator!$E$18)</f>
      </c>
      <c r="AB194" s="0">
        <f>MAX(0,J194-Calculator!$E$19)</f>
      </c>
      <c r="AC194" s="0">
        <f>MAX(0,K194-Calculator!$E$20)</f>
      </c>
      <c r="AD194" s="0">
        <f>MAX(0,L194-Calculator!$E$21)</f>
      </c>
      <c r="AE194" s="0">
        <f>MAX(0,M194-Calculator!$E$22)</f>
      </c>
      <c r="AF194" s="0">
        <f>MAX(0,N194-Calculator!$E$23)</f>
      </c>
      <c r="AG194" s="0">
        <f>MAX(0,O194-Calculator!$E$24)</f>
      </c>
      <c r="AH194" s="0">
        <f>MAX(0,P194-Calculator!$E$25)</f>
      </c>
      <c r="AI194" s="0">
        <f>MAX(0,Q194-Calculator!$E$26)</f>
      </c>
      <c r="AJ194" s="0">
        <f>MAX(0,R194-Calculator!$E$27)</f>
      </c>
      <c r="AK194" s="0">
        <f>MAX(0,S194-Calculator!$E$28)</f>
      </c>
      <c r="AL194" s="0">
        <f>MAX(0,MIN(T194,BX194-SUMPRODUCT(($T$2:$AK$2&lt;T$2)*($T194:$AK194))))</f>
      </c>
      <c r="AM194" s="0">
        <f>MAX(0,MIN(U194,BX194-SUMPRODUCT(($T$2:$AK$2&lt;U$2)*($T194:$AK194))))</f>
      </c>
      <c r="AN194" s="0">
        <f>MAX(0,MIN(V194,BX194-SUMPRODUCT(($T$2:$AK$2&lt;V$2)*($T194:$AK194))))</f>
      </c>
      <c r="AO194" s="0">
        <f>MAX(0,MIN(W194,BX194-SUMPRODUCT(($T$2:$AK$2&lt;W$2)*($T194:$AK194))))</f>
      </c>
      <c r="AP194" s="0">
        <f>MAX(0,MIN(X194,BX194-SUMPRODUCT(($T$2:$AK$2&lt;X$2)*($T194:$AK194))))</f>
      </c>
      <c r="AQ194" s="0">
        <f>MAX(0,MIN(Y194,BX194-SUMPRODUCT(($T$2:$AK$2&lt;Y$2)*($T194:$AK194))))</f>
      </c>
      <c r="AR194" s="0">
        <f>MAX(0,MIN(Z194,BX194-SUMPRODUCT(($T$2:$AK$2&lt;Z$2)*($T194:$AK194))))</f>
      </c>
      <c r="AS194" s="0">
        <f>MAX(0,MIN(AA194,BX194-SUMPRODUCT(($T$2:$AK$2&lt;AA$2)*($T194:$AK194))))</f>
      </c>
      <c r="AT194" s="0">
        <f>MAX(0,MIN(AB194,BX194-SUMPRODUCT(($T$2:$AK$2&lt;AB$2)*($T194:$AK194))))</f>
      </c>
      <c r="AU194" s="0">
        <f>MAX(0,MIN(AC194,BX194-SUMPRODUCT(($T$2:$AK$2&lt;AC$2)*($T194:$AK194))))</f>
      </c>
      <c r="AV194" s="0">
        <f>MAX(0,MIN(AD194,BX194-SUMPRODUCT(($T$2:$AK$2&lt;AD$2)*($T194:$AK194))))</f>
      </c>
      <c r="AW194" s="0">
        <f>MAX(0,MIN(AE194,BX194-SUMPRODUCT(($T$2:$AK$2&lt;AE$2)*($T194:$AK194))))</f>
      </c>
      <c r="AX194" s="0">
        <f>MAX(0,MIN(AF194,BX194-SUMPRODUCT(($T$2:$AK$2&lt;AF$2)*($T194:$AK194))))</f>
      </c>
      <c r="AY194" s="0">
        <f>MAX(0,MIN(AG194,BX194-SUMPRODUCT(($T$2:$AK$2&lt;AG$2)*($T194:$AK194))))</f>
      </c>
      <c r="AZ194" s="0">
        <f>MAX(0,MIN(AH194,BX194-SUMPRODUCT(($T$2:$AK$2&lt;AH$2)*($T194:$AK194))))</f>
      </c>
      <c r="BA194" s="0">
        <f>MAX(0,MIN(AI194,BX194-SUMPRODUCT(($T$2:$AK$2&lt;AI$2)*($T194:$AK194))))</f>
      </c>
      <c r="BB194" s="0">
        <f>MAX(0,MIN(AJ194,BX194-SUMPRODUCT(($T$2:$AK$2&lt;AJ$2)*($T194:$AK194))))</f>
      </c>
      <c r="BC194" s="0">
        <f>MAX(0,MIN(AK194,BX194-SUMPRODUCT(($T$2:$AK$2&lt;AK$2)*($T194:$AK194))))</f>
      </c>
      <c r="BD194" s="0">
        <f>T194-AL194</f>
      </c>
      <c r="BE194" s="0">
        <f>U194-AM194</f>
      </c>
      <c r="BF194" s="0">
        <f>V194-AN194</f>
      </c>
      <c r="BG194" s="0">
        <f>W194-AO194</f>
      </c>
      <c r="BH194" s="0">
        <f>X194-AP194</f>
      </c>
      <c r="BI194" s="0">
        <f>Y194-AQ194</f>
      </c>
      <c r="BJ194" s="0">
        <f>Z194-AR194</f>
      </c>
      <c r="BK194" s="0">
        <f>AA194-AS194</f>
      </c>
      <c r="BL194" s="0">
        <f>AB194-AT194</f>
      </c>
      <c r="BM194" s="0">
        <f>AC194-AU194</f>
      </c>
      <c r="BN194" s="0">
        <f>AD194-AV194</f>
      </c>
      <c r="BO194" s="0">
        <f>AE194-AW194</f>
      </c>
      <c r="BP194" s="0">
        <f>AF194-AX194</f>
      </c>
      <c r="BQ194" s="0">
        <f>AG194-AY194</f>
      </c>
      <c r="BR194" s="0">
        <f>AH194-AZ194</f>
      </c>
      <c r="BS194" s="0">
        <f>AI194-BA194</f>
      </c>
      <c r="BT194" s="0">
        <f>AJ194-BB194</f>
      </c>
      <c r="BU194" s="0">
        <f>AK194-BC194</f>
      </c>
      <c r="BV194" s="0">
        <f>SUM(B194:S194)</f>
      </c>
      <c r="BW194" s="0">
        <f>SUM(T194:AK194)</f>
      </c>
      <c r="BX194" s="0">
        <f>MAX(0,(SUM(Calculator!$E$11:$E$28)+Calculator!$C$6)-BV194+BW194)</f>
      </c>
      <c r="BY194" s="0">
        <f>SUM(BD194:BU194)</f>
      </c>
      <c r="BZ194" s="0">
        <f>BV194-BY193</f>
      </c>
      <c r="CA194" s="0">
        <f>IF(A194&lt;=IF($CD$1=0,999,$CD$1),BY194,NA())</f>
      </c>
      <c r="CB194" s="0">
        <f>IF(A194&lt;=IF($CD$1=0,999,$CD$1),A194,NA())</f>
      </c>
    </row>
    <row r="195">
      <c r="A195" s="0">
        <v>192</v>
      </c>
      <c r="B195" s="0">
        <f>BD194*(1+Calculator!$D$11/100/12)</f>
      </c>
      <c r="C195" s="0">
        <f>BE194*(1+Calculator!$D$12/100/12)</f>
      </c>
      <c r="D195" s="0">
        <f>BF194*(1+Calculator!$D$13/100/12)</f>
      </c>
      <c r="E195" s="0">
        <f>BG194*(1+Calculator!$D$14/100/12)</f>
      </c>
      <c r="F195" s="0">
        <f>BH194*(1+Calculator!$D$15/100/12)</f>
      </c>
      <c r="G195" s="0">
        <f>BI194*(1+Calculator!$D$16/100/12)</f>
      </c>
      <c r="H195" s="0">
        <f>BJ194*(1+Calculator!$D$17/100/12)</f>
      </c>
      <c r="I195" s="0">
        <f>BK194*(1+Calculator!$D$18/100/12)</f>
      </c>
      <c r="J195" s="0">
        <f>BL194*(1+Calculator!$D$19/100/12)</f>
      </c>
      <c r="K195" s="0">
        <f>BM194*(1+Calculator!$D$20/100/12)</f>
      </c>
      <c r="L195" s="0">
        <f>BN194*(1+Calculator!$D$21/100/12)</f>
      </c>
      <c r="M195" s="0">
        <f>BO194*(1+Calculator!$D$22/100/12)</f>
      </c>
      <c r="N195" s="0">
        <f>BP194*(1+Calculator!$D$23/100/12)</f>
      </c>
      <c r="O195" s="0">
        <f>BQ194*(1+Calculator!$D$24/100/12)</f>
      </c>
      <c r="P195" s="0">
        <f>BR194*(1+Calculator!$D$25/100/12)</f>
      </c>
      <c r="Q195" s="0">
        <f>BS194*(1+Calculator!$D$26/100/12)</f>
      </c>
      <c r="R195" s="0">
        <f>BT194*(1+Calculator!$D$27/100/12)</f>
      </c>
      <c r="S195" s="0">
        <f>BU194*(1+Calculator!$D$28/100/12)</f>
      </c>
      <c r="T195" s="0">
        <f>MAX(0,B195-Calculator!$E$11)</f>
      </c>
      <c r="U195" s="0">
        <f>MAX(0,C195-Calculator!$E$12)</f>
      </c>
      <c r="V195" s="0">
        <f>MAX(0,D195-Calculator!$E$13)</f>
      </c>
      <c r="W195" s="0">
        <f>MAX(0,E195-Calculator!$E$14)</f>
      </c>
      <c r="X195" s="0">
        <f>MAX(0,F195-Calculator!$E$15)</f>
      </c>
      <c r="Y195" s="0">
        <f>MAX(0,G195-Calculator!$E$16)</f>
      </c>
      <c r="Z195" s="0">
        <f>MAX(0,H195-Calculator!$E$17)</f>
      </c>
      <c r="AA195" s="0">
        <f>MAX(0,I195-Calculator!$E$18)</f>
      </c>
      <c r="AB195" s="0">
        <f>MAX(0,J195-Calculator!$E$19)</f>
      </c>
      <c r="AC195" s="0">
        <f>MAX(0,K195-Calculator!$E$20)</f>
      </c>
      <c r="AD195" s="0">
        <f>MAX(0,L195-Calculator!$E$21)</f>
      </c>
      <c r="AE195" s="0">
        <f>MAX(0,M195-Calculator!$E$22)</f>
      </c>
      <c r="AF195" s="0">
        <f>MAX(0,N195-Calculator!$E$23)</f>
      </c>
      <c r="AG195" s="0">
        <f>MAX(0,O195-Calculator!$E$24)</f>
      </c>
      <c r="AH195" s="0">
        <f>MAX(0,P195-Calculator!$E$25)</f>
      </c>
      <c r="AI195" s="0">
        <f>MAX(0,Q195-Calculator!$E$26)</f>
      </c>
      <c r="AJ195" s="0">
        <f>MAX(0,R195-Calculator!$E$27)</f>
      </c>
      <c r="AK195" s="0">
        <f>MAX(0,S195-Calculator!$E$28)</f>
      </c>
      <c r="AL195" s="0">
        <f>MAX(0,MIN(T195,BX195-SUMPRODUCT(($T$2:$AK$2&lt;T$2)*($T195:$AK195))))</f>
      </c>
      <c r="AM195" s="0">
        <f>MAX(0,MIN(U195,BX195-SUMPRODUCT(($T$2:$AK$2&lt;U$2)*($T195:$AK195))))</f>
      </c>
      <c r="AN195" s="0">
        <f>MAX(0,MIN(V195,BX195-SUMPRODUCT(($T$2:$AK$2&lt;V$2)*($T195:$AK195))))</f>
      </c>
      <c r="AO195" s="0">
        <f>MAX(0,MIN(W195,BX195-SUMPRODUCT(($T$2:$AK$2&lt;W$2)*($T195:$AK195))))</f>
      </c>
      <c r="AP195" s="0">
        <f>MAX(0,MIN(X195,BX195-SUMPRODUCT(($T$2:$AK$2&lt;X$2)*($T195:$AK195))))</f>
      </c>
      <c r="AQ195" s="0">
        <f>MAX(0,MIN(Y195,BX195-SUMPRODUCT(($T$2:$AK$2&lt;Y$2)*($T195:$AK195))))</f>
      </c>
      <c r="AR195" s="0">
        <f>MAX(0,MIN(Z195,BX195-SUMPRODUCT(($T$2:$AK$2&lt;Z$2)*($T195:$AK195))))</f>
      </c>
      <c r="AS195" s="0">
        <f>MAX(0,MIN(AA195,BX195-SUMPRODUCT(($T$2:$AK$2&lt;AA$2)*($T195:$AK195))))</f>
      </c>
      <c r="AT195" s="0">
        <f>MAX(0,MIN(AB195,BX195-SUMPRODUCT(($T$2:$AK$2&lt;AB$2)*($T195:$AK195))))</f>
      </c>
      <c r="AU195" s="0">
        <f>MAX(0,MIN(AC195,BX195-SUMPRODUCT(($T$2:$AK$2&lt;AC$2)*($T195:$AK195))))</f>
      </c>
      <c r="AV195" s="0">
        <f>MAX(0,MIN(AD195,BX195-SUMPRODUCT(($T$2:$AK$2&lt;AD$2)*($T195:$AK195))))</f>
      </c>
      <c r="AW195" s="0">
        <f>MAX(0,MIN(AE195,BX195-SUMPRODUCT(($T$2:$AK$2&lt;AE$2)*($T195:$AK195))))</f>
      </c>
      <c r="AX195" s="0">
        <f>MAX(0,MIN(AF195,BX195-SUMPRODUCT(($T$2:$AK$2&lt;AF$2)*($T195:$AK195))))</f>
      </c>
      <c r="AY195" s="0">
        <f>MAX(0,MIN(AG195,BX195-SUMPRODUCT(($T$2:$AK$2&lt;AG$2)*($T195:$AK195))))</f>
      </c>
      <c r="AZ195" s="0">
        <f>MAX(0,MIN(AH195,BX195-SUMPRODUCT(($T$2:$AK$2&lt;AH$2)*($T195:$AK195))))</f>
      </c>
      <c r="BA195" s="0">
        <f>MAX(0,MIN(AI195,BX195-SUMPRODUCT(($T$2:$AK$2&lt;AI$2)*($T195:$AK195))))</f>
      </c>
      <c r="BB195" s="0">
        <f>MAX(0,MIN(AJ195,BX195-SUMPRODUCT(($T$2:$AK$2&lt;AJ$2)*($T195:$AK195))))</f>
      </c>
      <c r="BC195" s="0">
        <f>MAX(0,MIN(AK195,BX195-SUMPRODUCT(($T$2:$AK$2&lt;AK$2)*($T195:$AK195))))</f>
      </c>
      <c r="BD195" s="0">
        <f>T195-AL195</f>
      </c>
      <c r="BE195" s="0">
        <f>U195-AM195</f>
      </c>
      <c r="BF195" s="0">
        <f>V195-AN195</f>
      </c>
      <c r="BG195" s="0">
        <f>W195-AO195</f>
      </c>
      <c r="BH195" s="0">
        <f>X195-AP195</f>
      </c>
      <c r="BI195" s="0">
        <f>Y195-AQ195</f>
      </c>
      <c r="BJ195" s="0">
        <f>Z195-AR195</f>
      </c>
      <c r="BK195" s="0">
        <f>AA195-AS195</f>
      </c>
      <c r="BL195" s="0">
        <f>AB195-AT195</f>
      </c>
      <c r="BM195" s="0">
        <f>AC195-AU195</f>
      </c>
      <c r="BN195" s="0">
        <f>AD195-AV195</f>
      </c>
      <c r="BO195" s="0">
        <f>AE195-AW195</f>
      </c>
      <c r="BP195" s="0">
        <f>AF195-AX195</f>
      </c>
      <c r="BQ195" s="0">
        <f>AG195-AY195</f>
      </c>
      <c r="BR195" s="0">
        <f>AH195-AZ195</f>
      </c>
      <c r="BS195" s="0">
        <f>AI195-BA195</f>
      </c>
      <c r="BT195" s="0">
        <f>AJ195-BB195</f>
      </c>
      <c r="BU195" s="0">
        <f>AK195-BC195</f>
      </c>
      <c r="BV195" s="0">
        <f>SUM(B195:S195)</f>
      </c>
      <c r="BW195" s="0">
        <f>SUM(T195:AK195)</f>
      </c>
      <c r="BX195" s="0">
        <f>MAX(0,(SUM(Calculator!$E$11:$E$28)+Calculator!$C$6)-BV195+BW195)</f>
      </c>
      <c r="BY195" s="0">
        <f>SUM(BD195:BU195)</f>
      </c>
      <c r="BZ195" s="0">
        <f>BV195-BY194</f>
      </c>
      <c r="CA195" s="0">
        <f>IF(A195&lt;=IF($CD$1=0,999,$CD$1),BY195,NA())</f>
      </c>
      <c r="CB195" s="0">
        <f>IF(A195&lt;=IF($CD$1=0,999,$CD$1),A195,NA())</f>
      </c>
    </row>
    <row r="196">
      <c r="A196" s="0">
        <v>193</v>
      </c>
      <c r="B196" s="0">
        <f>BD195*(1+Calculator!$D$11/100/12)</f>
      </c>
      <c r="C196" s="0">
        <f>BE195*(1+Calculator!$D$12/100/12)</f>
      </c>
      <c r="D196" s="0">
        <f>BF195*(1+Calculator!$D$13/100/12)</f>
      </c>
      <c r="E196" s="0">
        <f>BG195*(1+Calculator!$D$14/100/12)</f>
      </c>
      <c r="F196" s="0">
        <f>BH195*(1+Calculator!$D$15/100/12)</f>
      </c>
      <c r="G196" s="0">
        <f>BI195*(1+Calculator!$D$16/100/12)</f>
      </c>
      <c r="H196" s="0">
        <f>BJ195*(1+Calculator!$D$17/100/12)</f>
      </c>
      <c r="I196" s="0">
        <f>BK195*(1+Calculator!$D$18/100/12)</f>
      </c>
      <c r="J196" s="0">
        <f>BL195*(1+Calculator!$D$19/100/12)</f>
      </c>
      <c r="K196" s="0">
        <f>BM195*(1+Calculator!$D$20/100/12)</f>
      </c>
      <c r="L196" s="0">
        <f>BN195*(1+Calculator!$D$21/100/12)</f>
      </c>
      <c r="M196" s="0">
        <f>BO195*(1+Calculator!$D$22/100/12)</f>
      </c>
      <c r="N196" s="0">
        <f>BP195*(1+Calculator!$D$23/100/12)</f>
      </c>
      <c r="O196" s="0">
        <f>BQ195*(1+Calculator!$D$24/100/12)</f>
      </c>
      <c r="P196" s="0">
        <f>BR195*(1+Calculator!$D$25/100/12)</f>
      </c>
      <c r="Q196" s="0">
        <f>BS195*(1+Calculator!$D$26/100/12)</f>
      </c>
      <c r="R196" s="0">
        <f>BT195*(1+Calculator!$D$27/100/12)</f>
      </c>
      <c r="S196" s="0">
        <f>BU195*(1+Calculator!$D$28/100/12)</f>
      </c>
      <c r="T196" s="0">
        <f>MAX(0,B196-Calculator!$E$11)</f>
      </c>
      <c r="U196" s="0">
        <f>MAX(0,C196-Calculator!$E$12)</f>
      </c>
      <c r="V196" s="0">
        <f>MAX(0,D196-Calculator!$E$13)</f>
      </c>
      <c r="W196" s="0">
        <f>MAX(0,E196-Calculator!$E$14)</f>
      </c>
      <c r="X196" s="0">
        <f>MAX(0,F196-Calculator!$E$15)</f>
      </c>
      <c r="Y196" s="0">
        <f>MAX(0,G196-Calculator!$E$16)</f>
      </c>
      <c r="Z196" s="0">
        <f>MAX(0,H196-Calculator!$E$17)</f>
      </c>
      <c r="AA196" s="0">
        <f>MAX(0,I196-Calculator!$E$18)</f>
      </c>
      <c r="AB196" s="0">
        <f>MAX(0,J196-Calculator!$E$19)</f>
      </c>
      <c r="AC196" s="0">
        <f>MAX(0,K196-Calculator!$E$20)</f>
      </c>
      <c r="AD196" s="0">
        <f>MAX(0,L196-Calculator!$E$21)</f>
      </c>
      <c r="AE196" s="0">
        <f>MAX(0,M196-Calculator!$E$22)</f>
      </c>
      <c r="AF196" s="0">
        <f>MAX(0,N196-Calculator!$E$23)</f>
      </c>
      <c r="AG196" s="0">
        <f>MAX(0,O196-Calculator!$E$24)</f>
      </c>
      <c r="AH196" s="0">
        <f>MAX(0,P196-Calculator!$E$25)</f>
      </c>
      <c r="AI196" s="0">
        <f>MAX(0,Q196-Calculator!$E$26)</f>
      </c>
      <c r="AJ196" s="0">
        <f>MAX(0,R196-Calculator!$E$27)</f>
      </c>
      <c r="AK196" s="0">
        <f>MAX(0,S196-Calculator!$E$28)</f>
      </c>
      <c r="AL196" s="0">
        <f>MAX(0,MIN(T196,BX196-SUMPRODUCT(($T$2:$AK$2&lt;T$2)*($T196:$AK196))))</f>
      </c>
      <c r="AM196" s="0">
        <f>MAX(0,MIN(U196,BX196-SUMPRODUCT(($T$2:$AK$2&lt;U$2)*($T196:$AK196))))</f>
      </c>
      <c r="AN196" s="0">
        <f>MAX(0,MIN(V196,BX196-SUMPRODUCT(($T$2:$AK$2&lt;V$2)*($T196:$AK196))))</f>
      </c>
      <c r="AO196" s="0">
        <f>MAX(0,MIN(W196,BX196-SUMPRODUCT(($T$2:$AK$2&lt;W$2)*($T196:$AK196))))</f>
      </c>
      <c r="AP196" s="0">
        <f>MAX(0,MIN(X196,BX196-SUMPRODUCT(($T$2:$AK$2&lt;X$2)*($T196:$AK196))))</f>
      </c>
      <c r="AQ196" s="0">
        <f>MAX(0,MIN(Y196,BX196-SUMPRODUCT(($T$2:$AK$2&lt;Y$2)*($T196:$AK196))))</f>
      </c>
      <c r="AR196" s="0">
        <f>MAX(0,MIN(Z196,BX196-SUMPRODUCT(($T$2:$AK$2&lt;Z$2)*($T196:$AK196))))</f>
      </c>
      <c r="AS196" s="0">
        <f>MAX(0,MIN(AA196,BX196-SUMPRODUCT(($T$2:$AK$2&lt;AA$2)*($T196:$AK196))))</f>
      </c>
      <c r="AT196" s="0">
        <f>MAX(0,MIN(AB196,BX196-SUMPRODUCT(($T$2:$AK$2&lt;AB$2)*($T196:$AK196))))</f>
      </c>
      <c r="AU196" s="0">
        <f>MAX(0,MIN(AC196,BX196-SUMPRODUCT(($T$2:$AK$2&lt;AC$2)*($T196:$AK196))))</f>
      </c>
      <c r="AV196" s="0">
        <f>MAX(0,MIN(AD196,BX196-SUMPRODUCT(($T$2:$AK$2&lt;AD$2)*($T196:$AK196))))</f>
      </c>
      <c r="AW196" s="0">
        <f>MAX(0,MIN(AE196,BX196-SUMPRODUCT(($T$2:$AK$2&lt;AE$2)*($T196:$AK196))))</f>
      </c>
      <c r="AX196" s="0">
        <f>MAX(0,MIN(AF196,BX196-SUMPRODUCT(($T$2:$AK$2&lt;AF$2)*($T196:$AK196))))</f>
      </c>
      <c r="AY196" s="0">
        <f>MAX(0,MIN(AG196,BX196-SUMPRODUCT(($T$2:$AK$2&lt;AG$2)*($T196:$AK196))))</f>
      </c>
      <c r="AZ196" s="0">
        <f>MAX(0,MIN(AH196,BX196-SUMPRODUCT(($T$2:$AK$2&lt;AH$2)*($T196:$AK196))))</f>
      </c>
      <c r="BA196" s="0">
        <f>MAX(0,MIN(AI196,BX196-SUMPRODUCT(($T$2:$AK$2&lt;AI$2)*($T196:$AK196))))</f>
      </c>
      <c r="BB196" s="0">
        <f>MAX(0,MIN(AJ196,BX196-SUMPRODUCT(($T$2:$AK$2&lt;AJ$2)*($T196:$AK196))))</f>
      </c>
      <c r="BC196" s="0">
        <f>MAX(0,MIN(AK196,BX196-SUMPRODUCT(($T$2:$AK$2&lt;AK$2)*($T196:$AK196))))</f>
      </c>
      <c r="BD196" s="0">
        <f>T196-AL196</f>
      </c>
      <c r="BE196" s="0">
        <f>U196-AM196</f>
      </c>
      <c r="BF196" s="0">
        <f>V196-AN196</f>
      </c>
      <c r="BG196" s="0">
        <f>W196-AO196</f>
      </c>
      <c r="BH196" s="0">
        <f>X196-AP196</f>
      </c>
      <c r="BI196" s="0">
        <f>Y196-AQ196</f>
      </c>
      <c r="BJ196" s="0">
        <f>Z196-AR196</f>
      </c>
      <c r="BK196" s="0">
        <f>AA196-AS196</f>
      </c>
      <c r="BL196" s="0">
        <f>AB196-AT196</f>
      </c>
      <c r="BM196" s="0">
        <f>AC196-AU196</f>
      </c>
      <c r="BN196" s="0">
        <f>AD196-AV196</f>
      </c>
      <c r="BO196" s="0">
        <f>AE196-AW196</f>
      </c>
      <c r="BP196" s="0">
        <f>AF196-AX196</f>
      </c>
      <c r="BQ196" s="0">
        <f>AG196-AY196</f>
      </c>
      <c r="BR196" s="0">
        <f>AH196-AZ196</f>
      </c>
      <c r="BS196" s="0">
        <f>AI196-BA196</f>
      </c>
      <c r="BT196" s="0">
        <f>AJ196-BB196</f>
      </c>
      <c r="BU196" s="0">
        <f>AK196-BC196</f>
      </c>
      <c r="BV196" s="0">
        <f>SUM(B196:S196)</f>
      </c>
      <c r="BW196" s="0">
        <f>SUM(T196:AK196)</f>
      </c>
      <c r="BX196" s="0">
        <f>MAX(0,(SUM(Calculator!$E$11:$E$28)+Calculator!$C$6)-BV196+BW196)</f>
      </c>
      <c r="BY196" s="0">
        <f>SUM(BD196:BU196)</f>
      </c>
      <c r="BZ196" s="0">
        <f>BV196-BY195</f>
      </c>
      <c r="CA196" s="0">
        <f>IF(A196&lt;=IF($CD$1=0,999,$CD$1),BY196,NA())</f>
      </c>
      <c r="CB196" s="0">
        <f>IF(A196&lt;=IF($CD$1=0,999,$CD$1),A196,NA())</f>
      </c>
    </row>
    <row r="197">
      <c r="A197" s="0">
        <v>194</v>
      </c>
      <c r="B197" s="0">
        <f>BD196*(1+Calculator!$D$11/100/12)</f>
      </c>
      <c r="C197" s="0">
        <f>BE196*(1+Calculator!$D$12/100/12)</f>
      </c>
      <c r="D197" s="0">
        <f>BF196*(1+Calculator!$D$13/100/12)</f>
      </c>
      <c r="E197" s="0">
        <f>BG196*(1+Calculator!$D$14/100/12)</f>
      </c>
      <c r="F197" s="0">
        <f>BH196*(1+Calculator!$D$15/100/12)</f>
      </c>
      <c r="G197" s="0">
        <f>BI196*(1+Calculator!$D$16/100/12)</f>
      </c>
      <c r="H197" s="0">
        <f>BJ196*(1+Calculator!$D$17/100/12)</f>
      </c>
      <c r="I197" s="0">
        <f>BK196*(1+Calculator!$D$18/100/12)</f>
      </c>
      <c r="J197" s="0">
        <f>BL196*(1+Calculator!$D$19/100/12)</f>
      </c>
      <c r="K197" s="0">
        <f>BM196*(1+Calculator!$D$20/100/12)</f>
      </c>
      <c r="L197" s="0">
        <f>BN196*(1+Calculator!$D$21/100/12)</f>
      </c>
      <c r="M197" s="0">
        <f>BO196*(1+Calculator!$D$22/100/12)</f>
      </c>
      <c r="N197" s="0">
        <f>BP196*(1+Calculator!$D$23/100/12)</f>
      </c>
      <c r="O197" s="0">
        <f>BQ196*(1+Calculator!$D$24/100/12)</f>
      </c>
      <c r="P197" s="0">
        <f>BR196*(1+Calculator!$D$25/100/12)</f>
      </c>
      <c r="Q197" s="0">
        <f>BS196*(1+Calculator!$D$26/100/12)</f>
      </c>
      <c r="R197" s="0">
        <f>BT196*(1+Calculator!$D$27/100/12)</f>
      </c>
      <c r="S197" s="0">
        <f>BU196*(1+Calculator!$D$28/100/12)</f>
      </c>
      <c r="T197" s="0">
        <f>MAX(0,B197-Calculator!$E$11)</f>
      </c>
      <c r="U197" s="0">
        <f>MAX(0,C197-Calculator!$E$12)</f>
      </c>
      <c r="V197" s="0">
        <f>MAX(0,D197-Calculator!$E$13)</f>
      </c>
      <c r="W197" s="0">
        <f>MAX(0,E197-Calculator!$E$14)</f>
      </c>
      <c r="X197" s="0">
        <f>MAX(0,F197-Calculator!$E$15)</f>
      </c>
      <c r="Y197" s="0">
        <f>MAX(0,G197-Calculator!$E$16)</f>
      </c>
      <c r="Z197" s="0">
        <f>MAX(0,H197-Calculator!$E$17)</f>
      </c>
      <c r="AA197" s="0">
        <f>MAX(0,I197-Calculator!$E$18)</f>
      </c>
      <c r="AB197" s="0">
        <f>MAX(0,J197-Calculator!$E$19)</f>
      </c>
      <c r="AC197" s="0">
        <f>MAX(0,K197-Calculator!$E$20)</f>
      </c>
      <c r="AD197" s="0">
        <f>MAX(0,L197-Calculator!$E$21)</f>
      </c>
      <c r="AE197" s="0">
        <f>MAX(0,M197-Calculator!$E$22)</f>
      </c>
      <c r="AF197" s="0">
        <f>MAX(0,N197-Calculator!$E$23)</f>
      </c>
      <c r="AG197" s="0">
        <f>MAX(0,O197-Calculator!$E$24)</f>
      </c>
      <c r="AH197" s="0">
        <f>MAX(0,P197-Calculator!$E$25)</f>
      </c>
      <c r="AI197" s="0">
        <f>MAX(0,Q197-Calculator!$E$26)</f>
      </c>
      <c r="AJ197" s="0">
        <f>MAX(0,R197-Calculator!$E$27)</f>
      </c>
      <c r="AK197" s="0">
        <f>MAX(0,S197-Calculator!$E$28)</f>
      </c>
      <c r="AL197" s="0">
        <f>MAX(0,MIN(T197,BX197-SUMPRODUCT(($T$2:$AK$2&lt;T$2)*($T197:$AK197))))</f>
      </c>
      <c r="AM197" s="0">
        <f>MAX(0,MIN(U197,BX197-SUMPRODUCT(($T$2:$AK$2&lt;U$2)*($T197:$AK197))))</f>
      </c>
      <c r="AN197" s="0">
        <f>MAX(0,MIN(V197,BX197-SUMPRODUCT(($T$2:$AK$2&lt;V$2)*($T197:$AK197))))</f>
      </c>
      <c r="AO197" s="0">
        <f>MAX(0,MIN(W197,BX197-SUMPRODUCT(($T$2:$AK$2&lt;W$2)*($T197:$AK197))))</f>
      </c>
      <c r="AP197" s="0">
        <f>MAX(0,MIN(X197,BX197-SUMPRODUCT(($T$2:$AK$2&lt;X$2)*($T197:$AK197))))</f>
      </c>
      <c r="AQ197" s="0">
        <f>MAX(0,MIN(Y197,BX197-SUMPRODUCT(($T$2:$AK$2&lt;Y$2)*($T197:$AK197))))</f>
      </c>
      <c r="AR197" s="0">
        <f>MAX(0,MIN(Z197,BX197-SUMPRODUCT(($T$2:$AK$2&lt;Z$2)*($T197:$AK197))))</f>
      </c>
      <c r="AS197" s="0">
        <f>MAX(0,MIN(AA197,BX197-SUMPRODUCT(($T$2:$AK$2&lt;AA$2)*($T197:$AK197))))</f>
      </c>
      <c r="AT197" s="0">
        <f>MAX(0,MIN(AB197,BX197-SUMPRODUCT(($T$2:$AK$2&lt;AB$2)*($T197:$AK197))))</f>
      </c>
      <c r="AU197" s="0">
        <f>MAX(0,MIN(AC197,BX197-SUMPRODUCT(($T$2:$AK$2&lt;AC$2)*($T197:$AK197))))</f>
      </c>
      <c r="AV197" s="0">
        <f>MAX(0,MIN(AD197,BX197-SUMPRODUCT(($T$2:$AK$2&lt;AD$2)*($T197:$AK197))))</f>
      </c>
      <c r="AW197" s="0">
        <f>MAX(0,MIN(AE197,BX197-SUMPRODUCT(($T$2:$AK$2&lt;AE$2)*($T197:$AK197))))</f>
      </c>
      <c r="AX197" s="0">
        <f>MAX(0,MIN(AF197,BX197-SUMPRODUCT(($T$2:$AK$2&lt;AF$2)*($T197:$AK197))))</f>
      </c>
      <c r="AY197" s="0">
        <f>MAX(0,MIN(AG197,BX197-SUMPRODUCT(($T$2:$AK$2&lt;AG$2)*($T197:$AK197))))</f>
      </c>
      <c r="AZ197" s="0">
        <f>MAX(0,MIN(AH197,BX197-SUMPRODUCT(($T$2:$AK$2&lt;AH$2)*($T197:$AK197))))</f>
      </c>
      <c r="BA197" s="0">
        <f>MAX(0,MIN(AI197,BX197-SUMPRODUCT(($T$2:$AK$2&lt;AI$2)*($T197:$AK197))))</f>
      </c>
      <c r="BB197" s="0">
        <f>MAX(0,MIN(AJ197,BX197-SUMPRODUCT(($T$2:$AK$2&lt;AJ$2)*($T197:$AK197))))</f>
      </c>
      <c r="BC197" s="0">
        <f>MAX(0,MIN(AK197,BX197-SUMPRODUCT(($T$2:$AK$2&lt;AK$2)*($T197:$AK197))))</f>
      </c>
      <c r="BD197" s="0">
        <f>T197-AL197</f>
      </c>
      <c r="BE197" s="0">
        <f>U197-AM197</f>
      </c>
      <c r="BF197" s="0">
        <f>V197-AN197</f>
      </c>
      <c r="BG197" s="0">
        <f>W197-AO197</f>
      </c>
      <c r="BH197" s="0">
        <f>X197-AP197</f>
      </c>
      <c r="BI197" s="0">
        <f>Y197-AQ197</f>
      </c>
      <c r="BJ197" s="0">
        <f>Z197-AR197</f>
      </c>
      <c r="BK197" s="0">
        <f>AA197-AS197</f>
      </c>
      <c r="BL197" s="0">
        <f>AB197-AT197</f>
      </c>
      <c r="BM197" s="0">
        <f>AC197-AU197</f>
      </c>
      <c r="BN197" s="0">
        <f>AD197-AV197</f>
      </c>
      <c r="BO197" s="0">
        <f>AE197-AW197</f>
      </c>
      <c r="BP197" s="0">
        <f>AF197-AX197</f>
      </c>
      <c r="BQ197" s="0">
        <f>AG197-AY197</f>
      </c>
      <c r="BR197" s="0">
        <f>AH197-AZ197</f>
      </c>
      <c r="BS197" s="0">
        <f>AI197-BA197</f>
      </c>
      <c r="BT197" s="0">
        <f>AJ197-BB197</f>
      </c>
      <c r="BU197" s="0">
        <f>AK197-BC197</f>
      </c>
      <c r="BV197" s="0">
        <f>SUM(B197:S197)</f>
      </c>
      <c r="BW197" s="0">
        <f>SUM(T197:AK197)</f>
      </c>
      <c r="BX197" s="0">
        <f>MAX(0,(SUM(Calculator!$E$11:$E$28)+Calculator!$C$6)-BV197+BW197)</f>
      </c>
      <c r="BY197" s="0">
        <f>SUM(BD197:BU197)</f>
      </c>
      <c r="BZ197" s="0">
        <f>BV197-BY196</f>
      </c>
      <c r="CA197" s="0">
        <f>IF(A197&lt;=IF($CD$1=0,999,$CD$1),BY197,NA())</f>
      </c>
      <c r="CB197" s="0">
        <f>IF(A197&lt;=IF($CD$1=0,999,$CD$1),A197,NA())</f>
      </c>
    </row>
    <row r="198">
      <c r="A198" s="0">
        <v>195</v>
      </c>
      <c r="B198" s="0">
        <f>BD197*(1+Calculator!$D$11/100/12)</f>
      </c>
      <c r="C198" s="0">
        <f>BE197*(1+Calculator!$D$12/100/12)</f>
      </c>
      <c r="D198" s="0">
        <f>BF197*(1+Calculator!$D$13/100/12)</f>
      </c>
      <c r="E198" s="0">
        <f>BG197*(1+Calculator!$D$14/100/12)</f>
      </c>
      <c r="F198" s="0">
        <f>BH197*(1+Calculator!$D$15/100/12)</f>
      </c>
      <c r="G198" s="0">
        <f>BI197*(1+Calculator!$D$16/100/12)</f>
      </c>
      <c r="H198" s="0">
        <f>BJ197*(1+Calculator!$D$17/100/12)</f>
      </c>
      <c r="I198" s="0">
        <f>BK197*(1+Calculator!$D$18/100/12)</f>
      </c>
      <c r="J198" s="0">
        <f>BL197*(1+Calculator!$D$19/100/12)</f>
      </c>
      <c r="K198" s="0">
        <f>BM197*(1+Calculator!$D$20/100/12)</f>
      </c>
      <c r="L198" s="0">
        <f>BN197*(1+Calculator!$D$21/100/12)</f>
      </c>
      <c r="M198" s="0">
        <f>BO197*(1+Calculator!$D$22/100/12)</f>
      </c>
      <c r="N198" s="0">
        <f>BP197*(1+Calculator!$D$23/100/12)</f>
      </c>
      <c r="O198" s="0">
        <f>BQ197*(1+Calculator!$D$24/100/12)</f>
      </c>
      <c r="P198" s="0">
        <f>BR197*(1+Calculator!$D$25/100/12)</f>
      </c>
      <c r="Q198" s="0">
        <f>BS197*(1+Calculator!$D$26/100/12)</f>
      </c>
      <c r="R198" s="0">
        <f>BT197*(1+Calculator!$D$27/100/12)</f>
      </c>
      <c r="S198" s="0">
        <f>BU197*(1+Calculator!$D$28/100/12)</f>
      </c>
      <c r="T198" s="0">
        <f>MAX(0,B198-Calculator!$E$11)</f>
      </c>
      <c r="U198" s="0">
        <f>MAX(0,C198-Calculator!$E$12)</f>
      </c>
      <c r="V198" s="0">
        <f>MAX(0,D198-Calculator!$E$13)</f>
      </c>
      <c r="W198" s="0">
        <f>MAX(0,E198-Calculator!$E$14)</f>
      </c>
      <c r="X198" s="0">
        <f>MAX(0,F198-Calculator!$E$15)</f>
      </c>
      <c r="Y198" s="0">
        <f>MAX(0,G198-Calculator!$E$16)</f>
      </c>
      <c r="Z198" s="0">
        <f>MAX(0,H198-Calculator!$E$17)</f>
      </c>
      <c r="AA198" s="0">
        <f>MAX(0,I198-Calculator!$E$18)</f>
      </c>
      <c r="AB198" s="0">
        <f>MAX(0,J198-Calculator!$E$19)</f>
      </c>
      <c r="AC198" s="0">
        <f>MAX(0,K198-Calculator!$E$20)</f>
      </c>
      <c r="AD198" s="0">
        <f>MAX(0,L198-Calculator!$E$21)</f>
      </c>
      <c r="AE198" s="0">
        <f>MAX(0,M198-Calculator!$E$22)</f>
      </c>
      <c r="AF198" s="0">
        <f>MAX(0,N198-Calculator!$E$23)</f>
      </c>
      <c r="AG198" s="0">
        <f>MAX(0,O198-Calculator!$E$24)</f>
      </c>
      <c r="AH198" s="0">
        <f>MAX(0,P198-Calculator!$E$25)</f>
      </c>
      <c r="AI198" s="0">
        <f>MAX(0,Q198-Calculator!$E$26)</f>
      </c>
      <c r="AJ198" s="0">
        <f>MAX(0,R198-Calculator!$E$27)</f>
      </c>
      <c r="AK198" s="0">
        <f>MAX(0,S198-Calculator!$E$28)</f>
      </c>
      <c r="AL198" s="0">
        <f>MAX(0,MIN(T198,BX198-SUMPRODUCT(($T$2:$AK$2&lt;T$2)*($T198:$AK198))))</f>
      </c>
      <c r="AM198" s="0">
        <f>MAX(0,MIN(U198,BX198-SUMPRODUCT(($T$2:$AK$2&lt;U$2)*($T198:$AK198))))</f>
      </c>
      <c r="AN198" s="0">
        <f>MAX(0,MIN(V198,BX198-SUMPRODUCT(($T$2:$AK$2&lt;V$2)*($T198:$AK198))))</f>
      </c>
      <c r="AO198" s="0">
        <f>MAX(0,MIN(W198,BX198-SUMPRODUCT(($T$2:$AK$2&lt;W$2)*($T198:$AK198))))</f>
      </c>
      <c r="AP198" s="0">
        <f>MAX(0,MIN(X198,BX198-SUMPRODUCT(($T$2:$AK$2&lt;X$2)*($T198:$AK198))))</f>
      </c>
      <c r="AQ198" s="0">
        <f>MAX(0,MIN(Y198,BX198-SUMPRODUCT(($T$2:$AK$2&lt;Y$2)*($T198:$AK198))))</f>
      </c>
      <c r="AR198" s="0">
        <f>MAX(0,MIN(Z198,BX198-SUMPRODUCT(($T$2:$AK$2&lt;Z$2)*($T198:$AK198))))</f>
      </c>
      <c r="AS198" s="0">
        <f>MAX(0,MIN(AA198,BX198-SUMPRODUCT(($T$2:$AK$2&lt;AA$2)*($T198:$AK198))))</f>
      </c>
      <c r="AT198" s="0">
        <f>MAX(0,MIN(AB198,BX198-SUMPRODUCT(($T$2:$AK$2&lt;AB$2)*($T198:$AK198))))</f>
      </c>
      <c r="AU198" s="0">
        <f>MAX(0,MIN(AC198,BX198-SUMPRODUCT(($T$2:$AK$2&lt;AC$2)*($T198:$AK198))))</f>
      </c>
      <c r="AV198" s="0">
        <f>MAX(0,MIN(AD198,BX198-SUMPRODUCT(($T$2:$AK$2&lt;AD$2)*($T198:$AK198))))</f>
      </c>
      <c r="AW198" s="0">
        <f>MAX(0,MIN(AE198,BX198-SUMPRODUCT(($T$2:$AK$2&lt;AE$2)*($T198:$AK198))))</f>
      </c>
      <c r="AX198" s="0">
        <f>MAX(0,MIN(AF198,BX198-SUMPRODUCT(($T$2:$AK$2&lt;AF$2)*($T198:$AK198))))</f>
      </c>
      <c r="AY198" s="0">
        <f>MAX(0,MIN(AG198,BX198-SUMPRODUCT(($T$2:$AK$2&lt;AG$2)*($T198:$AK198))))</f>
      </c>
      <c r="AZ198" s="0">
        <f>MAX(0,MIN(AH198,BX198-SUMPRODUCT(($T$2:$AK$2&lt;AH$2)*($T198:$AK198))))</f>
      </c>
      <c r="BA198" s="0">
        <f>MAX(0,MIN(AI198,BX198-SUMPRODUCT(($T$2:$AK$2&lt;AI$2)*($T198:$AK198))))</f>
      </c>
      <c r="BB198" s="0">
        <f>MAX(0,MIN(AJ198,BX198-SUMPRODUCT(($T$2:$AK$2&lt;AJ$2)*($T198:$AK198))))</f>
      </c>
      <c r="BC198" s="0">
        <f>MAX(0,MIN(AK198,BX198-SUMPRODUCT(($T$2:$AK$2&lt;AK$2)*($T198:$AK198))))</f>
      </c>
      <c r="BD198" s="0">
        <f>T198-AL198</f>
      </c>
      <c r="BE198" s="0">
        <f>U198-AM198</f>
      </c>
      <c r="BF198" s="0">
        <f>V198-AN198</f>
      </c>
      <c r="BG198" s="0">
        <f>W198-AO198</f>
      </c>
      <c r="BH198" s="0">
        <f>X198-AP198</f>
      </c>
      <c r="BI198" s="0">
        <f>Y198-AQ198</f>
      </c>
      <c r="BJ198" s="0">
        <f>Z198-AR198</f>
      </c>
      <c r="BK198" s="0">
        <f>AA198-AS198</f>
      </c>
      <c r="BL198" s="0">
        <f>AB198-AT198</f>
      </c>
      <c r="BM198" s="0">
        <f>AC198-AU198</f>
      </c>
      <c r="BN198" s="0">
        <f>AD198-AV198</f>
      </c>
      <c r="BO198" s="0">
        <f>AE198-AW198</f>
      </c>
      <c r="BP198" s="0">
        <f>AF198-AX198</f>
      </c>
      <c r="BQ198" s="0">
        <f>AG198-AY198</f>
      </c>
      <c r="BR198" s="0">
        <f>AH198-AZ198</f>
      </c>
      <c r="BS198" s="0">
        <f>AI198-BA198</f>
      </c>
      <c r="BT198" s="0">
        <f>AJ198-BB198</f>
      </c>
      <c r="BU198" s="0">
        <f>AK198-BC198</f>
      </c>
      <c r="BV198" s="0">
        <f>SUM(B198:S198)</f>
      </c>
      <c r="BW198" s="0">
        <f>SUM(T198:AK198)</f>
      </c>
      <c r="BX198" s="0">
        <f>MAX(0,(SUM(Calculator!$E$11:$E$28)+Calculator!$C$6)-BV198+BW198)</f>
      </c>
      <c r="BY198" s="0">
        <f>SUM(BD198:BU198)</f>
      </c>
      <c r="BZ198" s="0">
        <f>BV198-BY197</f>
      </c>
      <c r="CA198" s="0">
        <f>IF(A198&lt;=IF($CD$1=0,999,$CD$1),BY198,NA())</f>
      </c>
      <c r="CB198" s="0">
        <f>IF(A198&lt;=IF($CD$1=0,999,$CD$1),A198,NA())</f>
      </c>
    </row>
    <row r="199">
      <c r="A199" s="0">
        <v>196</v>
      </c>
      <c r="B199" s="0">
        <f>BD198*(1+Calculator!$D$11/100/12)</f>
      </c>
      <c r="C199" s="0">
        <f>BE198*(1+Calculator!$D$12/100/12)</f>
      </c>
      <c r="D199" s="0">
        <f>BF198*(1+Calculator!$D$13/100/12)</f>
      </c>
      <c r="E199" s="0">
        <f>BG198*(1+Calculator!$D$14/100/12)</f>
      </c>
      <c r="F199" s="0">
        <f>BH198*(1+Calculator!$D$15/100/12)</f>
      </c>
      <c r="G199" s="0">
        <f>BI198*(1+Calculator!$D$16/100/12)</f>
      </c>
      <c r="H199" s="0">
        <f>BJ198*(1+Calculator!$D$17/100/12)</f>
      </c>
      <c r="I199" s="0">
        <f>BK198*(1+Calculator!$D$18/100/12)</f>
      </c>
      <c r="J199" s="0">
        <f>BL198*(1+Calculator!$D$19/100/12)</f>
      </c>
      <c r="K199" s="0">
        <f>BM198*(1+Calculator!$D$20/100/12)</f>
      </c>
      <c r="L199" s="0">
        <f>BN198*(1+Calculator!$D$21/100/12)</f>
      </c>
      <c r="M199" s="0">
        <f>BO198*(1+Calculator!$D$22/100/12)</f>
      </c>
      <c r="N199" s="0">
        <f>BP198*(1+Calculator!$D$23/100/12)</f>
      </c>
      <c r="O199" s="0">
        <f>BQ198*(1+Calculator!$D$24/100/12)</f>
      </c>
      <c r="P199" s="0">
        <f>BR198*(1+Calculator!$D$25/100/12)</f>
      </c>
      <c r="Q199" s="0">
        <f>BS198*(1+Calculator!$D$26/100/12)</f>
      </c>
      <c r="R199" s="0">
        <f>BT198*(1+Calculator!$D$27/100/12)</f>
      </c>
      <c r="S199" s="0">
        <f>BU198*(1+Calculator!$D$28/100/12)</f>
      </c>
      <c r="T199" s="0">
        <f>MAX(0,B199-Calculator!$E$11)</f>
      </c>
      <c r="U199" s="0">
        <f>MAX(0,C199-Calculator!$E$12)</f>
      </c>
      <c r="V199" s="0">
        <f>MAX(0,D199-Calculator!$E$13)</f>
      </c>
      <c r="W199" s="0">
        <f>MAX(0,E199-Calculator!$E$14)</f>
      </c>
      <c r="X199" s="0">
        <f>MAX(0,F199-Calculator!$E$15)</f>
      </c>
      <c r="Y199" s="0">
        <f>MAX(0,G199-Calculator!$E$16)</f>
      </c>
      <c r="Z199" s="0">
        <f>MAX(0,H199-Calculator!$E$17)</f>
      </c>
      <c r="AA199" s="0">
        <f>MAX(0,I199-Calculator!$E$18)</f>
      </c>
      <c r="AB199" s="0">
        <f>MAX(0,J199-Calculator!$E$19)</f>
      </c>
      <c r="AC199" s="0">
        <f>MAX(0,K199-Calculator!$E$20)</f>
      </c>
      <c r="AD199" s="0">
        <f>MAX(0,L199-Calculator!$E$21)</f>
      </c>
      <c r="AE199" s="0">
        <f>MAX(0,M199-Calculator!$E$22)</f>
      </c>
      <c r="AF199" s="0">
        <f>MAX(0,N199-Calculator!$E$23)</f>
      </c>
      <c r="AG199" s="0">
        <f>MAX(0,O199-Calculator!$E$24)</f>
      </c>
      <c r="AH199" s="0">
        <f>MAX(0,P199-Calculator!$E$25)</f>
      </c>
      <c r="AI199" s="0">
        <f>MAX(0,Q199-Calculator!$E$26)</f>
      </c>
      <c r="AJ199" s="0">
        <f>MAX(0,R199-Calculator!$E$27)</f>
      </c>
      <c r="AK199" s="0">
        <f>MAX(0,S199-Calculator!$E$28)</f>
      </c>
      <c r="AL199" s="0">
        <f>MAX(0,MIN(T199,BX199-SUMPRODUCT(($T$2:$AK$2&lt;T$2)*($T199:$AK199))))</f>
      </c>
      <c r="AM199" s="0">
        <f>MAX(0,MIN(U199,BX199-SUMPRODUCT(($T$2:$AK$2&lt;U$2)*($T199:$AK199))))</f>
      </c>
      <c r="AN199" s="0">
        <f>MAX(0,MIN(V199,BX199-SUMPRODUCT(($T$2:$AK$2&lt;V$2)*($T199:$AK199))))</f>
      </c>
      <c r="AO199" s="0">
        <f>MAX(0,MIN(W199,BX199-SUMPRODUCT(($T$2:$AK$2&lt;W$2)*($T199:$AK199))))</f>
      </c>
      <c r="AP199" s="0">
        <f>MAX(0,MIN(X199,BX199-SUMPRODUCT(($T$2:$AK$2&lt;X$2)*($T199:$AK199))))</f>
      </c>
      <c r="AQ199" s="0">
        <f>MAX(0,MIN(Y199,BX199-SUMPRODUCT(($T$2:$AK$2&lt;Y$2)*($T199:$AK199))))</f>
      </c>
      <c r="AR199" s="0">
        <f>MAX(0,MIN(Z199,BX199-SUMPRODUCT(($T$2:$AK$2&lt;Z$2)*($T199:$AK199))))</f>
      </c>
      <c r="AS199" s="0">
        <f>MAX(0,MIN(AA199,BX199-SUMPRODUCT(($T$2:$AK$2&lt;AA$2)*($T199:$AK199))))</f>
      </c>
      <c r="AT199" s="0">
        <f>MAX(0,MIN(AB199,BX199-SUMPRODUCT(($T$2:$AK$2&lt;AB$2)*($T199:$AK199))))</f>
      </c>
      <c r="AU199" s="0">
        <f>MAX(0,MIN(AC199,BX199-SUMPRODUCT(($T$2:$AK$2&lt;AC$2)*($T199:$AK199))))</f>
      </c>
      <c r="AV199" s="0">
        <f>MAX(0,MIN(AD199,BX199-SUMPRODUCT(($T$2:$AK$2&lt;AD$2)*($T199:$AK199))))</f>
      </c>
      <c r="AW199" s="0">
        <f>MAX(0,MIN(AE199,BX199-SUMPRODUCT(($T$2:$AK$2&lt;AE$2)*($T199:$AK199))))</f>
      </c>
      <c r="AX199" s="0">
        <f>MAX(0,MIN(AF199,BX199-SUMPRODUCT(($T$2:$AK$2&lt;AF$2)*($T199:$AK199))))</f>
      </c>
      <c r="AY199" s="0">
        <f>MAX(0,MIN(AG199,BX199-SUMPRODUCT(($T$2:$AK$2&lt;AG$2)*($T199:$AK199))))</f>
      </c>
      <c r="AZ199" s="0">
        <f>MAX(0,MIN(AH199,BX199-SUMPRODUCT(($T$2:$AK$2&lt;AH$2)*($T199:$AK199))))</f>
      </c>
      <c r="BA199" s="0">
        <f>MAX(0,MIN(AI199,BX199-SUMPRODUCT(($T$2:$AK$2&lt;AI$2)*($T199:$AK199))))</f>
      </c>
      <c r="BB199" s="0">
        <f>MAX(0,MIN(AJ199,BX199-SUMPRODUCT(($T$2:$AK$2&lt;AJ$2)*($T199:$AK199))))</f>
      </c>
      <c r="BC199" s="0">
        <f>MAX(0,MIN(AK199,BX199-SUMPRODUCT(($T$2:$AK$2&lt;AK$2)*($T199:$AK199))))</f>
      </c>
      <c r="BD199" s="0">
        <f>T199-AL199</f>
      </c>
      <c r="BE199" s="0">
        <f>U199-AM199</f>
      </c>
      <c r="BF199" s="0">
        <f>V199-AN199</f>
      </c>
      <c r="BG199" s="0">
        <f>W199-AO199</f>
      </c>
      <c r="BH199" s="0">
        <f>X199-AP199</f>
      </c>
      <c r="BI199" s="0">
        <f>Y199-AQ199</f>
      </c>
      <c r="BJ199" s="0">
        <f>Z199-AR199</f>
      </c>
      <c r="BK199" s="0">
        <f>AA199-AS199</f>
      </c>
      <c r="BL199" s="0">
        <f>AB199-AT199</f>
      </c>
      <c r="BM199" s="0">
        <f>AC199-AU199</f>
      </c>
      <c r="BN199" s="0">
        <f>AD199-AV199</f>
      </c>
      <c r="BO199" s="0">
        <f>AE199-AW199</f>
      </c>
      <c r="BP199" s="0">
        <f>AF199-AX199</f>
      </c>
      <c r="BQ199" s="0">
        <f>AG199-AY199</f>
      </c>
      <c r="BR199" s="0">
        <f>AH199-AZ199</f>
      </c>
      <c r="BS199" s="0">
        <f>AI199-BA199</f>
      </c>
      <c r="BT199" s="0">
        <f>AJ199-BB199</f>
      </c>
      <c r="BU199" s="0">
        <f>AK199-BC199</f>
      </c>
      <c r="BV199" s="0">
        <f>SUM(B199:S199)</f>
      </c>
      <c r="BW199" s="0">
        <f>SUM(T199:AK199)</f>
      </c>
      <c r="BX199" s="0">
        <f>MAX(0,(SUM(Calculator!$E$11:$E$28)+Calculator!$C$6)-BV199+BW199)</f>
      </c>
      <c r="BY199" s="0">
        <f>SUM(BD199:BU199)</f>
      </c>
      <c r="BZ199" s="0">
        <f>BV199-BY198</f>
      </c>
      <c r="CA199" s="0">
        <f>IF(A199&lt;=IF($CD$1=0,999,$CD$1),BY199,NA())</f>
      </c>
      <c r="CB199" s="0">
        <f>IF(A199&lt;=IF($CD$1=0,999,$CD$1),A199,NA())</f>
      </c>
    </row>
    <row r="200">
      <c r="A200" s="0">
        <v>197</v>
      </c>
      <c r="B200" s="0">
        <f>BD199*(1+Calculator!$D$11/100/12)</f>
      </c>
      <c r="C200" s="0">
        <f>BE199*(1+Calculator!$D$12/100/12)</f>
      </c>
      <c r="D200" s="0">
        <f>BF199*(1+Calculator!$D$13/100/12)</f>
      </c>
      <c r="E200" s="0">
        <f>BG199*(1+Calculator!$D$14/100/12)</f>
      </c>
      <c r="F200" s="0">
        <f>BH199*(1+Calculator!$D$15/100/12)</f>
      </c>
      <c r="G200" s="0">
        <f>BI199*(1+Calculator!$D$16/100/12)</f>
      </c>
      <c r="H200" s="0">
        <f>BJ199*(1+Calculator!$D$17/100/12)</f>
      </c>
      <c r="I200" s="0">
        <f>BK199*(1+Calculator!$D$18/100/12)</f>
      </c>
      <c r="J200" s="0">
        <f>BL199*(1+Calculator!$D$19/100/12)</f>
      </c>
      <c r="K200" s="0">
        <f>BM199*(1+Calculator!$D$20/100/12)</f>
      </c>
      <c r="L200" s="0">
        <f>BN199*(1+Calculator!$D$21/100/12)</f>
      </c>
      <c r="M200" s="0">
        <f>BO199*(1+Calculator!$D$22/100/12)</f>
      </c>
      <c r="N200" s="0">
        <f>BP199*(1+Calculator!$D$23/100/12)</f>
      </c>
      <c r="O200" s="0">
        <f>BQ199*(1+Calculator!$D$24/100/12)</f>
      </c>
      <c r="P200" s="0">
        <f>BR199*(1+Calculator!$D$25/100/12)</f>
      </c>
      <c r="Q200" s="0">
        <f>BS199*(1+Calculator!$D$26/100/12)</f>
      </c>
      <c r="R200" s="0">
        <f>BT199*(1+Calculator!$D$27/100/12)</f>
      </c>
      <c r="S200" s="0">
        <f>BU199*(1+Calculator!$D$28/100/12)</f>
      </c>
      <c r="T200" s="0">
        <f>MAX(0,B200-Calculator!$E$11)</f>
      </c>
      <c r="U200" s="0">
        <f>MAX(0,C200-Calculator!$E$12)</f>
      </c>
      <c r="V200" s="0">
        <f>MAX(0,D200-Calculator!$E$13)</f>
      </c>
      <c r="W200" s="0">
        <f>MAX(0,E200-Calculator!$E$14)</f>
      </c>
      <c r="X200" s="0">
        <f>MAX(0,F200-Calculator!$E$15)</f>
      </c>
      <c r="Y200" s="0">
        <f>MAX(0,G200-Calculator!$E$16)</f>
      </c>
      <c r="Z200" s="0">
        <f>MAX(0,H200-Calculator!$E$17)</f>
      </c>
      <c r="AA200" s="0">
        <f>MAX(0,I200-Calculator!$E$18)</f>
      </c>
      <c r="AB200" s="0">
        <f>MAX(0,J200-Calculator!$E$19)</f>
      </c>
      <c r="AC200" s="0">
        <f>MAX(0,K200-Calculator!$E$20)</f>
      </c>
      <c r="AD200" s="0">
        <f>MAX(0,L200-Calculator!$E$21)</f>
      </c>
      <c r="AE200" s="0">
        <f>MAX(0,M200-Calculator!$E$22)</f>
      </c>
      <c r="AF200" s="0">
        <f>MAX(0,N200-Calculator!$E$23)</f>
      </c>
      <c r="AG200" s="0">
        <f>MAX(0,O200-Calculator!$E$24)</f>
      </c>
      <c r="AH200" s="0">
        <f>MAX(0,P200-Calculator!$E$25)</f>
      </c>
      <c r="AI200" s="0">
        <f>MAX(0,Q200-Calculator!$E$26)</f>
      </c>
      <c r="AJ200" s="0">
        <f>MAX(0,R200-Calculator!$E$27)</f>
      </c>
      <c r="AK200" s="0">
        <f>MAX(0,S200-Calculator!$E$28)</f>
      </c>
      <c r="AL200" s="0">
        <f>MAX(0,MIN(T200,BX200-SUMPRODUCT(($T$2:$AK$2&lt;T$2)*($T200:$AK200))))</f>
      </c>
      <c r="AM200" s="0">
        <f>MAX(0,MIN(U200,BX200-SUMPRODUCT(($T$2:$AK$2&lt;U$2)*($T200:$AK200))))</f>
      </c>
      <c r="AN200" s="0">
        <f>MAX(0,MIN(V200,BX200-SUMPRODUCT(($T$2:$AK$2&lt;V$2)*($T200:$AK200))))</f>
      </c>
      <c r="AO200" s="0">
        <f>MAX(0,MIN(W200,BX200-SUMPRODUCT(($T$2:$AK$2&lt;W$2)*($T200:$AK200))))</f>
      </c>
      <c r="AP200" s="0">
        <f>MAX(0,MIN(X200,BX200-SUMPRODUCT(($T$2:$AK$2&lt;X$2)*($T200:$AK200))))</f>
      </c>
      <c r="AQ200" s="0">
        <f>MAX(0,MIN(Y200,BX200-SUMPRODUCT(($T$2:$AK$2&lt;Y$2)*($T200:$AK200))))</f>
      </c>
      <c r="AR200" s="0">
        <f>MAX(0,MIN(Z200,BX200-SUMPRODUCT(($T$2:$AK$2&lt;Z$2)*($T200:$AK200))))</f>
      </c>
      <c r="AS200" s="0">
        <f>MAX(0,MIN(AA200,BX200-SUMPRODUCT(($T$2:$AK$2&lt;AA$2)*($T200:$AK200))))</f>
      </c>
      <c r="AT200" s="0">
        <f>MAX(0,MIN(AB200,BX200-SUMPRODUCT(($T$2:$AK$2&lt;AB$2)*($T200:$AK200))))</f>
      </c>
      <c r="AU200" s="0">
        <f>MAX(0,MIN(AC200,BX200-SUMPRODUCT(($T$2:$AK$2&lt;AC$2)*($T200:$AK200))))</f>
      </c>
      <c r="AV200" s="0">
        <f>MAX(0,MIN(AD200,BX200-SUMPRODUCT(($T$2:$AK$2&lt;AD$2)*($T200:$AK200))))</f>
      </c>
      <c r="AW200" s="0">
        <f>MAX(0,MIN(AE200,BX200-SUMPRODUCT(($T$2:$AK$2&lt;AE$2)*($T200:$AK200))))</f>
      </c>
      <c r="AX200" s="0">
        <f>MAX(0,MIN(AF200,BX200-SUMPRODUCT(($T$2:$AK$2&lt;AF$2)*($T200:$AK200))))</f>
      </c>
      <c r="AY200" s="0">
        <f>MAX(0,MIN(AG200,BX200-SUMPRODUCT(($T$2:$AK$2&lt;AG$2)*($T200:$AK200))))</f>
      </c>
      <c r="AZ200" s="0">
        <f>MAX(0,MIN(AH200,BX200-SUMPRODUCT(($T$2:$AK$2&lt;AH$2)*($T200:$AK200))))</f>
      </c>
      <c r="BA200" s="0">
        <f>MAX(0,MIN(AI200,BX200-SUMPRODUCT(($T$2:$AK$2&lt;AI$2)*($T200:$AK200))))</f>
      </c>
      <c r="BB200" s="0">
        <f>MAX(0,MIN(AJ200,BX200-SUMPRODUCT(($T$2:$AK$2&lt;AJ$2)*($T200:$AK200))))</f>
      </c>
      <c r="BC200" s="0">
        <f>MAX(0,MIN(AK200,BX200-SUMPRODUCT(($T$2:$AK$2&lt;AK$2)*($T200:$AK200))))</f>
      </c>
      <c r="BD200" s="0">
        <f>T200-AL200</f>
      </c>
      <c r="BE200" s="0">
        <f>U200-AM200</f>
      </c>
      <c r="BF200" s="0">
        <f>V200-AN200</f>
      </c>
      <c r="BG200" s="0">
        <f>W200-AO200</f>
      </c>
      <c r="BH200" s="0">
        <f>X200-AP200</f>
      </c>
      <c r="BI200" s="0">
        <f>Y200-AQ200</f>
      </c>
      <c r="BJ200" s="0">
        <f>Z200-AR200</f>
      </c>
      <c r="BK200" s="0">
        <f>AA200-AS200</f>
      </c>
      <c r="BL200" s="0">
        <f>AB200-AT200</f>
      </c>
      <c r="BM200" s="0">
        <f>AC200-AU200</f>
      </c>
      <c r="BN200" s="0">
        <f>AD200-AV200</f>
      </c>
      <c r="BO200" s="0">
        <f>AE200-AW200</f>
      </c>
      <c r="BP200" s="0">
        <f>AF200-AX200</f>
      </c>
      <c r="BQ200" s="0">
        <f>AG200-AY200</f>
      </c>
      <c r="BR200" s="0">
        <f>AH200-AZ200</f>
      </c>
      <c r="BS200" s="0">
        <f>AI200-BA200</f>
      </c>
      <c r="BT200" s="0">
        <f>AJ200-BB200</f>
      </c>
      <c r="BU200" s="0">
        <f>AK200-BC200</f>
      </c>
      <c r="BV200" s="0">
        <f>SUM(B200:S200)</f>
      </c>
      <c r="BW200" s="0">
        <f>SUM(T200:AK200)</f>
      </c>
      <c r="BX200" s="0">
        <f>MAX(0,(SUM(Calculator!$E$11:$E$28)+Calculator!$C$6)-BV200+BW200)</f>
      </c>
      <c r="BY200" s="0">
        <f>SUM(BD200:BU200)</f>
      </c>
      <c r="BZ200" s="0">
        <f>BV200-BY199</f>
      </c>
      <c r="CA200" s="0">
        <f>IF(A200&lt;=IF($CD$1=0,999,$CD$1),BY200,NA())</f>
      </c>
      <c r="CB200" s="0">
        <f>IF(A200&lt;=IF($CD$1=0,999,$CD$1),A200,NA())</f>
      </c>
    </row>
    <row r="201">
      <c r="A201" s="0">
        <v>198</v>
      </c>
      <c r="B201" s="0">
        <f>BD200*(1+Calculator!$D$11/100/12)</f>
      </c>
      <c r="C201" s="0">
        <f>BE200*(1+Calculator!$D$12/100/12)</f>
      </c>
      <c r="D201" s="0">
        <f>BF200*(1+Calculator!$D$13/100/12)</f>
      </c>
      <c r="E201" s="0">
        <f>BG200*(1+Calculator!$D$14/100/12)</f>
      </c>
      <c r="F201" s="0">
        <f>BH200*(1+Calculator!$D$15/100/12)</f>
      </c>
      <c r="G201" s="0">
        <f>BI200*(1+Calculator!$D$16/100/12)</f>
      </c>
      <c r="H201" s="0">
        <f>BJ200*(1+Calculator!$D$17/100/12)</f>
      </c>
      <c r="I201" s="0">
        <f>BK200*(1+Calculator!$D$18/100/12)</f>
      </c>
      <c r="J201" s="0">
        <f>BL200*(1+Calculator!$D$19/100/12)</f>
      </c>
      <c r="K201" s="0">
        <f>BM200*(1+Calculator!$D$20/100/12)</f>
      </c>
      <c r="L201" s="0">
        <f>BN200*(1+Calculator!$D$21/100/12)</f>
      </c>
      <c r="M201" s="0">
        <f>BO200*(1+Calculator!$D$22/100/12)</f>
      </c>
      <c r="N201" s="0">
        <f>BP200*(1+Calculator!$D$23/100/12)</f>
      </c>
      <c r="O201" s="0">
        <f>BQ200*(1+Calculator!$D$24/100/12)</f>
      </c>
      <c r="P201" s="0">
        <f>BR200*(1+Calculator!$D$25/100/12)</f>
      </c>
      <c r="Q201" s="0">
        <f>BS200*(1+Calculator!$D$26/100/12)</f>
      </c>
      <c r="R201" s="0">
        <f>BT200*(1+Calculator!$D$27/100/12)</f>
      </c>
      <c r="S201" s="0">
        <f>BU200*(1+Calculator!$D$28/100/12)</f>
      </c>
      <c r="T201" s="0">
        <f>MAX(0,B201-Calculator!$E$11)</f>
      </c>
      <c r="U201" s="0">
        <f>MAX(0,C201-Calculator!$E$12)</f>
      </c>
      <c r="V201" s="0">
        <f>MAX(0,D201-Calculator!$E$13)</f>
      </c>
      <c r="W201" s="0">
        <f>MAX(0,E201-Calculator!$E$14)</f>
      </c>
      <c r="X201" s="0">
        <f>MAX(0,F201-Calculator!$E$15)</f>
      </c>
      <c r="Y201" s="0">
        <f>MAX(0,G201-Calculator!$E$16)</f>
      </c>
      <c r="Z201" s="0">
        <f>MAX(0,H201-Calculator!$E$17)</f>
      </c>
      <c r="AA201" s="0">
        <f>MAX(0,I201-Calculator!$E$18)</f>
      </c>
      <c r="AB201" s="0">
        <f>MAX(0,J201-Calculator!$E$19)</f>
      </c>
      <c r="AC201" s="0">
        <f>MAX(0,K201-Calculator!$E$20)</f>
      </c>
      <c r="AD201" s="0">
        <f>MAX(0,L201-Calculator!$E$21)</f>
      </c>
      <c r="AE201" s="0">
        <f>MAX(0,M201-Calculator!$E$22)</f>
      </c>
      <c r="AF201" s="0">
        <f>MAX(0,N201-Calculator!$E$23)</f>
      </c>
      <c r="AG201" s="0">
        <f>MAX(0,O201-Calculator!$E$24)</f>
      </c>
      <c r="AH201" s="0">
        <f>MAX(0,P201-Calculator!$E$25)</f>
      </c>
      <c r="AI201" s="0">
        <f>MAX(0,Q201-Calculator!$E$26)</f>
      </c>
      <c r="AJ201" s="0">
        <f>MAX(0,R201-Calculator!$E$27)</f>
      </c>
      <c r="AK201" s="0">
        <f>MAX(0,S201-Calculator!$E$28)</f>
      </c>
      <c r="AL201" s="0">
        <f>MAX(0,MIN(T201,BX201-SUMPRODUCT(($T$2:$AK$2&lt;T$2)*($T201:$AK201))))</f>
      </c>
      <c r="AM201" s="0">
        <f>MAX(0,MIN(U201,BX201-SUMPRODUCT(($T$2:$AK$2&lt;U$2)*($T201:$AK201))))</f>
      </c>
      <c r="AN201" s="0">
        <f>MAX(0,MIN(V201,BX201-SUMPRODUCT(($T$2:$AK$2&lt;V$2)*($T201:$AK201))))</f>
      </c>
      <c r="AO201" s="0">
        <f>MAX(0,MIN(W201,BX201-SUMPRODUCT(($T$2:$AK$2&lt;W$2)*($T201:$AK201))))</f>
      </c>
      <c r="AP201" s="0">
        <f>MAX(0,MIN(X201,BX201-SUMPRODUCT(($T$2:$AK$2&lt;X$2)*($T201:$AK201))))</f>
      </c>
      <c r="AQ201" s="0">
        <f>MAX(0,MIN(Y201,BX201-SUMPRODUCT(($T$2:$AK$2&lt;Y$2)*($T201:$AK201))))</f>
      </c>
      <c r="AR201" s="0">
        <f>MAX(0,MIN(Z201,BX201-SUMPRODUCT(($T$2:$AK$2&lt;Z$2)*($T201:$AK201))))</f>
      </c>
      <c r="AS201" s="0">
        <f>MAX(0,MIN(AA201,BX201-SUMPRODUCT(($T$2:$AK$2&lt;AA$2)*($T201:$AK201))))</f>
      </c>
      <c r="AT201" s="0">
        <f>MAX(0,MIN(AB201,BX201-SUMPRODUCT(($T$2:$AK$2&lt;AB$2)*($T201:$AK201))))</f>
      </c>
      <c r="AU201" s="0">
        <f>MAX(0,MIN(AC201,BX201-SUMPRODUCT(($T$2:$AK$2&lt;AC$2)*($T201:$AK201))))</f>
      </c>
      <c r="AV201" s="0">
        <f>MAX(0,MIN(AD201,BX201-SUMPRODUCT(($T$2:$AK$2&lt;AD$2)*($T201:$AK201))))</f>
      </c>
      <c r="AW201" s="0">
        <f>MAX(0,MIN(AE201,BX201-SUMPRODUCT(($T$2:$AK$2&lt;AE$2)*($T201:$AK201))))</f>
      </c>
      <c r="AX201" s="0">
        <f>MAX(0,MIN(AF201,BX201-SUMPRODUCT(($T$2:$AK$2&lt;AF$2)*($T201:$AK201))))</f>
      </c>
      <c r="AY201" s="0">
        <f>MAX(0,MIN(AG201,BX201-SUMPRODUCT(($T$2:$AK$2&lt;AG$2)*($T201:$AK201))))</f>
      </c>
      <c r="AZ201" s="0">
        <f>MAX(0,MIN(AH201,BX201-SUMPRODUCT(($T$2:$AK$2&lt;AH$2)*($T201:$AK201))))</f>
      </c>
      <c r="BA201" s="0">
        <f>MAX(0,MIN(AI201,BX201-SUMPRODUCT(($T$2:$AK$2&lt;AI$2)*($T201:$AK201))))</f>
      </c>
      <c r="BB201" s="0">
        <f>MAX(0,MIN(AJ201,BX201-SUMPRODUCT(($T$2:$AK$2&lt;AJ$2)*($T201:$AK201))))</f>
      </c>
      <c r="BC201" s="0">
        <f>MAX(0,MIN(AK201,BX201-SUMPRODUCT(($T$2:$AK$2&lt;AK$2)*($T201:$AK201))))</f>
      </c>
      <c r="BD201" s="0">
        <f>T201-AL201</f>
      </c>
      <c r="BE201" s="0">
        <f>U201-AM201</f>
      </c>
      <c r="BF201" s="0">
        <f>V201-AN201</f>
      </c>
      <c r="BG201" s="0">
        <f>W201-AO201</f>
      </c>
      <c r="BH201" s="0">
        <f>X201-AP201</f>
      </c>
      <c r="BI201" s="0">
        <f>Y201-AQ201</f>
      </c>
      <c r="BJ201" s="0">
        <f>Z201-AR201</f>
      </c>
      <c r="BK201" s="0">
        <f>AA201-AS201</f>
      </c>
      <c r="BL201" s="0">
        <f>AB201-AT201</f>
      </c>
      <c r="BM201" s="0">
        <f>AC201-AU201</f>
      </c>
      <c r="BN201" s="0">
        <f>AD201-AV201</f>
      </c>
      <c r="BO201" s="0">
        <f>AE201-AW201</f>
      </c>
      <c r="BP201" s="0">
        <f>AF201-AX201</f>
      </c>
      <c r="BQ201" s="0">
        <f>AG201-AY201</f>
      </c>
      <c r="BR201" s="0">
        <f>AH201-AZ201</f>
      </c>
      <c r="BS201" s="0">
        <f>AI201-BA201</f>
      </c>
      <c r="BT201" s="0">
        <f>AJ201-BB201</f>
      </c>
      <c r="BU201" s="0">
        <f>AK201-BC201</f>
      </c>
      <c r="BV201" s="0">
        <f>SUM(B201:S201)</f>
      </c>
      <c r="BW201" s="0">
        <f>SUM(T201:AK201)</f>
      </c>
      <c r="BX201" s="0">
        <f>MAX(0,(SUM(Calculator!$E$11:$E$28)+Calculator!$C$6)-BV201+BW201)</f>
      </c>
      <c r="BY201" s="0">
        <f>SUM(BD201:BU201)</f>
      </c>
      <c r="BZ201" s="0">
        <f>BV201-BY200</f>
      </c>
      <c r="CA201" s="0">
        <f>IF(A201&lt;=IF($CD$1=0,999,$CD$1),BY201,NA())</f>
      </c>
      <c r="CB201" s="0">
        <f>IF(A201&lt;=IF($CD$1=0,999,$CD$1),A201,NA())</f>
      </c>
    </row>
    <row r="202">
      <c r="A202" s="0">
        <v>199</v>
      </c>
      <c r="B202" s="0">
        <f>BD201*(1+Calculator!$D$11/100/12)</f>
      </c>
      <c r="C202" s="0">
        <f>BE201*(1+Calculator!$D$12/100/12)</f>
      </c>
      <c r="D202" s="0">
        <f>BF201*(1+Calculator!$D$13/100/12)</f>
      </c>
      <c r="E202" s="0">
        <f>BG201*(1+Calculator!$D$14/100/12)</f>
      </c>
      <c r="F202" s="0">
        <f>BH201*(1+Calculator!$D$15/100/12)</f>
      </c>
      <c r="G202" s="0">
        <f>BI201*(1+Calculator!$D$16/100/12)</f>
      </c>
      <c r="H202" s="0">
        <f>BJ201*(1+Calculator!$D$17/100/12)</f>
      </c>
      <c r="I202" s="0">
        <f>BK201*(1+Calculator!$D$18/100/12)</f>
      </c>
      <c r="J202" s="0">
        <f>BL201*(1+Calculator!$D$19/100/12)</f>
      </c>
      <c r="K202" s="0">
        <f>BM201*(1+Calculator!$D$20/100/12)</f>
      </c>
      <c r="L202" s="0">
        <f>BN201*(1+Calculator!$D$21/100/12)</f>
      </c>
      <c r="M202" s="0">
        <f>BO201*(1+Calculator!$D$22/100/12)</f>
      </c>
      <c r="N202" s="0">
        <f>BP201*(1+Calculator!$D$23/100/12)</f>
      </c>
      <c r="O202" s="0">
        <f>BQ201*(1+Calculator!$D$24/100/12)</f>
      </c>
      <c r="P202" s="0">
        <f>BR201*(1+Calculator!$D$25/100/12)</f>
      </c>
      <c r="Q202" s="0">
        <f>BS201*(1+Calculator!$D$26/100/12)</f>
      </c>
      <c r="R202" s="0">
        <f>BT201*(1+Calculator!$D$27/100/12)</f>
      </c>
      <c r="S202" s="0">
        <f>BU201*(1+Calculator!$D$28/100/12)</f>
      </c>
      <c r="T202" s="0">
        <f>MAX(0,B202-Calculator!$E$11)</f>
      </c>
      <c r="U202" s="0">
        <f>MAX(0,C202-Calculator!$E$12)</f>
      </c>
      <c r="V202" s="0">
        <f>MAX(0,D202-Calculator!$E$13)</f>
      </c>
      <c r="W202" s="0">
        <f>MAX(0,E202-Calculator!$E$14)</f>
      </c>
      <c r="X202" s="0">
        <f>MAX(0,F202-Calculator!$E$15)</f>
      </c>
      <c r="Y202" s="0">
        <f>MAX(0,G202-Calculator!$E$16)</f>
      </c>
      <c r="Z202" s="0">
        <f>MAX(0,H202-Calculator!$E$17)</f>
      </c>
      <c r="AA202" s="0">
        <f>MAX(0,I202-Calculator!$E$18)</f>
      </c>
      <c r="AB202" s="0">
        <f>MAX(0,J202-Calculator!$E$19)</f>
      </c>
      <c r="AC202" s="0">
        <f>MAX(0,K202-Calculator!$E$20)</f>
      </c>
      <c r="AD202" s="0">
        <f>MAX(0,L202-Calculator!$E$21)</f>
      </c>
      <c r="AE202" s="0">
        <f>MAX(0,M202-Calculator!$E$22)</f>
      </c>
      <c r="AF202" s="0">
        <f>MAX(0,N202-Calculator!$E$23)</f>
      </c>
      <c r="AG202" s="0">
        <f>MAX(0,O202-Calculator!$E$24)</f>
      </c>
      <c r="AH202" s="0">
        <f>MAX(0,P202-Calculator!$E$25)</f>
      </c>
      <c r="AI202" s="0">
        <f>MAX(0,Q202-Calculator!$E$26)</f>
      </c>
      <c r="AJ202" s="0">
        <f>MAX(0,R202-Calculator!$E$27)</f>
      </c>
      <c r="AK202" s="0">
        <f>MAX(0,S202-Calculator!$E$28)</f>
      </c>
      <c r="AL202" s="0">
        <f>MAX(0,MIN(T202,BX202-SUMPRODUCT(($T$2:$AK$2&lt;T$2)*($T202:$AK202))))</f>
      </c>
      <c r="AM202" s="0">
        <f>MAX(0,MIN(U202,BX202-SUMPRODUCT(($T$2:$AK$2&lt;U$2)*($T202:$AK202))))</f>
      </c>
      <c r="AN202" s="0">
        <f>MAX(0,MIN(V202,BX202-SUMPRODUCT(($T$2:$AK$2&lt;V$2)*($T202:$AK202))))</f>
      </c>
      <c r="AO202" s="0">
        <f>MAX(0,MIN(W202,BX202-SUMPRODUCT(($T$2:$AK$2&lt;W$2)*($T202:$AK202))))</f>
      </c>
      <c r="AP202" s="0">
        <f>MAX(0,MIN(X202,BX202-SUMPRODUCT(($T$2:$AK$2&lt;X$2)*($T202:$AK202))))</f>
      </c>
      <c r="AQ202" s="0">
        <f>MAX(0,MIN(Y202,BX202-SUMPRODUCT(($T$2:$AK$2&lt;Y$2)*($T202:$AK202))))</f>
      </c>
      <c r="AR202" s="0">
        <f>MAX(0,MIN(Z202,BX202-SUMPRODUCT(($T$2:$AK$2&lt;Z$2)*($T202:$AK202))))</f>
      </c>
      <c r="AS202" s="0">
        <f>MAX(0,MIN(AA202,BX202-SUMPRODUCT(($T$2:$AK$2&lt;AA$2)*($T202:$AK202))))</f>
      </c>
      <c r="AT202" s="0">
        <f>MAX(0,MIN(AB202,BX202-SUMPRODUCT(($T$2:$AK$2&lt;AB$2)*($T202:$AK202))))</f>
      </c>
      <c r="AU202" s="0">
        <f>MAX(0,MIN(AC202,BX202-SUMPRODUCT(($T$2:$AK$2&lt;AC$2)*($T202:$AK202))))</f>
      </c>
      <c r="AV202" s="0">
        <f>MAX(0,MIN(AD202,BX202-SUMPRODUCT(($T$2:$AK$2&lt;AD$2)*($T202:$AK202))))</f>
      </c>
      <c r="AW202" s="0">
        <f>MAX(0,MIN(AE202,BX202-SUMPRODUCT(($T$2:$AK$2&lt;AE$2)*($T202:$AK202))))</f>
      </c>
      <c r="AX202" s="0">
        <f>MAX(0,MIN(AF202,BX202-SUMPRODUCT(($T$2:$AK$2&lt;AF$2)*($T202:$AK202))))</f>
      </c>
      <c r="AY202" s="0">
        <f>MAX(0,MIN(AG202,BX202-SUMPRODUCT(($T$2:$AK$2&lt;AG$2)*($T202:$AK202))))</f>
      </c>
      <c r="AZ202" s="0">
        <f>MAX(0,MIN(AH202,BX202-SUMPRODUCT(($T$2:$AK$2&lt;AH$2)*($T202:$AK202))))</f>
      </c>
      <c r="BA202" s="0">
        <f>MAX(0,MIN(AI202,BX202-SUMPRODUCT(($T$2:$AK$2&lt;AI$2)*($T202:$AK202))))</f>
      </c>
      <c r="BB202" s="0">
        <f>MAX(0,MIN(AJ202,BX202-SUMPRODUCT(($T$2:$AK$2&lt;AJ$2)*($T202:$AK202))))</f>
      </c>
      <c r="BC202" s="0">
        <f>MAX(0,MIN(AK202,BX202-SUMPRODUCT(($T$2:$AK$2&lt;AK$2)*($T202:$AK202))))</f>
      </c>
      <c r="BD202" s="0">
        <f>T202-AL202</f>
      </c>
      <c r="BE202" s="0">
        <f>U202-AM202</f>
      </c>
      <c r="BF202" s="0">
        <f>V202-AN202</f>
      </c>
      <c r="BG202" s="0">
        <f>W202-AO202</f>
      </c>
      <c r="BH202" s="0">
        <f>X202-AP202</f>
      </c>
      <c r="BI202" s="0">
        <f>Y202-AQ202</f>
      </c>
      <c r="BJ202" s="0">
        <f>Z202-AR202</f>
      </c>
      <c r="BK202" s="0">
        <f>AA202-AS202</f>
      </c>
      <c r="BL202" s="0">
        <f>AB202-AT202</f>
      </c>
      <c r="BM202" s="0">
        <f>AC202-AU202</f>
      </c>
      <c r="BN202" s="0">
        <f>AD202-AV202</f>
      </c>
      <c r="BO202" s="0">
        <f>AE202-AW202</f>
      </c>
      <c r="BP202" s="0">
        <f>AF202-AX202</f>
      </c>
      <c r="BQ202" s="0">
        <f>AG202-AY202</f>
      </c>
      <c r="BR202" s="0">
        <f>AH202-AZ202</f>
      </c>
      <c r="BS202" s="0">
        <f>AI202-BA202</f>
      </c>
      <c r="BT202" s="0">
        <f>AJ202-BB202</f>
      </c>
      <c r="BU202" s="0">
        <f>AK202-BC202</f>
      </c>
      <c r="BV202" s="0">
        <f>SUM(B202:S202)</f>
      </c>
      <c r="BW202" s="0">
        <f>SUM(T202:AK202)</f>
      </c>
      <c r="BX202" s="0">
        <f>MAX(0,(SUM(Calculator!$E$11:$E$28)+Calculator!$C$6)-BV202+BW202)</f>
      </c>
      <c r="BY202" s="0">
        <f>SUM(BD202:BU202)</f>
      </c>
      <c r="BZ202" s="0">
        <f>BV202-BY201</f>
      </c>
      <c r="CA202" s="0">
        <f>IF(A202&lt;=IF($CD$1=0,999,$CD$1),BY202,NA())</f>
      </c>
      <c r="CB202" s="0">
        <f>IF(A202&lt;=IF($CD$1=0,999,$CD$1),A202,NA())</f>
      </c>
    </row>
    <row r="203">
      <c r="A203" s="0">
        <v>200</v>
      </c>
      <c r="B203" s="0">
        <f>BD202*(1+Calculator!$D$11/100/12)</f>
      </c>
      <c r="C203" s="0">
        <f>BE202*(1+Calculator!$D$12/100/12)</f>
      </c>
      <c r="D203" s="0">
        <f>BF202*(1+Calculator!$D$13/100/12)</f>
      </c>
      <c r="E203" s="0">
        <f>BG202*(1+Calculator!$D$14/100/12)</f>
      </c>
      <c r="F203" s="0">
        <f>BH202*(1+Calculator!$D$15/100/12)</f>
      </c>
      <c r="G203" s="0">
        <f>BI202*(1+Calculator!$D$16/100/12)</f>
      </c>
      <c r="H203" s="0">
        <f>BJ202*(1+Calculator!$D$17/100/12)</f>
      </c>
      <c r="I203" s="0">
        <f>BK202*(1+Calculator!$D$18/100/12)</f>
      </c>
      <c r="J203" s="0">
        <f>BL202*(1+Calculator!$D$19/100/12)</f>
      </c>
      <c r="K203" s="0">
        <f>BM202*(1+Calculator!$D$20/100/12)</f>
      </c>
      <c r="L203" s="0">
        <f>BN202*(1+Calculator!$D$21/100/12)</f>
      </c>
      <c r="M203" s="0">
        <f>BO202*(1+Calculator!$D$22/100/12)</f>
      </c>
      <c r="N203" s="0">
        <f>BP202*(1+Calculator!$D$23/100/12)</f>
      </c>
      <c r="O203" s="0">
        <f>BQ202*(1+Calculator!$D$24/100/12)</f>
      </c>
      <c r="P203" s="0">
        <f>BR202*(1+Calculator!$D$25/100/12)</f>
      </c>
      <c r="Q203" s="0">
        <f>BS202*(1+Calculator!$D$26/100/12)</f>
      </c>
      <c r="R203" s="0">
        <f>BT202*(1+Calculator!$D$27/100/12)</f>
      </c>
      <c r="S203" s="0">
        <f>BU202*(1+Calculator!$D$28/100/12)</f>
      </c>
      <c r="T203" s="0">
        <f>MAX(0,B203-Calculator!$E$11)</f>
      </c>
      <c r="U203" s="0">
        <f>MAX(0,C203-Calculator!$E$12)</f>
      </c>
      <c r="V203" s="0">
        <f>MAX(0,D203-Calculator!$E$13)</f>
      </c>
      <c r="W203" s="0">
        <f>MAX(0,E203-Calculator!$E$14)</f>
      </c>
      <c r="X203" s="0">
        <f>MAX(0,F203-Calculator!$E$15)</f>
      </c>
      <c r="Y203" s="0">
        <f>MAX(0,G203-Calculator!$E$16)</f>
      </c>
      <c r="Z203" s="0">
        <f>MAX(0,H203-Calculator!$E$17)</f>
      </c>
      <c r="AA203" s="0">
        <f>MAX(0,I203-Calculator!$E$18)</f>
      </c>
      <c r="AB203" s="0">
        <f>MAX(0,J203-Calculator!$E$19)</f>
      </c>
      <c r="AC203" s="0">
        <f>MAX(0,K203-Calculator!$E$20)</f>
      </c>
      <c r="AD203" s="0">
        <f>MAX(0,L203-Calculator!$E$21)</f>
      </c>
      <c r="AE203" s="0">
        <f>MAX(0,M203-Calculator!$E$22)</f>
      </c>
      <c r="AF203" s="0">
        <f>MAX(0,N203-Calculator!$E$23)</f>
      </c>
      <c r="AG203" s="0">
        <f>MAX(0,O203-Calculator!$E$24)</f>
      </c>
      <c r="AH203" s="0">
        <f>MAX(0,P203-Calculator!$E$25)</f>
      </c>
      <c r="AI203" s="0">
        <f>MAX(0,Q203-Calculator!$E$26)</f>
      </c>
      <c r="AJ203" s="0">
        <f>MAX(0,R203-Calculator!$E$27)</f>
      </c>
      <c r="AK203" s="0">
        <f>MAX(0,S203-Calculator!$E$28)</f>
      </c>
      <c r="AL203" s="0">
        <f>MAX(0,MIN(T203,BX203-SUMPRODUCT(($T$2:$AK$2&lt;T$2)*($T203:$AK203))))</f>
      </c>
      <c r="AM203" s="0">
        <f>MAX(0,MIN(U203,BX203-SUMPRODUCT(($T$2:$AK$2&lt;U$2)*($T203:$AK203))))</f>
      </c>
      <c r="AN203" s="0">
        <f>MAX(0,MIN(V203,BX203-SUMPRODUCT(($T$2:$AK$2&lt;V$2)*($T203:$AK203))))</f>
      </c>
      <c r="AO203" s="0">
        <f>MAX(0,MIN(W203,BX203-SUMPRODUCT(($T$2:$AK$2&lt;W$2)*($T203:$AK203))))</f>
      </c>
      <c r="AP203" s="0">
        <f>MAX(0,MIN(X203,BX203-SUMPRODUCT(($T$2:$AK$2&lt;X$2)*($T203:$AK203))))</f>
      </c>
      <c r="AQ203" s="0">
        <f>MAX(0,MIN(Y203,BX203-SUMPRODUCT(($T$2:$AK$2&lt;Y$2)*($T203:$AK203))))</f>
      </c>
      <c r="AR203" s="0">
        <f>MAX(0,MIN(Z203,BX203-SUMPRODUCT(($T$2:$AK$2&lt;Z$2)*($T203:$AK203))))</f>
      </c>
      <c r="AS203" s="0">
        <f>MAX(0,MIN(AA203,BX203-SUMPRODUCT(($T$2:$AK$2&lt;AA$2)*($T203:$AK203))))</f>
      </c>
      <c r="AT203" s="0">
        <f>MAX(0,MIN(AB203,BX203-SUMPRODUCT(($T$2:$AK$2&lt;AB$2)*($T203:$AK203))))</f>
      </c>
      <c r="AU203" s="0">
        <f>MAX(0,MIN(AC203,BX203-SUMPRODUCT(($T$2:$AK$2&lt;AC$2)*($T203:$AK203))))</f>
      </c>
      <c r="AV203" s="0">
        <f>MAX(0,MIN(AD203,BX203-SUMPRODUCT(($T$2:$AK$2&lt;AD$2)*($T203:$AK203))))</f>
      </c>
      <c r="AW203" s="0">
        <f>MAX(0,MIN(AE203,BX203-SUMPRODUCT(($T$2:$AK$2&lt;AE$2)*($T203:$AK203))))</f>
      </c>
      <c r="AX203" s="0">
        <f>MAX(0,MIN(AF203,BX203-SUMPRODUCT(($T$2:$AK$2&lt;AF$2)*($T203:$AK203))))</f>
      </c>
      <c r="AY203" s="0">
        <f>MAX(0,MIN(AG203,BX203-SUMPRODUCT(($T$2:$AK$2&lt;AG$2)*($T203:$AK203))))</f>
      </c>
      <c r="AZ203" s="0">
        <f>MAX(0,MIN(AH203,BX203-SUMPRODUCT(($T$2:$AK$2&lt;AH$2)*($T203:$AK203))))</f>
      </c>
      <c r="BA203" s="0">
        <f>MAX(0,MIN(AI203,BX203-SUMPRODUCT(($T$2:$AK$2&lt;AI$2)*($T203:$AK203))))</f>
      </c>
      <c r="BB203" s="0">
        <f>MAX(0,MIN(AJ203,BX203-SUMPRODUCT(($T$2:$AK$2&lt;AJ$2)*($T203:$AK203))))</f>
      </c>
      <c r="BC203" s="0">
        <f>MAX(0,MIN(AK203,BX203-SUMPRODUCT(($T$2:$AK$2&lt;AK$2)*($T203:$AK203))))</f>
      </c>
      <c r="BD203" s="0">
        <f>T203-AL203</f>
      </c>
      <c r="BE203" s="0">
        <f>U203-AM203</f>
      </c>
      <c r="BF203" s="0">
        <f>V203-AN203</f>
      </c>
      <c r="BG203" s="0">
        <f>W203-AO203</f>
      </c>
      <c r="BH203" s="0">
        <f>X203-AP203</f>
      </c>
      <c r="BI203" s="0">
        <f>Y203-AQ203</f>
      </c>
      <c r="BJ203" s="0">
        <f>Z203-AR203</f>
      </c>
      <c r="BK203" s="0">
        <f>AA203-AS203</f>
      </c>
      <c r="BL203" s="0">
        <f>AB203-AT203</f>
      </c>
      <c r="BM203" s="0">
        <f>AC203-AU203</f>
      </c>
      <c r="BN203" s="0">
        <f>AD203-AV203</f>
      </c>
      <c r="BO203" s="0">
        <f>AE203-AW203</f>
      </c>
      <c r="BP203" s="0">
        <f>AF203-AX203</f>
      </c>
      <c r="BQ203" s="0">
        <f>AG203-AY203</f>
      </c>
      <c r="BR203" s="0">
        <f>AH203-AZ203</f>
      </c>
      <c r="BS203" s="0">
        <f>AI203-BA203</f>
      </c>
      <c r="BT203" s="0">
        <f>AJ203-BB203</f>
      </c>
      <c r="BU203" s="0">
        <f>AK203-BC203</f>
      </c>
      <c r="BV203" s="0">
        <f>SUM(B203:S203)</f>
      </c>
      <c r="BW203" s="0">
        <f>SUM(T203:AK203)</f>
      </c>
      <c r="BX203" s="0">
        <f>MAX(0,(SUM(Calculator!$E$11:$E$28)+Calculator!$C$6)-BV203+BW203)</f>
      </c>
      <c r="BY203" s="0">
        <f>SUM(BD203:BU203)</f>
      </c>
      <c r="BZ203" s="0">
        <f>BV203-BY202</f>
      </c>
      <c r="CA203" s="0">
        <f>IF(A203&lt;=IF($CD$1=0,999,$CD$1),BY203,NA())</f>
      </c>
      <c r="CB203" s="0">
        <f>IF(A203&lt;=IF($CD$1=0,999,$CD$1),A203,NA())</f>
      </c>
    </row>
    <row r="204">
      <c r="A204" s="0">
        <v>201</v>
      </c>
      <c r="B204" s="0">
        <f>BD203*(1+Calculator!$D$11/100/12)</f>
      </c>
      <c r="C204" s="0">
        <f>BE203*(1+Calculator!$D$12/100/12)</f>
      </c>
      <c r="D204" s="0">
        <f>BF203*(1+Calculator!$D$13/100/12)</f>
      </c>
      <c r="E204" s="0">
        <f>BG203*(1+Calculator!$D$14/100/12)</f>
      </c>
      <c r="F204" s="0">
        <f>BH203*(1+Calculator!$D$15/100/12)</f>
      </c>
      <c r="G204" s="0">
        <f>BI203*(1+Calculator!$D$16/100/12)</f>
      </c>
      <c r="H204" s="0">
        <f>BJ203*(1+Calculator!$D$17/100/12)</f>
      </c>
      <c r="I204" s="0">
        <f>BK203*(1+Calculator!$D$18/100/12)</f>
      </c>
      <c r="J204" s="0">
        <f>BL203*(1+Calculator!$D$19/100/12)</f>
      </c>
      <c r="K204" s="0">
        <f>BM203*(1+Calculator!$D$20/100/12)</f>
      </c>
      <c r="L204" s="0">
        <f>BN203*(1+Calculator!$D$21/100/12)</f>
      </c>
      <c r="M204" s="0">
        <f>BO203*(1+Calculator!$D$22/100/12)</f>
      </c>
      <c r="N204" s="0">
        <f>BP203*(1+Calculator!$D$23/100/12)</f>
      </c>
      <c r="O204" s="0">
        <f>BQ203*(1+Calculator!$D$24/100/12)</f>
      </c>
      <c r="P204" s="0">
        <f>BR203*(1+Calculator!$D$25/100/12)</f>
      </c>
      <c r="Q204" s="0">
        <f>BS203*(1+Calculator!$D$26/100/12)</f>
      </c>
      <c r="R204" s="0">
        <f>BT203*(1+Calculator!$D$27/100/12)</f>
      </c>
      <c r="S204" s="0">
        <f>BU203*(1+Calculator!$D$28/100/12)</f>
      </c>
      <c r="T204" s="0">
        <f>MAX(0,B204-Calculator!$E$11)</f>
      </c>
      <c r="U204" s="0">
        <f>MAX(0,C204-Calculator!$E$12)</f>
      </c>
      <c r="V204" s="0">
        <f>MAX(0,D204-Calculator!$E$13)</f>
      </c>
      <c r="W204" s="0">
        <f>MAX(0,E204-Calculator!$E$14)</f>
      </c>
      <c r="X204" s="0">
        <f>MAX(0,F204-Calculator!$E$15)</f>
      </c>
      <c r="Y204" s="0">
        <f>MAX(0,G204-Calculator!$E$16)</f>
      </c>
      <c r="Z204" s="0">
        <f>MAX(0,H204-Calculator!$E$17)</f>
      </c>
      <c r="AA204" s="0">
        <f>MAX(0,I204-Calculator!$E$18)</f>
      </c>
      <c r="AB204" s="0">
        <f>MAX(0,J204-Calculator!$E$19)</f>
      </c>
      <c r="AC204" s="0">
        <f>MAX(0,K204-Calculator!$E$20)</f>
      </c>
      <c r="AD204" s="0">
        <f>MAX(0,L204-Calculator!$E$21)</f>
      </c>
      <c r="AE204" s="0">
        <f>MAX(0,M204-Calculator!$E$22)</f>
      </c>
      <c r="AF204" s="0">
        <f>MAX(0,N204-Calculator!$E$23)</f>
      </c>
      <c r="AG204" s="0">
        <f>MAX(0,O204-Calculator!$E$24)</f>
      </c>
      <c r="AH204" s="0">
        <f>MAX(0,P204-Calculator!$E$25)</f>
      </c>
      <c r="AI204" s="0">
        <f>MAX(0,Q204-Calculator!$E$26)</f>
      </c>
      <c r="AJ204" s="0">
        <f>MAX(0,R204-Calculator!$E$27)</f>
      </c>
      <c r="AK204" s="0">
        <f>MAX(0,S204-Calculator!$E$28)</f>
      </c>
      <c r="AL204" s="0">
        <f>MAX(0,MIN(T204,BX204-SUMPRODUCT(($T$2:$AK$2&lt;T$2)*($T204:$AK204))))</f>
      </c>
      <c r="AM204" s="0">
        <f>MAX(0,MIN(U204,BX204-SUMPRODUCT(($T$2:$AK$2&lt;U$2)*($T204:$AK204))))</f>
      </c>
      <c r="AN204" s="0">
        <f>MAX(0,MIN(V204,BX204-SUMPRODUCT(($T$2:$AK$2&lt;V$2)*($T204:$AK204))))</f>
      </c>
      <c r="AO204" s="0">
        <f>MAX(0,MIN(W204,BX204-SUMPRODUCT(($T$2:$AK$2&lt;W$2)*($T204:$AK204))))</f>
      </c>
      <c r="AP204" s="0">
        <f>MAX(0,MIN(X204,BX204-SUMPRODUCT(($T$2:$AK$2&lt;X$2)*($T204:$AK204))))</f>
      </c>
      <c r="AQ204" s="0">
        <f>MAX(0,MIN(Y204,BX204-SUMPRODUCT(($T$2:$AK$2&lt;Y$2)*($T204:$AK204))))</f>
      </c>
      <c r="AR204" s="0">
        <f>MAX(0,MIN(Z204,BX204-SUMPRODUCT(($T$2:$AK$2&lt;Z$2)*($T204:$AK204))))</f>
      </c>
      <c r="AS204" s="0">
        <f>MAX(0,MIN(AA204,BX204-SUMPRODUCT(($T$2:$AK$2&lt;AA$2)*($T204:$AK204))))</f>
      </c>
      <c r="AT204" s="0">
        <f>MAX(0,MIN(AB204,BX204-SUMPRODUCT(($T$2:$AK$2&lt;AB$2)*($T204:$AK204))))</f>
      </c>
      <c r="AU204" s="0">
        <f>MAX(0,MIN(AC204,BX204-SUMPRODUCT(($T$2:$AK$2&lt;AC$2)*($T204:$AK204))))</f>
      </c>
      <c r="AV204" s="0">
        <f>MAX(0,MIN(AD204,BX204-SUMPRODUCT(($T$2:$AK$2&lt;AD$2)*($T204:$AK204))))</f>
      </c>
      <c r="AW204" s="0">
        <f>MAX(0,MIN(AE204,BX204-SUMPRODUCT(($T$2:$AK$2&lt;AE$2)*($T204:$AK204))))</f>
      </c>
      <c r="AX204" s="0">
        <f>MAX(0,MIN(AF204,BX204-SUMPRODUCT(($T$2:$AK$2&lt;AF$2)*($T204:$AK204))))</f>
      </c>
      <c r="AY204" s="0">
        <f>MAX(0,MIN(AG204,BX204-SUMPRODUCT(($T$2:$AK$2&lt;AG$2)*($T204:$AK204))))</f>
      </c>
      <c r="AZ204" s="0">
        <f>MAX(0,MIN(AH204,BX204-SUMPRODUCT(($T$2:$AK$2&lt;AH$2)*($T204:$AK204))))</f>
      </c>
      <c r="BA204" s="0">
        <f>MAX(0,MIN(AI204,BX204-SUMPRODUCT(($T$2:$AK$2&lt;AI$2)*($T204:$AK204))))</f>
      </c>
      <c r="BB204" s="0">
        <f>MAX(0,MIN(AJ204,BX204-SUMPRODUCT(($T$2:$AK$2&lt;AJ$2)*($T204:$AK204))))</f>
      </c>
      <c r="BC204" s="0">
        <f>MAX(0,MIN(AK204,BX204-SUMPRODUCT(($T$2:$AK$2&lt;AK$2)*($T204:$AK204))))</f>
      </c>
      <c r="BD204" s="0">
        <f>T204-AL204</f>
      </c>
      <c r="BE204" s="0">
        <f>U204-AM204</f>
      </c>
      <c r="BF204" s="0">
        <f>V204-AN204</f>
      </c>
      <c r="BG204" s="0">
        <f>W204-AO204</f>
      </c>
      <c r="BH204" s="0">
        <f>X204-AP204</f>
      </c>
      <c r="BI204" s="0">
        <f>Y204-AQ204</f>
      </c>
      <c r="BJ204" s="0">
        <f>Z204-AR204</f>
      </c>
      <c r="BK204" s="0">
        <f>AA204-AS204</f>
      </c>
      <c r="BL204" s="0">
        <f>AB204-AT204</f>
      </c>
      <c r="BM204" s="0">
        <f>AC204-AU204</f>
      </c>
      <c r="BN204" s="0">
        <f>AD204-AV204</f>
      </c>
      <c r="BO204" s="0">
        <f>AE204-AW204</f>
      </c>
      <c r="BP204" s="0">
        <f>AF204-AX204</f>
      </c>
      <c r="BQ204" s="0">
        <f>AG204-AY204</f>
      </c>
      <c r="BR204" s="0">
        <f>AH204-AZ204</f>
      </c>
      <c r="BS204" s="0">
        <f>AI204-BA204</f>
      </c>
      <c r="BT204" s="0">
        <f>AJ204-BB204</f>
      </c>
      <c r="BU204" s="0">
        <f>AK204-BC204</f>
      </c>
      <c r="BV204" s="0">
        <f>SUM(B204:S204)</f>
      </c>
      <c r="BW204" s="0">
        <f>SUM(T204:AK204)</f>
      </c>
      <c r="BX204" s="0">
        <f>MAX(0,(SUM(Calculator!$E$11:$E$28)+Calculator!$C$6)-BV204+BW204)</f>
      </c>
      <c r="BY204" s="0">
        <f>SUM(BD204:BU204)</f>
      </c>
      <c r="BZ204" s="0">
        <f>BV204-BY203</f>
      </c>
      <c r="CA204" s="0">
        <f>IF(A204&lt;=IF($CD$1=0,999,$CD$1),BY204,NA())</f>
      </c>
      <c r="CB204" s="0">
        <f>IF(A204&lt;=IF($CD$1=0,999,$CD$1),A204,NA())</f>
      </c>
    </row>
    <row r="205">
      <c r="A205" s="0">
        <v>202</v>
      </c>
      <c r="B205" s="0">
        <f>BD204*(1+Calculator!$D$11/100/12)</f>
      </c>
      <c r="C205" s="0">
        <f>BE204*(1+Calculator!$D$12/100/12)</f>
      </c>
      <c r="D205" s="0">
        <f>BF204*(1+Calculator!$D$13/100/12)</f>
      </c>
      <c r="E205" s="0">
        <f>BG204*(1+Calculator!$D$14/100/12)</f>
      </c>
      <c r="F205" s="0">
        <f>BH204*(1+Calculator!$D$15/100/12)</f>
      </c>
      <c r="G205" s="0">
        <f>BI204*(1+Calculator!$D$16/100/12)</f>
      </c>
      <c r="H205" s="0">
        <f>BJ204*(1+Calculator!$D$17/100/12)</f>
      </c>
      <c r="I205" s="0">
        <f>BK204*(1+Calculator!$D$18/100/12)</f>
      </c>
      <c r="J205" s="0">
        <f>BL204*(1+Calculator!$D$19/100/12)</f>
      </c>
      <c r="K205" s="0">
        <f>BM204*(1+Calculator!$D$20/100/12)</f>
      </c>
      <c r="L205" s="0">
        <f>BN204*(1+Calculator!$D$21/100/12)</f>
      </c>
      <c r="M205" s="0">
        <f>BO204*(1+Calculator!$D$22/100/12)</f>
      </c>
      <c r="N205" s="0">
        <f>BP204*(1+Calculator!$D$23/100/12)</f>
      </c>
      <c r="O205" s="0">
        <f>BQ204*(1+Calculator!$D$24/100/12)</f>
      </c>
      <c r="P205" s="0">
        <f>BR204*(1+Calculator!$D$25/100/12)</f>
      </c>
      <c r="Q205" s="0">
        <f>BS204*(1+Calculator!$D$26/100/12)</f>
      </c>
      <c r="R205" s="0">
        <f>BT204*(1+Calculator!$D$27/100/12)</f>
      </c>
      <c r="S205" s="0">
        <f>BU204*(1+Calculator!$D$28/100/12)</f>
      </c>
      <c r="T205" s="0">
        <f>MAX(0,B205-Calculator!$E$11)</f>
      </c>
      <c r="U205" s="0">
        <f>MAX(0,C205-Calculator!$E$12)</f>
      </c>
      <c r="V205" s="0">
        <f>MAX(0,D205-Calculator!$E$13)</f>
      </c>
      <c r="W205" s="0">
        <f>MAX(0,E205-Calculator!$E$14)</f>
      </c>
      <c r="X205" s="0">
        <f>MAX(0,F205-Calculator!$E$15)</f>
      </c>
      <c r="Y205" s="0">
        <f>MAX(0,G205-Calculator!$E$16)</f>
      </c>
      <c r="Z205" s="0">
        <f>MAX(0,H205-Calculator!$E$17)</f>
      </c>
      <c r="AA205" s="0">
        <f>MAX(0,I205-Calculator!$E$18)</f>
      </c>
      <c r="AB205" s="0">
        <f>MAX(0,J205-Calculator!$E$19)</f>
      </c>
      <c r="AC205" s="0">
        <f>MAX(0,K205-Calculator!$E$20)</f>
      </c>
      <c r="AD205" s="0">
        <f>MAX(0,L205-Calculator!$E$21)</f>
      </c>
      <c r="AE205" s="0">
        <f>MAX(0,M205-Calculator!$E$22)</f>
      </c>
      <c r="AF205" s="0">
        <f>MAX(0,N205-Calculator!$E$23)</f>
      </c>
      <c r="AG205" s="0">
        <f>MAX(0,O205-Calculator!$E$24)</f>
      </c>
      <c r="AH205" s="0">
        <f>MAX(0,P205-Calculator!$E$25)</f>
      </c>
      <c r="AI205" s="0">
        <f>MAX(0,Q205-Calculator!$E$26)</f>
      </c>
      <c r="AJ205" s="0">
        <f>MAX(0,R205-Calculator!$E$27)</f>
      </c>
      <c r="AK205" s="0">
        <f>MAX(0,S205-Calculator!$E$28)</f>
      </c>
      <c r="AL205" s="0">
        <f>MAX(0,MIN(T205,BX205-SUMPRODUCT(($T$2:$AK$2&lt;T$2)*($T205:$AK205))))</f>
      </c>
      <c r="AM205" s="0">
        <f>MAX(0,MIN(U205,BX205-SUMPRODUCT(($T$2:$AK$2&lt;U$2)*($T205:$AK205))))</f>
      </c>
      <c r="AN205" s="0">
        <f>MAX(0,MIN(V205,BX205-SUMPRODUCT(($T$2:$AK$2&lt;V$2)*($T205:$AK205))))</f>
      </c>
      <c r="AO205" s="0">
        <f>MAX(0,MIN(W205,BX205-SUMPRODUCT(($T$2:$AK$2&lt;W$2)*($T205:$AK205))))</f>
      </c>
      <c r="AP205" s="0">
        <f>MAX(0,MIN(X205,BX205-SUMPRODUCT(($T$2:$AK$2&lt;X$2)*($T205:$AK205))))</f>
      </c>
      <c r="AQ205" s="0">
        <f>MAX(0,MIN(Y205,BX205-SUMPRODUCT(($T$2:$AK$2&lt;Y$2)*($T205:$AK205))))</f>
      </c>
      <c r="AR205" s="0">
        <f>MAX(0,MIN(Z205,BX205-SUMPRODUCT(($T$2:$AK$2&lt;Z$2)*($T205:$AK205))))</f>
      </c>
      <c r="AS205" s="0">
        <f>MAX(0,MIN(AA205,BX205-SUMPRODUCT(($T$2:$AK$2&lt;AA$2)*($T205:$AK205))))</f>
      </c>
      <c r="AT205" s="0">
        <f>MAX(0,MIN(AB205,BX205-SUMPRODUCT(($T$2:$AK$2&lt;AB$2)*($T205:$AK205))))</f>
      </c>
      <c r="AU205" s="0">
        <f>MAX(0,MIN(AC205,BX205-SUMPRODUCT(($T$2:$AK$2&lt;AC$2)*($T205:$AK205))))</f>
      </c>
      <c r="AV205" s="0">
        <f>MAX(0,MIN(AD205,BX205-SUMPRODUCT(($T$2:$AK$2&lt;AD$2)*($T205:$AK205))))</f>
      </c>
      <c r="AW205" s="0">
        <f>MAX(0,MIN(AE205,BX205-SUMPRODUCT(($T$2:$AK$2&lt;AE$2)*($T205:$AK205))))</f>
      </c>
      <c r="AX205" s="0">
        <f>MAX(0,MIN(AF205,BX205-SUMPRODUCT(($T$2:$AK$2&lt;AF$2)*($T205:$AK205))))</f>
      </c>
      <c r="AY205" s="0">
        <f>MAX(0,MIN(AG205,BX205-SUMPRODUCT(($T$2:$AK$2&lt;AG$2)*($T205:$AK205))))</f>
      </c>
      <c r="AZ205" s="0">
        <f>MAX(0,MIN(AH205,BX205-SUMPRODUCT(($T$2:$AK$2&lt;AH$2)*($T205:$AK205))))</f>
      </c>
      <c r="BA205" s="0">
        <f>MAX(0,MIN(AI205,BX205-SUMPRODUCT(($T$2:$AK$2&lt;AI$2)*($T205:$AK205))))</f>
      </c>
      <c r="BB205" s="0">
        <f>MAX(0,MIN(AJ205,BX205-SUMPRODUCT(($T$2:$AK$2&lt;AJ$2)*($T205:$AK205))))</f>
      </c>
      <c r="BC205" s="0">
        <f>MAX(0,MIN(AK205,BX205-SUMPRODUCT(($T$2:$AK$2&lt;AK$2)*($T205:$AK205))))</f>
      </c>
      <c r="BD205" s="0">
        <f>T205-AL205</f>
      </c>
      <c r="BE205" s="0">
        <f>U205-AM205</f>
      </c>
      <c r="BF205" s="0">
        <f>V205-AN205</f>
      </c>
      <c r="BG205" s="0">
        <f>W205-AO205</f>
      </c>
      <c r="BH205" s="0">
        <f>X205-AP205</f>
      </c>
      <c r="BI205" s="0">
        <f>Y205-AQ205</f>
      </c>
      <c r="BJ205" s="0">
        <f>Z205-AR205</f>
      </c>
      <c r="BK205" s="0">
        <f>AA205-AS205</f>
      </c>
      <c r="BL205" s="0">
        <f>AB205-AT205</f>
      </c>
      <c r="BM205" s="0">
        <f>AC205-AU205</f>
      </c>
      <c r="BN205" s="0">
        <f>AD205-AV205</f>
      </c>
      <c r="BO205" s="0">
        <f>AE205-AW205</f>
      </c>
      <c r="BP205" s="0">
        <f>AF205-AX205</f>
      </c>
      <c r="BQ205" s="0">
        <f>AG205-AY205</f>
      </c>
      <c r="BR205" s="0">
        <f>AH205-AZ205</f>
      </c>
      <c r="BS205" s="0">
        <f>AI205-BA205</f>
      </c>
      <c r="BT205" s="0">
        <f>AJ205-BB205</f>
      </c>
      <c r="BU205" s="0">
        <f>AK205-BC205</f>
      </c>
      <c r="BV205" s="0">
        <f>SUM(B205:S205)</f>
      </c>
      <c r="BW205" s="0">
        <f>SUM(T205:AK205)</f>
      </c>
      <c r="BX205" s="0">
        <f>MAX(0,(SUM(Calculator!$E$11:$E$28)+Calculator!$C$6)-BV205+BW205)</f>
      </c>
      <c r="BY205" s="0">
        <f>SUM(BD205:BU205)</f>
      </c>
      <c r="BZ205" s="0">
        <f>BV205-BY204</f>
      </c>
      <c r="CA205" s="0">
        <f>IF(A205&lt;=IF($CD$1=0,999,$CD$1),BY205,NA())</f>
      </c>
      <c r="CB205" s="0">
        <f>IF(A205&lt;=IF($CD$1=0,999,$CD$1),A205,NA())</f>
      </c>
    </row>
    <row r="206">
      <c r="A206" s="0">
        <v>203</v>
      </c>
      <c r="B206" s="0">
        <f>BD205*(1+Calculator!$D$11/100/12)</f>
      </c>
      <c r="C206" s="0">
        <f>BE205*(1+Calculator!$D$12/100/12)</f>
      </c>
      <c r="D206" s="0">
        <f>BF205*(1+Calculator!$D$13/100/12)</f>
      </c>
      <c r="E206" s="0">
        <f>BG205*(1+Calculator!$D$14/100/12)</f>
      </c>
      <c r="F206" s="0">
        <f>BH205*(1+Calculator!$D$15/100/12)</f>
      </c>
      <c r="G206" s="0">
        <f>BI205*(1+Calculator!$D$16/100/12)</f>
      </c>
      <c r="H206" s="0">
        <f>BJ205*(1+Calculator!$D$17/100/12)</f>
      </c>
      <c r="I206" s="0">
        <f>BK205*(1+Calculator!$D$18/100/12)</f>
      </c>
      <c r="J206" s="0">
        <f>BL205*(1+Calculator!$D$19/100/12)</f>
      </c>
      <c r="K206" s="0">
        <f>BM205*(1+Calculator!$D$20/100/12)</f>
      </c>
      <c r="L206" s="0">
        <f>BN205*(1+Calculator!$D$21/100/12)</f>
      </c>
      <c r="M206" s="0">
        <f>BO205*(1+Calculator!$D$22/100/12)</f>
      </c>
      <c r="N206" s="0">
        <f>BP205*(1+Calculator!$D$23/100/12)</f>
      </c>
      <c r="O206" s="0">
        <f>BQ205*(1+Calculator!$D$24/100/12)</f>
      </c>
      <c r="P206" s="0">
        <f>BR205*(1+Calculator!$D$25/100/12)</f>
      </c>
      <c r="Q206" s="0">
        <f>BS205*(1+Calculator!$D$26/100/12)</f>
      </c>
      <c r="R206" s="0">
        <f>BT205*(1+Calculator!$D$27/100/12)</f>
      </c>
      <c r="S206" s="0">
        <f>BU205*(1+Calculator!$D$28/100/12)</f>
      </c>
      <c r="T206" s="0">
        <f>MAX(0,B206-Calculator!$E$11)</f>
      </c>
      <c r="U206" s="0">
        <f>MAX(0,C206-Calculator!$E$12)</f>
      </c>
      <c r="V206" s="0">
        <f>MAX(0,D206-Calculator!$E$13)</f>
      </c>
      <c r="W206" s="0">
        <f>MAX(0,E206-Calculator!$E$14)</f>
      </c>
      <c r="X206" s="0">
        <f>MAX(0,F206-Calculator!$E$15)</f>
      </c>
      <c r="Y206" s="0">
        <f>MAX(0,G206-Calculator!$E$16)</f>
      </c>
      <c r="Z206" s="0">
        <f>MAX(0,H206-Calculator!$E$17)</f>
      </c>
      <c r="AA206" s="0">
        <f>MAX(0,I206-Calculator!$E$18)</f>
      </c>
      <c r="AB206" s="0">
        <f>MAX(0,J206-Calculator!$E$19)</f>
      </c>
      <c r="AC206" s="0">
        <f>MAX(0,K206-Calculator!$E$20)</f>
      </c>
      <c r="AD206" s="0">
        <f>MAX(0,L206-Calculator!$E$21)</f>
      </c>
      <c r="AE206" s="0">
        <f>MAX(0,M206-Calculator!$E$22)</f>
      </c>
      <c r="AF206" s="0">
        <f>MAX(0,N206-Calculator!$E$23)</f>
      </c>
      <c r="AG206" s="0">
        <f>MAX(0,O206-Calculator!$E$24)</f>
      </c>
      <c r="AH206" s="0">
        <f>MAX(0,P206-Calculator!$E$25)</f>
      </c>
      <c r="AI206" s="0">
        <f>MAX(0,Q206-Calculator!$E$26)</f>
      </c>
      <c r="AJ206" s="0">
        <f>MAX(0,R206-Calculator!$E$27)</f>
      </c>
      <c r="AK206" s="0">
        <f>MAX(0,S206-Calculator!$E$28)</f>
      </c>
      <c r="AL206" s="0">
        <f>MAX(0,MIN(T206,BX206-SUMPRODUCT(($T$2:$AK$2&lt;T$2)*($T206:$AK206))))</f>
      </c>
      <c r="AM206" s="0">
        <f>MAX(0,MIN(U206,BX206-SUMPRODUCT(($T$2:$AK$2&lt;U$2)*($T206:$AK206))))</f>
      </c>
      <c r="AN206" s="0">
        <f>MAX(0,MIN(V206,BX206-SUMPRODUCT(($T$2:$AK$2&lt;V$2)*($T206:$AK206))))</f>
      </c>
      <c r="AO206" s="0">
        <f>MAX(0,MIN(W206,BX206-SUMPRODUCT(($T$2:$AK$2&lt;W$2)*($T206:$AK206))))</f>
      </c>
      <c r="AP206" s="0">
        <f>MAX(0,MIN(X206,BX206-SUMPRODUCT(($T$2:$AK$2&lt;X$2)*($T206:$AK206))))</f>
      </c>
      <c r="AQ206" s="0">
        <f>MAX(0,MIN(Y206,BX206-SUMPRODUCT(($T$2:$AK$2&lt;Y$2)*($T206:$AK206))))</f>
      </c>
      <c r="AR206" s="0">
        <f>MAX(0,MIN(Z206,BX206-SUMPRODUCT(($T$2:$AK$2&lt;Z$2)*($T206:$AK206))))</f>
      </c>
      <c r="AS206" s="0">
        <f>MAX(0,MIN(AA206,BX206-SUMPRODUCT(($T$2:$AK$2&lt;AA$2)*($T206:$AK206))))</f>
      </c>
      <c r="AT206" s="0">
        <f>MAX(0,MIN(AB206,BX206-SUMPRODUCT(($T$2:$AK$2&lt;AB$2)*($T206:$AK206))))</f>
      </c>
      <c r="AU206" s="0">
        <f>MAX(0,MIN(AC206,BX206-SUMPRODUCT(($T$2:$AK$2&lt;AC$2)*($T206:$AK206))))</f>
      </c>
      <c r="AV206" s="0">
        <f>MAX(0,MIN(AD206,BX206-SUMPRODUCT(($T$2:$AK$2&lt;AD$2)*($T206:$AK206))))</f>
      </c>
      <c r="AW206" s="0">
        <f>MAX(0,MIN(AE206,BX206-SUMPRODUCT(($T$2:$AK$2&lt;AE$2)*($T206:$AK206))))</f>
      </c>
      <c r="AX206" s="0">
        <f>MAX(0,MIN(AF206,BX206-SUMPRODUCT(($T$2:$AK$2&lt;AF$2)*($T206:$AK206))))</f>
      </c>
      <c r="AY206" s="0">
        <f>MAX(0,MIN(AG206,BX206-SUMPRODUCT(($T$2:$AK$2&lt;AG$2)*($T206:$AK206))))</f>
      </c>
      <c r="AZ206" s="0">
        <f>MAX(0,MIN(AH206,BX206-SUMPRODUCT(($T$2:$AK$2&lt;AH$2)*($T206:$AK206))))</f>
      </c>
      <c r="BA206" s="0">
        <f>MAX(0,MIN(AI206,BX206-SUMPRODUCT(($T$2:$AK$2&lt;AI$2)*($T206:$AK206))))</f>
      </c>
      <c r="BB206" s="0">
        <f>MAX(0,MIN(AJ206,BX206-SUMPRODUCT(($T$2:$AK$2&lt;AJ$2)*($T206:$AK206))))</f>
      </c>
      <c r="BC206" s="0">
        <f>MAX(0,MIN(AK206,BX206-SUMPRODUCT(($T$2:$AK$2&lt;AK$2)*($T206:$AK206))))</f>
      </c>
      <c r="BD206" s="0">
        <f>T206-AL206</f>
      </c>
      <c r="BE206" s="0">
        <f>U206-AM206</f>
      </c>
      <c r="BF206" s="0">
        <f>V206-AN206</f>
      </c>
      <c r="BG206" s="0">
        <f>W206-AO206</f>
      </c>
      <c r="BH206" s="0">
        <f>X206-AP206</f>
      </c>
      <c r="BI206" s="0">
        <f>Y206-AQ206</f>
      </c>
      <c r="BJ206" s="0">
        <f>Z206-AR206</f>
      </c>
      <c r="BK206" s="0">
        <f>AA206-AS206</f>
      </c>
      <c r="BL206" s="0">
        <f>AB206-AT206</f>
      </c>
      <c r="BM206" s="0">
        <f>AC206-AU206</f>
      </c>
      <c r="BN206" s="0">
        <f>AD206-AV206</f>
      </c>
      <c r="BO206" s="0">
        <f>AE206-AW206</f>
      </c>
      <c r="BP206" s="0">
        <f>AF206-AX206</f>
      </c>
      <c r="BQ206" s="0">
        <f>AG206-AY206</f>
      </c>
      <c r="BR206" s="0">
        <f>AH206-AZ206</f>
      </c>
      <c r="BS206" s="0">
        <f>AI206-BA206</f>
      </c>
      <c r="BT206" s="0">
        <f>AJ206-BB206</f>
      </c>
      <c r="BU206" s="0">
        <f>AK206-BC206</f>
      </c>
      <c r="BV206" s="0">
        <f>SUM(B206:S206)</f>
      </c>
      <c r="BW206" s="0">
        <f>SUM(T206:AK206)</f>
      </c>
      <c r="BX206" s="0">
        <f>MAX(0,(SUM(Calculator!$E$11:$E$28)+Calculator!$C$6)-BV206+BW206)</f>
      </c>
      <c r="BY206" s="0">
        <f>SUM(BD206:BU206)</f>
      </c>
      <c r="BZ206" s="0">
        <f>BV206-BY205</f>
      </c>
      <c r="CA206" s="0">
        <f>IF(A206&lt;=IF($CD$1=0,999,$CD$1),BY206,NA())</f>
      </c>
      <c r="CB206" s="0">
        <f>IF(A206&lt;=IF($CD$1=0,999,$CD$1),A206,NA())</f>
      </c>
    </row>
    <row r="207">
      <c r="A207" s="0">
        <v>204</v>
      </c>
      <c r="B207" s="0">
        <f>BD206*(1+Calculator!$D$11/100/12)</f>
      </c>
      <c r="C207" s="0">
        <f>BE206*(1+Calculator!$D$12/100/12)</f>
      </c>
      <c r="D207" s="0">
        <f>BF206*(1+Calculator!$D$13/100/12)</f>
      </c>
      <c r="E207" s="0">
        <f>BG206*(1+Calculator!$D$14/100/12)</f>
      </c>
      <c r="F207" s="0">
        <f>BH206*(1+Calculator!$D$15/100/12)</f>
      </c>
      <c r="G207" s="0">
        <f>BI206*(1+Calculator!$D$16/100/12)</f>
      </c>
      <c r="H207" s="0">
        <f>BJ206*(1+Calculator!$D$17/100/12)</f>
      </c>
      <c r="I207" s="0">
        <f>BK206*(1+Calculator!$D$18/100/12)</f>
      </c>
      <c r="J207" s="0">
        <f>BL206*(1+Calculator!$D$19/100/12)</f>
      </c>
      <c r="K207" s="0">
        <f>BM206*(1+Calculator!$D$20/100/12)</f>
      </c>
      <c r="L207" s="0">
        <f>BN206*(1+Calculator!$D$21/100/12)</f>
      </c>
      <c r="M207" s="0">
        <f>BO206*(1+Calculator!$D$22/100/12)</f>
      </c>
      <c r="N207" s="0">
        <f>BP206*(1+Calculator!$D$23/100/12)</f>
      </c>
      <c r="O207" s="0">
        <f>BQ206*(1+Calculator!$D$24/100/12)</f>
      </c>
      <c r="P207" s="0">
        <f>BR206*(1+Calculator!$D$25/100/12)</f>
      </c>
      <c r="Q207" s="0">
        <f>BS206*(1+Calculator!$D$26/100/12)</f>
      </c>
      <c r="R207" s="0">
        <f>BT206*(1+Calculator!$D$27/100/12)</f>
      </c>
      <c r="S207" s="0">
        <f>BU206*(1+Calculator!$D$28/100/12)</f>
      </c>
      <c r="T207" s="0">
        <f>MAX(0,B207-Calculator!$E$11)</f>
      </c>
      <c r="U207" s="0">
        <f>MAX(0,C207-Calculator!$E$12)</f>
      </c>
      <c r="V207" s="0">
        <f>MAX(0,D207-Calculator!$E$13)</f>
      </c>
      <c r="W207" s="0">
        <f>MAX(0,E207-Calculator!$E$14)</f>
      </c>
      <c r="X207" s="0">
        <f>MAX(0,F207-Calculator!$E$15)</f>
      </c>
      <c r="Y207" s="0">
        <f>MAX(0,G207-Calculator!$E$16)</f>
      </c>
      <c r="Z207" s="0">
        <f>MAX(0,H207-Calculator!$E$17)</f>
      </c>
      <c r="AA207" s="0">
        <f>MAX(0,I207-Calculator!$E$18)</f>
      </c>
      <c r="AB207" s="0">
        <f>MAX(0,J207-Calculator!$E$19)</f>
      </c>
      <c r="AC207" s="0">
        <f>MAX(0,K207-Calculator!$E$20)</f>
      </c>
      <c r="AD207" s="0">
        <f>MAX(0,L207-Calculator!$E$21)</f>
      </c>
      <c r="AE207" s="0">
        <f>MAX(0,M207-Calculator!$E$22)</f>
      </c>
      <c r="AF207" s="0">
        <f>MAX(0,N207-Calculator!$E$23)</f>
      </c>
      <c r="AG207" s="0">
        <f>MAX(0,O207-Calculator!$E$24)</f>
      </c>
      <c r="AH207" s="0">
        <f>MAX(0,P207-Calculator!$E$25)</f>
      </c>
      <c r="AI207" s="0">
        <f>MAX(0,Q207-Calculator!$E$26)</f>
      </c>
      <c r="AJ207" s="0">
        <f>MAX(0,R207-Calculator!$E$27)</f>
      </c>
      <c r="AK207" s="0">
        <f>MAX(0,S207-Calculator!$E$28)</f>
      </c>
      <c r="AL207" s="0">
        <f>MAX(0,MIN(T207,BX207-SUMPRODUCT(($T$2:$AK$2&lt;T$2)*($T207:$AK207))))</f>
      </c>
      <c r="AM207" s="0">
        <f>MAX(0,MIN(U207,BX207-SUMPRODUCT(($T$2:$AK$2&lt;U$2)*($T207:$AK207))))</f>
      </c>
      <c r="AN207" s="0">
        <f>MAX(0,MIN(V207,BX207-SUMPRODUCT(($T$2:$AK$2&lt;V$2)*($T207:$AK207))))</f>
      </c>
      <c r="AO207" s="0">
        <f>MAX(0,MIN(W207,BX207-SUMPRODUCT(($T$2:$AK$2&lt;W$2)*($T207:$AK207))))</f>
      </c>
      <c r="AP207" s="0">
        <f>MAX(0,MIN(X207,BX207-SUMPRODUCT(($T$2:$AK$2&lt;X$2)*($T207:$AK207))))</f>
      </c>
      <c r="AQ207" s="0">
        <f>MAX(0,MIN(Y207,BX207-SUMPRODUCT(($T$2:$AK$2&lt;Y$2)*($T207:$AK207))))</f>
      </c>
      <c r="AR207" s="0">
        <f>MAX(0,MIN(Z207,BX207-SUMPRODUCT(($T$2:$AK$2&lt;Z$2)*($T207:$AK207))))</f>
      </c>
      <c r="AS207" s="0">
        <f>MAX(0,MIN(AA207,BX207-SUMPRODUCT(($T$2:$AK$2&lt;AA$2)*($T207:$AK207))))</f>
      </c>
      <c r="AT207" s="0">
        <f>MAX(0,MIN(AB207,BX207-SUMPRODUCT(($T$2:$AK$2&lt;AB$2)*($T207:$AK207))))</f>
      </c>
      <c r="AU207" s="0">
        <f>MAX(0,MIN(AC207,BX207-SUMPRODUCT(($T$2:$AK$2&lt;AC$2)*($T207:$AK207))))</f>
      </c>
      <c r="AV207" s="0">
        <f>MAX(0,MIN(AD207,BX207-SUMPRODUCT(($T$2:$AK$2&lt;AD$2)*($T207:$AK207))))</f>
      </c>
      <c r="AW207" s="0">
        <f>MAX(0,MIN(AE207,BX207-SUMPRODUCT(($T$2:$AK$2&lt;AE$2)*($T207:$AK207))))</f>
      </c>
      <c r="AX207" s="0">
        <f>MAX(0,MIN(AF207,BX207-SUMPRODUCT(($T$2:$AK$2&lt;AF$2)*($T207:$AK207))))</f>
      </c>
      <c r="AY207" s="0">
        <f>MAX(0,MIN(AG207,BX207-SUMPRODUCT(($T$2:$AK$2&lt;AG$2)*($T207:$AK207))))</f>
      </c>
      <c r="AZ207" s="0">
        <f>MAX(0,MIN(AH207,BX207-SUMPRODUCT(($T$2:$AK$2&lt;AH$2)*($T207:$AK207))))</f>
      </c>
      <c r="BA207" s="0">
        <f>MAX(0,MIN(AI207,BX207-SUMPRODUCT(($T$2:$AK$2&lt;AI$2)*($T207:$AK207))))</f>
      </c>
      <c r="BB207" s="0">
        <f>MAX(0,MIN(AJ207,BX207-SUMPRODUCT(($T$2:$AK$2&lt;AJ$2)*($T207:$AK207))))</f>
      </c>
      <c r="BC207" s="0">
        <f>MAX(0,MIN(AK207,BX207-SUMPRODUCT(($T$2:$AK$2&lt;AK$2)*($T207:$AK207))))</f>
      </c>
      <c r="BD207" s="0">
        <f>T207-AL207</f>
      </c>
      <c r="BE207" s="0">
        <f>U207-AM207</f>
      </c>
      <c r="BF207" s="0">
        <f>V207-AN207</f>
      </c>
      <c r="BG207" s="0">
        <f>W207-AO207</f>
      </c>
      <c r="BH207" s="0">
        <f>X207-AP207</f>
      </c>
      <c r="BI207" s="0">
        <f>Y207-AQ207</f>
      </c>
      <c r="BJ207" s="0">
        <f>Z207-AR207</f>
      </c>
      <c r="BK207" s="0">
        <f>AA207-AS207</f>
      </c>
      <c r="BL207" s="0">
        <f>AB207-AT207</f>
      </c>
      <c r="BM207" s="0">
        <f>AC207-AU207</f>
      </c>
      <c r="BN207" s="0">
        <f>AD207-AV207</f>
      </c>
      <c r="BO207" s="0">
        <f>AE207-AW207</f>
      </c>
      <c r="BP207" s="0">
        <f>AF207-AX207</f>
      </c>
      <c r="BQ207" s="0">
        <f>AG207-AY207</f>
      </c>
      <c r="BR207" s="0">
        <f>AH207-AZ207</f>
      </c>
      <c r="BS207" s="0">
        <f>AI207-BA207</f>
      </c>
      <c r="BT207" s="0">
        <f>AJ207-BB207</f>
      </c>
      <c r="BU207" s="0">
        <f>AK207-BC207</f>
      </c>
      <c r="BV207" s="0">
        <f>SUM(B207:S207)</f>
      </c>
      <c r="BW207" s="0">
        <f>SUM(T207:AK207)</f>
      </c>
      <c r="BX207" s="0">
        <f>MAX(0,(SUM(Calculator!$E$11:$E$28)+Calculator!$C$6)-BV207+BW207)</f>
      </c>
      <c r="BY207" s="0">
        <f>SUM(BD207:BU207)</f>
      </c>
      <c r="BZ207" s="0">
        <f>BV207-BY206</f>
      </c>
      <c r="CA207" s="0">
        <f>IF(A207&lt;=IF($CD$1=0,999,$CD$1),BY207,NA())</f>
      </c>
      <c r="CB207" s="0">
        <f>IF(A207&lt;=IF($CD$1=0,999,$CD$1),A207,NA())</f>
      </c>
    </row>
    <row r="208">
      <c r="A208" s="0">
        <v>205</v>
      </c>
      <c r="B208" s="0">
        <f>BD207*(1+Calculator!$D$11/100/12)</f>
      </c>
      <c r="C208" s="0">
        <f>BE207*(1+Calculator!$D$12/100/12)</f>
      </c>
      <c r="D208" s="0">
        <f>BF207*(1+Calculator!$D$13/100/12)</f>
      </c>
      <c r="E208" s="0">
        <f>BG207*(1+Calculator!$D$14/100/12)</f>
      </c>
      <c r="F208" s="0">
        <f>BH207*(1+Calculator!$D$15/100/12)</f>
      </c>
      <c r="G208" s="0">
        <f>BI207*(1+Calculator!$D$16/100/12)</f>
      </c>
      <c r="H208" s="0">
        <f>BJ207*(1+Calculator!$D$17/100/12)</f>
      </c>
      <c r="I208" s="0">
        <f>BK207*(1+Calculator!$D$18/100/12)</f>
      </c>
      <c r="J208" s="0">
        <f>BL207*(1+Calculator!$D$19/100/12)</f>
      </c>
      <c r="K208" s="0">
        <f>BM207*(1+Calculator!$D$20/100/12)</f>
      </c>
      <c r="L208" s="0">
        <f>BN207*(1+Calculator!$D$21/100/12)</f>
      </c>
      <c r="M208" s="0">
        <f>BO207*(1+Calculator!$D$22/100/12)</f>
      </c>
      <c r="N208" s="0">
        <f>BP207*(1+Calculator!$D$23/100/12)</f>
      </c>
      <c r="O208" s="0">
        <f>BQ207*(1+Calculator!$D$24/100/12)</f>
      </c>
      <c r="P208" s="0">
        <f>BR207*(1+Calculator!$D$25/100/12)</f>
      </c>
      <c r="Q208" s="0">
        <f>BS207*(1+Calculator!$D$26/100/12)</f>
      </c>
      <c r="R208" s="0">
        <f>BT207*(1+Calculator!$D$27/100/12)</f>
      </c>
      <c r="S208" s="0">
        <f>BU207*(1+Calculator!$D$28/100/12)</f>
      </c>
      <c r="T208" s="0">
        <f>MAX(0,B208-Calculator!$E$11)</f>
      </c>
      <c r="U208" s="0">
        <f>MAX(0,C208-Calculator!$E$12)</f>
      </c>
      <c r="V208" s="0">
        <f>MAX(0,D208-Calculator!$E$13)</f>
      </c>
      <c r="W208" s="0">
        <f>MAX(0,E208-Calculator!$E$14)</f>
      </c>
      <c r="X208" s="0">
        <f>MAX(0,F208-Calculator!$E$15)</f>
      </c>
      <c r="Y208" s="0">
        <f>MAX(0,G208-Calculator!$E$16)</f>
      </c>
      <c r="Z208" s="0">
        <f>MAX(0,H208-Calculator!$E$17)</f>
      </c>
      <c r="AA208" s="0">
        <f>MAX(0,I208-Calculator!$E$18)</f>
      </c>
      <c r="AB208" s="0">
        <f>MAX(0,J208-Calculator!$E$19)</f>
      </c>
      <c r="AC208" s="0">
        <f>MAX(0,K208-Calculator!$E$20)</f>
      </c>
      <c r="AD208" s="0">
        <f>MAX(0,L208-Calculator!$E$21)</f>
      </c>
      <c r="AE208" s="0">
        <f>MAX(0,M208-Calculator!$E$22)</f>
      </c>
      <c r="AF208" s="0">
        <f>MAX(0,N208-Calculator!$E$23)</f>
      </c>
      <c r="AG208" s="0">
        <f>MAX(0,O208-Calculator!$E$24)</f>
      </c>
      <c r="AH208" s="0">
        <f>MAX(0,P208-Calculator!$E$25)</f>
      </c>
      <c r="AI208" s="0">
        <f>MAX(0,Q208-Calculator!$E$26)</f>
      </c>
      <c r="AJ208" s="0">
        <f>MAX(0,R208-Calculator!$E$27)</f>
      </c>
      <c r="AK208" s="0">
        <f>MAX(0,S208-Calculator!$E$28)</f>
      </c>
      <c r="AL208" s="0">
        <f>MAX(0,MIN(T208,BX208-SUMPRODUCT(($T$2:$AK$2&lt;T$2)*($T208:$AK208))))</f>
      </c>
      <c r="AM208" s="0">
        <f>MAX(0,MIN(U208,BX208-SUMPRODUCT(($T$2:$AK$2&lt;U$2)*($T208:$AK208))))</f>
      </c>
      <c r="AN208" s="0">
        <f>MAX(0,MIN(V208,BX208-SUMPRODUCT(($T$2:$AK$2&lt;V$2)*($T208:$AK208))))</f>
      </c>
      <c r="AO208" s="0">
        <f>MAX(0,MIN(W208,BX208-SUMPRODUCT(($T$2:$AK$2&lt;W$2)*($T208:$AK208))))</f>
      </c>
      <c r="AP208" s="0">
        <f>MAX(0,MIN(X208,BX208-SUMPRODUCT(($T$2:$AK$2&lt;X$2)*($T208:$AK208))))</f>
      </c>
      <c r="AQ208" s="0">
        <f>MAX(0,MIN(Y208,BX208-SUMPRODUCT(($T$2:$AK$2&lt;Y$2)*($T208:$AK208))))</f>
      </c>
      <c r="AR208" s="0">
        <f>MAX(0,MIN(Z208,BX208-SUMPRODUCT(($T$2:$AK$2&lt;Z$2)*($T208:$AK208))))</f>
      </c>
      <c r="AS208" s="0">
        <f>MAX(0,MIN(AA208,BX208-SUMPRODUCT(($T$2:$AK$2&lt;AA$2)*($T208:$AK208))))</f>
      </c>
      <c r="AT208" s="0">
        <f>MAX(0,MIN(AB208,BX208-SUMPRODUCT(($T$2:$AK$2&lt;AB$2)*($T208:$AK208))))</f>
      </c>
      <c r="AU208" s="0">
        <f>MAX(0,MIN(AC208,BX208-SUMPRODUCT(($T$2:$AK$2&lt;AC$2)*($T208:$AK208))))</f>
      </c>
      <c r="AV208" s="0">
        <f>MAX(0,MIN(AD208,BX208-SUMPRODUCT(($T$2:$AK$2&lt;AD$2)*($T208:$AK208))))</f>
      </c>
      <c r="AW208" s="0">
        <f>MAX(0,MIN(AE208,BX208-SUMPRODUCT(($T$2:$AK$2&lt;AE$2)*($T208:$AK208))))</f>
      </c>
      <c r="AX208" s="0">
        <f>MAX(0,MIN(AF208,BX208-SUMPRODUCT(($T$2:$AK$2&lt;AF$2)*($T208:$AK208))))</f>
      </c>
      <c r="AY208" s="0">
        <f>MAX(0,MIN(AG208,BX208-SUMPRODUCT(($T$2:$AK$2&lt;AG$2)*($T208:$AK208))))</f>
      </c>
      <c r="AZ208" s="0">
        <f>MAX(0,MIN(AH208,BX208-SUMPRODUCT(($T$2:$AK$2&lt;AH$2)*($T208:$AK208))))</f>
      </c>
      <c r="BA208" s="0">
        <f>MAX(0,MIN(AI208,BX208-SUMPRODUCT(($T$2:$AK$2&lt;AI$2)*($T208:$AK208))))</f>
      </c>
      <c r="BB208" s="0">
        <f>MAX(0,MIN(AJ208,BX208-SUMPRODUCT(($T$2:$AK$2&lt;AJ$2)*($T208:$AK208))))</f>
      </c>
      <c r="BC208" s="0">
        <f>MAX(0,MIN(AK208,BX208-SUMPRODUCT(($T$2:$AK$2&lt;AK$2)*($T208:$AK208))))</f>
      </c>
      <c r="BD208" s="0">
        <f>T208-AL208</f>
      </c>
      <c r="BE208" s="0">
        <f>U208-AM208</f>
      </c>
      <c r="BF208" s="0">
        <f>V208-AN208</f>
      </c>
      <c r="BG208" s="0">
        <f>W208-AO208</f>
      </c>
      <c r="BH208" s="0">
        <f>X208-AP208</f>
      </c>
      <c r="BI208" s="0">
        <f>Y208-AQ208</f>
      </c>
      <c r="BJ208" s="0">
        <f>Z208-AR208</f>
      </c>
      <c r="BK208" s="0">
        <f>AA208-AS208</f>
      </c>
      <c r="BL208" s="0">
        <f>AB208-AT208</f>
      </c>
      <c r="BM208" s="0">
        <f>AC208-AU208</f>
      </c>
      <c r="BN208" s="0">
        <f>AD208-AV208</f>
      </c>
      <c r="BO208" s="0">
        <f>AE208-AW208</f>
      </c>
      <c r="BP208" s="0">
        <f>AF208-AX208</f>
      </c>
      <c r="BQ208" s="0">
        <f>AG208-AY208</f>
      </c>
      <c r="BR208" s="0">
        <f>AH208-AZ208</f>
      </c>
      <c r="BS208" s="0">
        <f>AI208-BA208</f>
      </c>
      <c r="BT208" s="0">
        <f>AJ208-BB208</f>
      </c>
      <c r="BU208" s="0">
        <f>AK208-BC208</f>
      </c>
      <c r="BV208" s="0">
        <f>SUM(B208:S208)</f>
      </c>
      <c r="BW208" s="0">
        <f>SUM(T208:AK208)</f>
      </c>
      <c r="BX208" s="0">
        <f>MAX(0,(SUM(Calculator!$E$11:$E$28)+Calculator!$C$6)-BV208+BW208)</f>
      </c>
      <c r="BY208" s="0">
        <f>SUM(BD208:BU208)</f>
      </c>
      <c r="BZ208" s="0">
        <f>BV208-BY207</f>
      </c>
      <c r="CA208" s="0">
        <f>IF(A208&lt;=IF($CD$1=0,999,$CD$1),BY208,NA())</f>
      </c>
      <c r="CB208" s="0">
        <f>IF(A208&lt;=IF($CD$1=0,999,$CD$1),A208,NA())</f>
      </c>
    </row>
    <row r="209">
      <c r="A209" s="0">
        <v>206</v>
      </c>
      <c r="B209" s="0">
        <f>BD208*(1+Calculator!$D$11/100/12)</f>
      </c>
      <c r="C209" s="0">
        <f>BE208*(1+Calculator!$D$12/100/12)</f>
      </c>
      <c r="D209" s="0">
        <f>BF208*(1+Calculator!$D$13/100/12)</f>
      </c>
      <c r="E209" s="0">
        <f>BG208*(1+Calculator!$D$14/100/12)</f>
      </c>
      <c r="F209" s="0">
        <f>BH208*(1+Calculator!$D$15/100/12)</f>
      </c>
      <c r="G209" s="0">
        <f>BI208*(1+Calculator!$D$16/100/12)</f>
      </c>
      <c r="H209" s="0">
        <f>BJ208*(1+Calculator!$D$17/100/12)</f>
      </c>
      <c r="I209" s="0">
        <f>BK208*(1+Calculator!$D$18/100/12)</f>
      </c>
      <c r="J209" s="0">
        <f>BL208*(1+Calculator!$D$19/100/12)</f>
      </c>
      <c r="K209" s="0">
        <f>BM208*(1+Calculator!$D$20/100/12)</f>
      </c>
      <c r="L209" s="0">
        <f>BN208*(1+Calculator!$D$21/100/12)</f>
      </c>
      <c r="M209" s="0">
        <f>BO208*(1+Calculator!$D$22/100/12)</f>
      </c>
      <c r="N209" s="0">
        <f>BP208*(1+Calculator!$D$23/100/12)</f>
      </c>
      <c r="O209" s="0">
        <f>BQ208*(1+Calculator!$D$24/100/12)</f>
      </c>
      <c r="P209" s="0">
        <f>BR208*(1+Calculator!$D$25/100/12)</f>
      </c>
      <c r="Q209" s="0">
        <f>BS208*(1+Calculator!$D$26/100/12)</f>
      </c>
      <c r="R209" s="0">
        <f>BT208*(1+Calculator!$D$27/100/12)</f>
      </c>
      <c r="S209" s="0">
        <f>BU208*(1+Calculator!$D$28/100/12)</f>
      </c>
      <c r="T209" s="0">
        <f>MAX(0,B209-Calculator!$E$11)</f>
      </c>
      <c r="U209" s="0">
        <f>MAX(0,C209-Calculator!$E$12)</f>
      </c>
      <c r="V209" s="0">
        <f>MAX(0,D209-Calculator!$E$13)</f>
      </c>
      <c r="W209" s="0">
        <f>MAX(0,E209-Calculator!$E$14)</f>
      </c>
      <c r="X209" s="0">
        <f>MAX(0,F209-Calculator!$E$15)</f>
      </c>
      <c r="Y209" s="0">
        <f>MAX(0,G209-Calculator!$E$16)</f>
      </c>
      <c r="Z209" s="0">
        <f>MAX(0,H209-Calculator!$E$17)</f>
      </c>
      <c r="AA209" s="0">
        <f>MAX(0,I209-Calculator!$E$18)</f>
      </c>
      <c r="AB209" s="0">
        <f>MAX(0,J209-Calculator!$E$19)</f>
      </c>
      <c r="AC209" s="0">
        <f>MAX(0,K209-Calculator!$E$20)</f>
      </c>
      <c r="AD209" s="0">
        <f>MAX(0,L209-Calculator!$E$21)</f>
      </c>
      <c r="AE209" s="0">
        <f>MAX(0,M209-Calculator!$E$22)</f>
      </c>
      <c r="AF209" s="0">
        <f>MAX(0,N209-Calculator!$E$23)</f>
      </c>
      <c r="AG209" s="0">
        <f>MAX(0,O209-Calculator!$E$24)</f>
      </c>
      <c r="AH209" s="0">
        <f>MAX(0,P209-Calculator!$E$25)</f>
      </c>
      <c r="AI209" s="0">
        <f>MAX(0,Q209-Calculator!$E$26)</f>
      </c>
      <c r="AJ209" s="0">
        <f>MAX(0,R209-Calculator!$E$27)</f>
      </c>
      <c r="AK209" s="0">
        <f>MAX(0,S209-Calculator!$E$28)</f>
      </c>
      <c r="AL209" s="0">
        <f>MAX(0,MIN(T209,BX209-SUMPRODUCT(($T$2:$AK$2&lt;T$2)*($T209:$AK209))))</f>
      </c>
      <c r="AM209" s="0">
        <f>MAX(0,MIN(U209,BX209-SUMPRODUCT(($T$2:$AK$2&lt;U$2)*($T209:$AK209))))</f>
      </c>
      <c r="AN209" s="0">
        <f>MAX(0,MIN(V209,BX209-SUMPRODUCT(($T$2:$AK$2&lt;V$2)*($T209:$AK209))))</f>
      </c>
      <c r="AO209" s="0">
        <f>MAX(0,MIN(W209,BX209-SUMPRODUCT(($T$2:$AK$2&lt;W$2)*($T209:$AK209))))</f>
      </c>
      <c r="AP209" s="0">
        <f>MAX(0,MIN(X209,BX209-SUMPRODUCT(($T$2:$AK$2&lt;X$2)*($T209:$AK209))))</f>
      </c>
      <c r="AQ209" s="0">
        <f>MAX(0,MIN(Y209,BX209-SUMPRODUCT(($T$2:$AK$2&lt;Y$2)*($T209:$AK209))))</f>
      </c>
      <c r="AR209" s="0">
        <f>MAX(0,MIN(Z209,BX209-SUMPRODUCT(($T$2:$AK$2&lt;Z$2)*($T209:$AK209))))</f>
      </c>
      <c r="AS209" s="0">
        <f>MAX(0,MIN(AA209,BX209-SUMPRODUCT(($T$2:$AK$2&lt;AA$2)*($T209:$AK209))))</f>
      </c>
      <c r="AT209" s="0">
        <f>MAX(0,MIN(AB209,BX209-SUMPRODUCT(($T$2:$AK$2&lt;AB$2)*($T209:$AK209))))</f>
      </c>
      <c r="AU209" s="0">
        <f>MAX(0,MIN(AC209,BX209-SUMPRODUCT(($T$2:$AK$2&lt;AC$2)*($T209:$AK209))))</f>
      </c>
      <c r="AV209" s="0">
        <f>MAX(0,MIN(AD209,BX209-SUMPRODUCT(($T$2:$AK$2&lt;AD$2)*($T209:$AK209))))</f>
      </c>
      <c r="AW209" s="0">
        <f>MAX(0,MIN(AE209,BX209-SUMPRODUCT(($T$2:$AK$2&lt;AE$2)*($T209:$AK209))))</f>
      </c>
      <c r="AX209" s="0">
        <f>MAX(0,MIN(AF209,BX209-SUMPRODUCT(($T$2:$AK$2&lt;AF$2)*($T209:$AK209))))</f>
      </c>
      <c r="AY209" s="0">
        <f>MAX(0,MIN(AG209,BX209-SUMPRODUCT(($T$2:$AK$2&lt;AG$2)*($T209:$AK209))))</f>
      </c>
      <c r="AZ209" s="0">
        <f>MAX(0,MIN(AH209,BX209-SUMPRODUCT(($T$2:$AK$2&lt;AH$2)*($T209:$AK209))))</f>
      </c>
      <c r="BA209" s="0">
        <f>MAX(0,MIN(AI209,BX209-SUMPRODUCT(($T$2:$AK$2&lt;AI$2)*($T209:$AK209))))</f>
      </c>
      <c r="BB209" s="0">
        <f>MAX(0,MIN(AJ209,BX209-SUMPRODUCT(($T$2:$AK$2&lt;AJ$2)*($T209:$AK209))))</f>
      </c>
      <c r="BC209" s="0">
        <f>MAX(0,MIN(AK209,BX209-SUMPRODUCT(($T$2:$AK$2&lt;AK$2)*($T209:$AK209))))</f>
      </c>
      <c r="BD209" s="0">
        <f>T209-AL209</f>
      </c>
      <c r="BE209" s="0">
        <f>U209-AM209</f>
      </c>
      <c r="BF209" s="0">
        <f>V209-AN209</f>
      </c>
      <c r="BG209" s="0">
        <f>W209-AO209</f>
      </c>
      <c r="BH209" s="0">
        <f>X209-AP209</f>
      </c>
      <c r="BI209" s="0">
        <f>Y209-AQ209</f>
      </c>
      <c r="BJ209" s="0">
        <f>Z209-AR209</f>
      </c>
      <c r="BK209" s="0">
        <f>AA209-AS209</f>
      </c>
      <c r="BL209" s="0">
        <f>AB209-AT209</f>
      </c>
      <c r="BM209" s="0">
        <f>AC209-AU209</f>
      </c>
      <c r="BN209" s="0">
        <f>AD209-AV209</f>
      </c>
      <c r="BO209" s="0">
        <f>AE209-AW209</f>
      </c>
      <c r="BP209" s="0">
        <f>AF209-AX209</f>
      </c>
      <c r="BQ209" s="0">
        <f>AG209-AY209</f>
      </c>
      <c r="BR209" s="0">
        <f>AH209-AZ209</f>
      </c>
      <c r="BS209" s="0">
        <f>AI209-BA209</f>
      </c>
      <c r="BT209" s="0">
        <f>AJ209-BB209</f>
      </c>
      <c r="BU209" s="0">
        <f>AK209-BC209</f>
      </c>
      <c r="BV209" s="0">
        <f>SUM(B209:S209)</f>
      </c>
      <c r="BW209" s="0">
        <f>SUM(T209:AK209)</f>
      </c>
      <c r="BX209" s="0">
        <f>MAX(0,(SUM(Calculator!$E$11:$E$28)+Calculator!$C$6)-BV209+BW209)</f>
      </c>
      <c r="BY209" s="0">
        <f>SUM(BD209:BU209)</f>
      </c>
      <c r="BZ209" s="0">
        <f>BV209-BY208</f>
      </c>
      <c r="CA209" s="0">
        <f>IF(A209&lt;=IF($CD$1=0,999,$CD$1),BY209,NA())</f>
      </c>
      <c r="CB209" s="0">
        <f>IF(A209&lt;=IF($CD$1=0,999,$CD$1),A209,NA())</f>
      </c>
    </row>
    <row r="210">
      <c r="A210" s="0">
        <v>207</v>
      </c>
      <c r="B210" s="0">
        <f>BD209*(1+Calculator!$D$11/100/12)</f>
      </c>
      <c r="C210" s="0">
        <f>BE209*(1+Calculator!$D$12/100/12)</f>
      </c>
      <c r="D210" s="0">
        <f>BF209*(1+Calculator!$D$13/100/12)</f>
      </c>
      <c r="E210" s="0">
        <f>BG209*(1+Calculator!$D$14/100/12)</f>
      </c>
      <c r="F210" s="0">
        <f>BH209*(1+Calculator!$D$15/100/12)</f>
      </c>
      <c r="G210" s="0">
        <f>BI209*(1+Calculator!$D$16/100/12)</f>
      </c>
      <c r="H210" s="0">
        <f>BJ209*(1+Calculator!$D$17/100/12)</f>
      </c>
      <c r="I210" s="0">
        <f>BK209*(1+Calculator!$D$18/100/12)</f>
      </c>
      <c r="J210" s="0">
        <f>BL209*(1+Calculator!$D$19/100/12)</f>
      </c>
      <c r="K210" s="0">
        <f>BM209*(1+Calculator!$D$20/100/12)</f>
      </c>
      <c r="L210" s="0">
        <f>BN209*(1+Calculator!$D$21/100/12)</f>
      </c>
      <c r="M210" s="0">
        <f>BO209*(1+Calculator!$D$22/100/12)</f>
      </c>
      <c r="N210" s="0">
        <f>BP209*(1+Calculator!$D$23/100/12)</f>
      </c>
      <c r="O210" s="0">
        <f>BQ209*(1+Calculator!$D$24/100/12)</f>
      </c>
      <c r="P210" s="0">
        <f>BR209*(1+Calculator!$D$25/100/12)</f>
      </c>
      <c r="Q210" s="0">
        <f>BS209*(1+Calculator!$D$26/100/12)</f>
      </c>
      <c r="R210" s="0">
        <f>BT209*(1+Calculator!$D$27/100/12)</f>
      </c>
      <c r="S210" s="0">
        <f>BU209*(1+Calculator!$D$28/100/12)</f>
      </c>
      <c r="T210" s="0">
        <f>MAX(0,B210-Calculator!$E$11)</f>
      </c>
      <c r="U210" s="0">
        <f>MAX(0,C210-Calculator!$E$12)</f>
      </c>
      <c r="V210" s="0">
        <f>MAX(0,D210-Calculator!$E$13)</f>
      </c>
      <c r="W210" s="0">
        <f>MAX(0,E210-Calculator!$E$14)</f>
      </c>
      <c r="X210" s="0">
        <f>MAX(0,F210-Calculator!$E$15)</f>
      </c>
      <c r="Y210" s="0">
        <f>MAX(0,G210-Calculator!$E$16)</f>
      </c>
      <c r="Z210" s="0">
        <f>MAX(0,H210-Calculator!$E$17)</f>
      </c>
      <c r="AA210" s="0">
        <f>MAX(0,I210-Calculator!$E$18)</f>
      </c>
      <c r="AB210" s="0">
        <f>MAX(0,J210-Calculator!$E$19)</f>
      </c>
      <c r="AC210" s="0">
        <f>MAX(0,K210-Calculator!$E$20)</f>
      </c>
      <c r="AD210" s="0">
        <f>MAX(0,L210-Calculator!$E$21)</f>
      </c>
      <c r="AE210" s="0">
        <f>MAX(0,M210-Calculator!$E$22)</f>
      </c>
      <c r="AF210" s="0">
        <f>MAX(0,N210-Calculator!$E$23)</f>
      </c>
      <c r="AG210" s="0">
        <f>MAX(0,O210-Calculator!$E$24)</f>
      </c>
      <c r="AH210" s="0">
        <f>MAX(0,P210-Calculator!$E$25)</f>
      </c>
      <c r="AI210" s="0">
        <f>MAX(0,Q210-Calculator!$E$26)</f>
      </c>
      <c r="AJ210" s="0">
        <f>MAX(0,R210-Calculator!$E$27)</f>
      </c>
      <c r="AK210" s="0">
        <f>MAX(0,S210-Calculator!$E$28)</f>
      </c>
      <c r="AL210" s="0">
        <f>MAX(0,MIN(T210,BX210-SUMPRODUCT(($T$2:$AK$2&lt;T$2)*($T210:$AK210))))</f>
      </c>
      <c r="AM210" s="0">
        <f>MAX(0,MIN(U210,BX210-SUMPRODUCT(($T$2:$AK$2&lt;U$2)*($T210:$AK210))))</f>
      </c>
      <c r="AN210" s="0">
        <f>MAX(0,MIN(V210,BX210-SUMPRODUCT(($T$2:$AK$2&lt;V$2)*($T210:$AK210))))</f>
      </c>
      <c r="AO210" s="0">
        <f>MAX(0,MIN(W210,BX210-SUMPRODUCT(($T$2:$AK$2&lt;W$2)*($T210:$AK210))))</f>
      </c>
      <c r="AP210" s="0">
        <f>MAX(0,MIN(X210,BX210-SUMPRODUCT(($T$2:$AK$2&lt;X$2)*($T210:$AK210))))</f>
      </c>
      <c r="AQ210" s="0">
        <f>MAX(0,MIN(Y210,BX210-SUMPRODUCT(($T$2:$AK$2&lt;Y$2)*($T210:$AK210))))</f>
      </c>
      <c r="AR210" s="0">
        <f>MAX(0,MIN(Z210,BX210-SUMPRODUCT(($T$2:$AK$2&lt;Z$2)*($T210:$AK210))))</f>
      </c>
      <c r="AS210" s="0">
        <f>MAX(0,MIN(AA210,BX210-SUMPRODUCT(($T$2:$AK$2&lt;AA$2)*($T210:$AK210))))</f>
      </c>
      <c r="AT210" s="0">
        <f>MAX(0,MIN(AB210,BX210-SUMPRODUCT(($T$2:$AK$2&lt;AB$2)*($T210:$AK210))))</f>
      </c>
      <c r="AU210" s="0">
        <f>MAX(0,MIN(AC210,BX210-SUMPRODUCT(($T$2:$AK$2&lt;AC$2)*($T210:$AK210))))</f>
      </c>
      <c r="AV210" s="0">
        <f>MAX(0,MIN(AD210,BX210-SUMPRODUCT(($T$2:$AK$2&lt;AD$2)*($T210:$AK210))))</f>
      </c>
      <c r="AW210" s="0">
        <f>MAX(0,MIN(AE210,BX210-SUMPRODUCT(($T$2:$AK$2&lt;AE$2)*($T210:$AK210))))</f>
      </c>
      <c r="AX210" s="0">
        <f>MAX(0,MIN(AF210,BX210-SUMPRODUCT(($T$2:$AK$2&lt;AF$2)*($T210:$AK210))))</f>
      </c>
      <c r="AY210" s="0">
        <f>MAX(0,MIN(AG210,BX210-SUMPRODUCT(($T$2:$AK$2&lt;AG$2)*($T210:$AK210))))</f>
      </c>
      <c r="AZ210" s="0">
        <f>MAX(0,MIN(AH210,BX210-SUMPRODUCT(($T$2:$AK$2&lt;AH$2)*($T210:$AK210))))</f>
      </c>
      <c r="BA210" s="0">
        <f>MAX(0,MIN(AI210,BX210-SUMPRODUCT(($T$2:$AK$2&lt;AI$2)*($T210:$AK210))))</f>
      </c>
      <c r="BB210" s="0">
        <f>MAX(0,MIN(AJ210,BX210-SUMPRODUCT(($T$2:$AK$2&lt;AJ$2)*($T210:$AK210))))</f>
      </c>
      <c r="BC210" s="0">
        <f>MAX(0,MIN(AK210,BX210-SUMPRODUCT(($T$2:$AK$2&lt;AK$2)*($T210:$AK210))))</f>
      </c>
      <c r="BD210" s="0">
        <f>T210-AL210</f>
      </c>
      <c r="BE210" s="0">
        <f>U210-AM210</f>
      </c>
      <c r="BF210" s="0">
        <f>V210-AN210</f>
      </c>
      <c r="BG210" s="0">
        <f>W210-AO210</f>
      </c>
      <c r="BH210" s="0">
        <f>X210-AP210</f>
      </c>
      <c r="BI210" s="0">
        <f>Y210-AQ210</f>
      </c>
      <c r="BJ210" s="0">
        <f>Z210-AR210</f>
      </c>
      <c r="BK210" s="0">
        <f>AA210-AS210</f>
      </c>
      <c r="BL210" s="0">
        <f>AB210-AT210</f>
      </c>
      <c r="BM210" s="0">
        <f>AC210-AU210</f>
      </c>
      <c r="BN210" s="0">
        <f>AD210-AV210</f>
      </c>
      <c r="BO210" s="0">
        <f>AE210-AW210</f>
      </c>
      <c r="BP210" s="0">
        <f>AF210-AX210</f>
      </c>
      <c r="BQ210" s="0">
        <f>AG210-AY210</f>
      </c>
      <c r="BR210" s="0">
        <f>AH210-AZ210</f>
      </c>
      <c r="BS210" s="0">
        <f>AI210-BA210</f>
      </c>
      <c r="BT210" s="0">
        <f>AJ210-BB210</f>
      </c>
      <c r="BU210" s="0">
        <f>AK210-BC210</f>
      </c>
      <c r="BV210" s="0">
        <f>SUM(B210:S210)</f>
      </c>
      <c r="BW210" s="0">
        <f>SUM(T210:AK210)</f>
      </c>
      <c r="BX210" s="0">
        <f>MAX(0,(SUM(Calculator!$E$11:$E$28)+Calculator!$C$6)-BV210+BW210)</f>
      </c>
      <c r="BY210" s="0">
        <f>SUM(BD210:BU210)</f>
      </c>
      <c r="BZ210" s="0">
        <f>BV210-BY209</f>
      </c>
      <c r="CA210" s="0">
        <f>IF(A210&lt;=IF($CD$1=0,999,$CD$1),BY210,NA())</f>
      </c>
      <c r="CB210" s="0">
        <f>IF(A210&lt;=IF($CD$1=0,999,$CD$1),A210,NA())</f>
      </c>
    </row>
    <row r="211">
      <c r="A211" s="0">
        <v>208</v>
      </c>
      <c r="B211" s="0">
        <f>BD210*(1+Calculator!$D$11/100/12)</f>
      </c>
      <c r="C211" s="0">
        <f>BE210*(1+Calculator!$D$12/100/12)</f>
      </c>
      <c r="D211" s="0">
        <f>BF210*(1+Calculator!$D$13/100/12)</f>
      </c>
      <c r="E211" s="0">
        <f>BG210*(1+Calculator!$D$14/100/12)</f>
      </c>
      <c r="F211" s="0">
        <f>BH210*(1+Calculator!$D$15/100/12)</f>
      </c>
      <c r="G211" s="0">
        <f>BI210*(1+Calculator!$D$16/100/12)</f>
      </c>
      <c r="H211" s="0">
        <f>BJ210*(1+Calculator!$D$17/100/12)</f>
      </c>
      <c r="I211" s="0">
        <f>BK210*(1+Calculator!$D$18/100/12)</f>
      </c>
      <c r="J211" s="0">
        <f>BL210*(1+Calculator!$D$19/100/12)</f>
      </c>
      <c r="K211" s="0">
        <f>BM210*(1+Calculator!$D$20/100/12)</f>
      </c>
      <c r="L211" s="0">
        <f>BN210*(1+Calculator!$D$21/100/12)</f>
      </c>
      <c r="M211" s="0">
        <f>BO210*(1+Calculator!$D$22/100/12)</f>
      </c>
      <c r="N211" s="0">
        <f>BP210*(1+Calculator!$D$23/100/12)</f>
      </c>
      <c r="O211" s="0">
        <f>BQ210*(1+Calculator!$D$24/100/12)</f>
      </c>
      <c r="P211" s="0">
        <f>BR210*(1+Calculator!$D$25/100/12)</f>
      </c>
      <c r="Q211" s="0">
        <f>BS210*(1+Calculator!$D$26/100/12)</f>
      </c>
      <c r="R211" s="0">
        <f>BT210*(1+Calculator!$D$27/100/12)</f>
      </c>
      <c r="S211" s="0">
        <f>BU210*(1+Calculator!$D$28/100/12)</f>
      </c>
      <c r="T211" s="0">
        <f>MAX(0,B211-Calculator!$E$11)</f>
      </c>
      <c r="U211" s="0">
        <f>MAX(0,C211-Calculator!$E$12)</f>
      </c>
      <c r="V211" s="0">
        <f>MAX(0,D211-Calculator!$E$13)</f>
      </c>
      <c r="W211" s="0">
        <f>MAX(0,E211-Calculator!$E$14)</f>
      </c>
      <c r="X211" s="0">
        <f>MAX(0,F211-Calculator!$E$15)</f>
      </c>
      <c r="Y211" s="0">
        <f>MAX(0,G211-Calculator!$E$16)</f>
      </c>
      <c r="Z211" s="0">
        <f>MAX(0,H211-Calculator!$E$17)</f>
      </c>
      <c r="AA211" s="0">
        <f>MAX(0,I211-Calculator!$E$18)</f>
      </c>
      <c r="AB211" s="0">
        <f>MAX(0,J211-Calculator!$E$19)</f>
      </c>
      <c r="AC211" s="0">
        <f>MAX(0,K211-Calculator!$E$20)</f>
      </c>
      <c r="AD211" s="0">
        <f>MAX(0,L211-Calculator!$E$21)</f>
      </c>
      <c r="AE211" s="0">
        <f>MAX(0,M211-Calculator!$E$22)</f>
      </c>
      <c r="AF211" s="0">
        <f>MAX(0,N211-Calculator!$E$23)</f>
      </c>
      <c r="AG211" s="0">
        <f>MAX(0,O211-Calculator!$E$24)</f>
      </c>
      <c r="AH211" s="0">
        <f>MAX(0,P211-Calculator!$E$25)</f>
      </c>
      <c r="AI211" s="0">
        <f>MAX(0,Q211-Calculator!$E$26)</f>
      </c>
      <c r="AJ211" s="0">
        <f>MAX(0,R211-Calculator!$E$27)</f>
      </c>
      <c r="AK211" s="0">
        <f>MAX(0,S211-Calculator!$E$28)</f>
      </c>
      <c r="AL211" s="0">
        <f>MAX(0,MIN(T211,BX211-SUMPRODUCT(($T$2:$AK$2&lt;T$2)*($T211:$AK211))))</f>
      </c>
      <c r="AM211" s="0">
        <f>MAX(0,MIN(U211,BX211-SUMPRODUCT(($T$2:$AK$2&lt;U$2)*($T211:$AK211))))</f>
      </c>
      <c r="AN211" s="0">
        <f>MAX(0,MIN(V211,BX211-SUMPRODUCT(($T$2:$AK$2&lt;V$2)*($T211:$AK211))))</f>
      </c>
      <c r="AO211" s="0">
        <f>MAX(0,MIN(W211,BX211-SUMPRODUCT(($T$2:$AK$2&lt;W$2)*($T211:$AK211))))</f>
      </c>
      <c r="AP211" s="0">
        <f>MAX(0,MIN(X211,BX211-SUMPRODUCT(($T$2:$AK$2&lt;X$2)*($T211:$AK211))))</f>
      </c>
      <c r="AQ211" s="0">
        <f>MAX(0,MIN(Y211,BX211-SUMPRODUCT(($T$2:$AK$2&lt;Y$2)*($T211:$AK211))))</f>
      </c>
      <c r="AR211" s="0">
        <f>MAX(0,MIN(Z211,BX211-SUMPRODUCT(($T$2:$AK$2&lt;Z$2)*($T211:$AK211))))</f>
      </c>
      <c r="AS211" s="0">
        <f>MAX(0,MIN(AA211,BX211-SUMPRODUCT(($T$2:$AK$2&lt;AA$2)*($T211:$AK211))))</f>
      </c>
      <c r="AT211" s="0">
        <f>MAX(0,MIN(AB211,BX211-SUMPRODUCT(($T$2:$AK$2&lt;AB$2)*($T211:$AK211))))</f>
      </c>
      <c r="AU211" s="0">
        <f>MAX(0,MIN(AC211,BX211-SUMPRODUCT(($T$2:$AK$2&lt;AC$2)*($T211:$AK211))))</f>
      </c>
      <c r="AV211" s="0">
        <f>MAX(0,MIN(AD211,BX211-SUMPRODUCT(($T$2:$AK$2&lt;AD$2)*($T211:$AK211))))</f>
      </c>
      <c r="AW211" s="0">
        <f>MAX(0,MIN(AE211,BX211-SUMPRODUCT(($T$2:$AK$2&lt;AE$2)*($T211:$AK211))))</f>
      </c>
      <c r="AX211" s="0">
        <f>MAX(0,MIN(AF211,BX211-SUMPRODUCT(($T$2:$AK$2&lt;AF$2)*($T211:$AK211))))</f>
      </c>
      <c r="AY211" s="0">
        <f>MAX(0,MIN(AG211,BX211-SUMPRODUCT(($T$2:$AK$2&lt;AG$2)*($T211:$AK211))))</f>
      </c>
      <c r="AZ211" s="0">
        <f>MAX(0,MIN(AH211,BX211-SUMPRODUCT(($T$2:$AK$2&lt;AH$2)*($T211:$AK211))))</f>
      </c>
      <c r="BA211" s="0">
        <f>MAX(0,MIN(AI211,BX211-SUMPRODUCT(($T$2:$AK$2&lt;AI$2)*($T211:$AK211))))</f>
      </c>
      <c r="BB211" s="0">
        <f>MAX(0,MIN(AJ211,BX211-SUMPRODUCT(($T$2:$AK$2&lt;AJ$2)*($T211:$AK211))))</f>
      </c>
      <c r="BC211" s="0">
        <f>MAX(0,MIN(AK211,BX211-SUMPRODUCT(($T$2:$AK$2&lt;AK$2)*($T211:$AK211))))</f>
      </c>
      <c r="BD211" s="0">
        <f>T211-AL211</f>
      </c>
      <c r="BE211" s="0">
        <f>U211-AM211</f>
      </c>
      <c r="BF211" s="0">
        <f>V211-AN211</f>
      </c>
      <c r="BG211" s="0">
        <f>W211-AO211</f>
      </c>
      <c r="BH211" s="0">
        <f>X211-AP211</f>
      </c>
      <c r="BI211" s="0">
        <f>Y211-AQ211</f>
      </c>
      <c r="BJ211" s="0">
        <f>Z211-AR211</f>
      </c>
      <c r="BK211" s="0">
        <f>AA211-AS211</f>
      </c>
      <c r="BL211" s="0">
        <f>AB211-AT211</f>
      </c>
      <c r="BM211" s="0">
        <f>AC211-AU211</f>
      </c>
      <c r="BN211" s="0">
        <f>AD211-AV211</f>
      </c>
      <c r="BO211" s="0">
        <f>AE211-AW211</f>
      </c>
      <c r="BP211" s="0">
        <f>AF211-AX211</f>
      </c>
      <c r="BQ211" s="0">
        <f>AG211-AY211</f>
      </c>
      <c r="BR211" s="0">
        <f>AH211-AZ211</f>
      </c>
      <c r="BS211" s="0">
        <f>AI211-BA211</f>
      </c>
      <c r="BT211" s="0">
        <f>AJ211-BB211</f>
      </c>
      <c r="BU211" s="0">
        <f>AK211-BC211</f>
      </c>
      <c r="BV211" s="0">
        <f>SUM(B211:S211)</f>
      </c>
      <c r="BW211" s="0">
        <f>SUM(T211:AK211)</f>
      </c>
      <c r="BX211" s="0">
        <f>MAX(0,(SUM(Calculator!$E$11:$E$28)+Calculator!$C$6)-BV211+BW211)</f>
      </c>
      <c r="BY211" s="0">
        <f>SUM(BD211:BU211)</f>
      </c>
      <c r="BZ211" s="0">
        <f>BV211-BY210</f>
      </c>
      <c r="CA211" s="0">
        <f>IF(A211&lt;=IF($CD$1=0,999,$CD$1),BY211,NA())</f>
      </c>
      <c r="CB211" s="0">
        <f>IF(A211&lt;=IF($CD$1=0,999,$CD$1),A211,NA())</f>
      </c>
    </row>
    <row r="212">
      <c r="A212" s="0">
        <v>209</v>
      </c>
      <c r="B212" s="0">
        <f>BD211*(1+Calculator!$D$11/100/12)</f>
      </c>
      <c r="C212" s="0">
        <f>BE211*(1+Calculator!$D$12/100/12)</f>
      </c>
      <c r="D212" s="0">
        <f>BF211*(1+Calculator!$D$13/100/12)</f>
      </c>
      <c r="E212" s="0">
        <f>BG211*(1+Calculator!$D$14/100/12)</f>
      </c>
      <c r="F212" s="0">
        <f>BH211*(1+Calculator!$D$15/100/12)</f>
      </c>
      <c r="G212" s="0">
        <f>BI211*(1+Calculator!$D$16/100/12)</f>
      </c>
      <c r="H212" s="0">
        <f>BJ211*(1+Calculator!$D$17/100/12)</f>
      </c>
      <c r="I212" s="0">
        <f>BK211*(1+Calculator!$D$18/100/12)</f>
      </c>
      <c r="J212" s="0">
        <f>BL211*(1+Calculator!$D$19/100/12)</f>
      </c>
      <c r="K212" s="0">
        <f>BM211*(1+Calculator!$D$20/100/12)</f>
      </c>
      <c r="L212" s="0">
        <f>BN211*(1+Calculator!$D$21/100/12)</f>
      </c>
      <c r="M212" s="0">
        <f>BO211*(1+Calculator!$D$22/100/12)</f>
      </c>
      <c r="N212" s="0">
        <f>BP211*(1+Calculator!$D$23/100/12)</f>
      </c>
      <c r="O212" s="0">
        <f>BQ211*(1+Calculator!$D$24/100/12)</f>
      </c>
      <c r="P212" s="0">
        <f>BR211*(1+Calculator!$D$25/100/12)</f>
      </c>
      <c r="Q212" s="0">
        <f>BS211*(1+Calculator!$D$26/100/12)</f>
      </c>
      <c r="R212" s="0">
        <f>BT211*(1+Calculator!$D$27/100/12)</f>
      </c>
      <c r="S212" s="0">
        <f>BU211*(1+Calculator!$D$28/100/12)</f>
      </c>
      <c r="T212" s="0">
        <f>MAX(0,B212-Calculator!$E$11)</f>
      </c>
      <c r="U212" s="0">
        <f>MAX(0,C212-Calculator!$E$12)</f>
      </c>
      <c r="V212" s="0">
        <f>MAX(0,D212-Calculator!$E$13)</f>
      </c>
      <c r="W212" s="0">
        <f>MAX(0,E212-Calculator!$E$14)</f>
      </c>
      <c r="X212" s="0">
        <f>MAX(0,F212-Calculator!$E$15)</f>
      </c>
      <c r="Y212" s="0">
        <f>MAX(0,G212-Calculator!$E$16)</f>
      </c>
      <c r="Z212" s="0">
        <f>MAX(0,H212-Calculator!$E$17)</f>
      </c>
      <c r="AA212" s="0">
        <f>MAX(0,I212-Calculator!$E$18)</f>
      </c>
      <c r="AB212" s="0">
        <f>MAX(0,J212-Calculator!$E$19)</f>
      </c>
      <c r="AC212" s="0">
        <f>MAX(0,K212-Calculator!$E$20)</f>
      </c>
      <c r="AD212" s="0">
        <f>MAX(0,L212-Calculator!$E$21)</f>
      </c>
      <c r="AE212" s="0">
        <f>MAX(0,M212-Calculator!$E$22)</f>
      </c>
      <c r="AF212" s="0">
        <f>MAX(0,N212-Calculator!$E$23)</f>
      </c>
      <c r="AG212" s="0">
        <f>MAX(0,O212-Calculator!$E$24)</f>
      </c>
      <c r="AH212" s="0">
        <f>MAX(0,P212-Calculator!$E$25)</f>
      </c>
      <c r="AI212" s="0">
        <f>MAX(0,Q212-Calculator!$E$26)</f>
      </c>
      <c r="AJ212" s="0">
        <f>MAX(0,R212-Calculator!$E$27)</f>
      </c>
      <c r="AK212" s="0">
        <f>MAX(0,S212-Calculator!$E$28)</f>
      </c>
      <c r="AL212" s="0">
        <f>MAX(0,MIN(T212,BX212-SUMPRODUCT(($T$2:$AK$2&lt;T$2)*($T212:$AK212))))</f>
      </c>
      <c r="AM212" s="0">
        <f>MAX(0,MIN(U212,BX212-SUMPRODUCT(($T$2:$AK$2&lt;U$2)*($T212:$AK212))))</f>
      </c>
      <c r="AN212" s="0">
        <f>MAX(0,MIN(V212,BX212-SUMPRODUCT(($T$2:$AK$2&lt;V$2)*($T212:$AK212))))</f>
      </c>
      <c r="AO212" s="0">
        <f>MAX(0,MIN(W212,BX212-SUMPRODUCT(($T$2:$AK$2&lt;W$2)*($T212:$AK212))))</f>
      </c>
      <c r="AP212" s="0">
        <f>MAX(0,MIN(X212,BX212-SUMPRODUCT(($T$2:$AK$2&lt;X$2)*($T212:$AK212))))</f>
      </c>
      <c r="AQ212" s="0">
        <f>MAX(0,MIN(Y212,BX212-SUMPRODUCT(($T$2:$AK$2&lt;Y$2)*($T212:$AK212))))</f>
      </c>
      <c r="AR212" s="0">
        <f>MAX(0,MIN(Z212,BX212-SUMPRODUCT(($T$2:$AK$2&lt;Z$2)*($T212:$AK212))))</f>
      </c>
      <c r="AS212" s="0">
        <f>MAX(0,MIN(AA212,BX212-SUMPRODUCT(($T$2:$AK$2&lt;AA$2)*($T212:$AK212))))</f>
      </c>
      <c r="AT212" s="0">
        <f>MAX(0,MIN(AB212,BX212-SUMPRODUCT(($T$2:$AK$2&lt;AB$2)*($T212:$AK212))))</f>
      </c>
      <c r="AU212" s="0">
        <f>MAX(0,MIN(AC212,BX212-SUMPRODUCT(($T$2:$AK$2&lt;AC$2)*($T212:$AK212))))</f>
      </c>
      <c r="AV212" s="0">
        <f>MAX(0,MIN(AD212,BX212-SUMPRODUCT(($T$2:$AK$2&lt;AD$2)*($T212:$AK212))))</f>
      </c>
      <c r="AW212" s="0">
        <f>MAX(0,MIN(AE212,BX212-SUMPRODUCT(($T$2:$AK$2&lt;AE$2)*($T212:$AK212))))</f>
      </c>
      <c r="AX212" s="0">
        <f>MAX(0,MIN(AF212,BX212-SUMPRODUCT(($T$2:$AK$2&lt;AF$2)*($T212:$AK212))))</f>
      </c>
      <c r="AY212" s="0">
        <f>MAX(0,MIN(AG212,BX212-SUMPRODUCT(($T$2:$AK$2&lt;AG$2)*($T212:$AK212))))</f>
      </c>
      <c r="AZ212" s="0">
        <f>MAX(0,MIN(AH212,BX212-SUMPRODUCT(($T$2:$AK$2&lt;AH$2)*($T212:$AK212))))</f>
      </c>
      <c r="BA212" s="0">
        <f>MAX(0,MIN(AI212,BX212-SUMPRODUCT(($T$2:$AK$2&lt;AI$2)*($T212:$AK212))))</f>
      </c>
      <c r="BB212" s="0">
        <f>MAX(0,MIN(AJ212,BX212-SUMPRODUCT(($T$2:$AK$2&lt;AJ$2)*($T212:$AK212))))</f>
      </c>
      <c r="BC212" s="0">
        <f>MAX(0,MIN(AK212,BX212-SUMPRODUCT(($T$2:$AK$2&lt;AK$2)*($T212:$AK212))))</f>
      </c>
      <c r="BD212" s="0">
        <f>T212-AL212</f>
      </c>
      <c r="BE212" s="0">
        <f>U212-AM212</f>
      </c>
      <c r="BF212" s="0">
        <f>V212-AN212</f>
      </c>
      <c r="BG212" s="0">
        <f>W212-AO212</f>
      </c>
      <c r="BH212" s="0">
        <f>X212-AP212</f>
      </c>
      <c r="BI212" s="0">
        <f>Y212-AQ212</f>
      </c>
      <c r="BJ212" s="0">
        <f>Z212-AR212</f>
      </c>
      <c r="BK212" s="0">
        <f>AA212-AS212</f>
      </c>
      <c r="BL212" s="0">
        <f>AB212-AT212</f>
      </c>
      <c r="BM212" s="0">
        <f>AC212-AU212</f>
      </c>
      <c r="BN212" s="0">
        <f>AD212-AV212</f>
      </c>
      <c r="BO212" s="0">
        <f>AE212-AW212</f>
      </c>
      <c r="BP212" s="0">
        <f>AF212-AX212</f>
      </c>
      <c r="BQ212" s="0">
        <f>AG212-AY212</f>
      </c>
      <c r="BR212" s="0">
        <f>AH212-AZ212</f>
      </c>
      <c r="BS212" s="0">
        <f>AI212-BA212</f>
      </c>
      <c r="BT212" s="0">
        <f>AJ212-BB212</f>
      </c>
      <c r="BU212" s="0">
        <f>AK212-BC212</f>
      </c>
      <c r="BV212" s="0">
        <f>SUM(B212:S212)</f>
      </c>
      <c r="BW212" s="0">
        <f>SUM(T212:AK212)</f>
      </c>
      <c r="BX212" s="0">
        <f>MAX(0,(SUM(Calculator!$E$11:$E$28)+Calculator!$C$6)-BV212+BW212)</f>
      </c>
      <c r="BY212" s="0">
        <f>SUM(BD212:BU212)</f>
      </c>
      <c r="BZ212" s="0">
        <f>BV212-BY211</f>
      </c>
      <c r="CA212" s="0">
        <f>IF(A212&lt;=IF($CD$1=0,999,$CD$1),BY212,NA())</f>
      </c>
      <c r="CB212" s="0">
        <f>IF(A212&lt;=IF($CD$1=0,999,$CD$1),A212,NA())</f>
      </c>
    </row>
    <row r="213">
      <c r="A213" s="0">
        <v>210</v>
      </c>
      <c r="B213" s="0">
        <f>BD212*(1+Calculator!$D$11/100/12)</f>
      </c>
      <c r="C213" s="0">
        <f>BE212*(1+Calculator!$D$12/100/12)</f>
      </c>
      <c r="D213" s="0">
        <f>BF212*(1+Calculator!$D$13/100/12)</f>
      </c>
      <c r="E213" s="0">
        <f>BG212*(1+Calculator!$D$14/100/12)</f>
      </c>
      <c r="F213" s="0">
        <f>BH212*(1+Calculator!$D$15/100/12)</f>
      </c>
      <c r="G213" s="0">
        <f>BI212*(1+Calculator!$D$16/100/12)</f>
      </c>
      <c r="H213" s="0">
        <f>BJ212*(1+Calculator!$D$17/100/12)</f>
      </c>
      <c r="I213" s="0">
        <f>BK212*(1+Calculator!$D$18/100/12)</f>
      </c>
      <c r="J213" s="0">
        <f>BL212*(1+Calculator!$D$19/100/12)</f>
      </c>
      <c r="K213" s="0">
        <f>BM212*(1+Calculator!$D$20/100/12)</f>
      </c>
      <c r="L213" s="0">
        <f>BN212*(1+Calculator!$D$21/100/12)</f>
      </c>
      <c r="M213" s="0">
        <f>BO212*(1+Calculator!$D$22/100/12)</f>
      </c>
      <c r="N213" s="0">
        <f>BP212*(1+Calculator!$D$23/100/12)</f>
      </c>
      <c r="O213" s="0">
        <f>BQ212*(1+Calculator!$D$24/100/12)</f>
      </c>
      <c r="P213" s="0">
        <f>BR212*(1+Calculator!$D$25/100/12)</f>
      </c>
      <c r="Q213" s="0">
        <f>BS212*(1+Calculator!$D$26/100/12)</f>
      </c>
      <c r="R213" s="0">
        <f>BT212*(1+Calculator!$D$27/100/12)</f>
      </c>
      <c r="S213" s="0">
        <f>BU212*(1+Calculator!$D$28/100/12)</f>
      </c>
      <c r="T213" s="0">
        <f>MAX(0,B213-Calculator!$E$11)</f>
      </c>
      <c r="U213" s="0">
        <f>MAX(0,C213-Calculator!$E$12)</f>
      </c>
      <c r="V213" s="0">
        <f>MAX(0,D213-Calculator!$E$13)</f>
      </c>
      <c r="W213" s="0">
        <f>MAX(0,E213-Calculator!$E$14)</f>
      </c>
      <c r="X213" s="0">
        <f>MAX(0,F213-Calculator!$E$15)</f>
      </c>
      <c r="Y213" s="0">
        <f>MAX(0,G213-Calculator!$E$16)</f>
      </c>
      <c r="Z213" s="0">
        <f>MAX(0,H213-Calculator!$E$17)</f>
      </c>
      <c r="AA213" s="0">
        <f>MAX(0,I213-Calculator!$E$18)</f>
      </c>
      <c r="AB213" s="0">
        <f>MAX(0,J213-Calculator!$E$19)</f>
      </c>
      <c r="AC213" s="0">
        <f>MAX(0,K213-Calculator!$E$20)</f>
      </c>
      <c r="AD213" s="0">
        <f>MAX(0,L213-Calculator!$E$21)</f>
      </c>
      <c r="AE213" s="0">
        <f>MAX(0,M213-Calculator!$E$22)</f>
      </c>
      <c r="AF213" s="0">
        <f>MAX(0,N213-Calculator!$E$23)</f>
      </c>
      <c r="AG213" s="0">
        <f>MAX(0,O213-Calculator!$E$24)</f>
      </c>
      <c r="AH213" s="0">
        <f>MAX(0,P213-Calculator!$E$25)</f>
      </c>
      <c r="AI213" s="0">
        <f>MAX(0,Q213-Calculator!$E$26)</f>
      </c>
      <c r="AJ213" s="0">
        <f>MAX(0,R213-Calculator!$E$27)</f>
      </c>
      <c r="AK213" s="0">
        <f>MAX(0,S213-Calculator!$E$28)</f>
      </c>
      <c r="AL213" s="0">
        <f>MAX(0,MIN(T213,BX213-SUMPRODUCT(($T$2:$AK$2&lt;T$2)*($T213:$AK213))))</f>
      </c>
      <c r="AM213" s="0">
        <f>MAX(0,MIN(U213,BX213-SUMPRODUCT(($T$2:$AK$2&lt;U$2)*($T213:$AK213))))</f>
      </c>
      <c r="AN213" s="0">
        <f>MAX(0,MIN(V213,BX213-SUMPRODUCT(($T$2:$AK$2&lt;V$2)*($T213:$AK213))))</f>
      </c>
      <c r="AO213" s="0">
        <f>MAX(0,MIN(W213,BX213-SUMPRODUCT(($T$2:$AK$2&lt;W$2)*($T213:$AK213))))</f>
      </c>
      <c r="AP213" s="0">
        <f>MAX(0,MIN(X213,BX213-SUMPRODUCT(($T$2:$AK$2&lt;X$2)*($T213:$AK213))))</f>
      </c>
      <c r="AQ213" s="0">
        <f>MAX(0,MIN(Y213,BX213-SUMPRODUCT(($T$2:$AK$2&lt;Y$2)*($T213:$AK213))))</f>
      </c>
      <c r="AR213" s="0">
        <f>MAX(0,MIN(Z213,BX213-SUMPRODUCT(($T$2:$AK$2&lt;Z$2)*($T213:$AK213))))</f>
      </c>
      <c r="AS213" s="0">
        <f>MAX(0,MIN(AA213,BX213-SUMPRODUCT(($T$2:$AK$2&lt;AA$2)*($T213:$AK213))))</f>
      </c>
      <c r="AT213" s="0">
        <f>MAX(0,MIN(AB213,BX213-SUMPRODUCT(($T$2:$AK$2&lt;AB$2)*($T213:$AK213))))</f>
      </c>
      <c r="AU213" s="0">
        <f>MAX(0,MIN(AC213,BX213-SUMPRODUCT(($T$2:$AK$2&lt;AC$2)*($T213:$AK213))))</f>
      </c>
      <c r="AV213" s="0">
        <f>MAX(0,MIN(AD213,BX213-SUMPRODUCT(($T$2:$AK$2&lt;AD$2)*($T213:$AK213))))</f>
      </c>
      <c r="AW213" s="0">
        <f>MAX(0,MIN(AE213,BX213-SUMPRODUCT(($T$2:$AK$2&lt;AE$2)*($T213:$AK213))))</f>
      </c>
      <c r="AX213" s="0">
        <f>MAX(0,MIN(AF213,BX213-SUMPRODUCT(($T$2:$AK$2&lt;AF$2)*($T213:$AK213))))</f>
      </c>
      <c r="AY213" s="0">
        <f>MAX(0,MIN(AG213,BX213-SUMPRODUCT(($T$2:$AK$2&lt;AG$2)*($T213:$AK213))))</f>
      </c>
      <c r="AZ213" s="0">
        <f>MAX(0,MIN(AH213,BX213-SUMPRODUCT(($T$2:$AK$2&lt;AH$2)*($T213:$AK213))))</f>
      </c>
      <c r="BA213" s="0">
        <f>MAX(0,MIN(AI213,BX213-SUMPRODUCT(($T$2:$AK$2&lt;AI$2)*($T213:$AK213))))</f>
      </c>
      <c r="BB213" s="0">
        <f>MAX(0,MIN(AJ213,BX213-SUMPRODUCT(($T$2:$AK$2&lt;AJ$2)*($T213:$AK213))))</f>
      </c>
      <c r="BC213" s="0">
        <f>MAX(0,MIN(AK213,BX213-SUMPRODUCT(($T$2:$AK$2&lt;AK$2)*($T213:$AK213))))</f>
      </c>
      <c r="BD213" s="0">
        <f>T213-AL213</f>
      </c>
      <c r="BE213" s="0">
        <f>U213-AM213</f>
      </c>
      <c r="BF213" s="0">
        <f>V213-AN213</f>
      </c>
      <c r="BG213" s="0">
        <f>W213-AO213</f>
      </c>
      <c r="BH213" s="0">
        <f>X213-AP213</f>
      </c>
      <c r="BI213" s="0">
        <f>Y213-AQ213</f>
      </c>
      <c r="BJ213" s="0">
        <f>Z213-AR213</f>
      </c>
      <c r="BK213" s="0">
        <f>AA213-AS213</f>
      </c>
      <c r="BL213" s="0">
        <f>AB213-AT213</f>
      </c>
      <c r="BM213" s="0">
        <f>AC213-AU213</f>
      </c>
      <c r="BN213" s="0">
        <f>AD213-AV213</f>
      </c>
      <c r="BO213" s="0">
        <f>AE213-AW213</f>
      </c>
      <c r="BP213" s="0">
        <f>AF213-AX213</f>
      </c>
      <c r="BQ213" s="0">
        <f>AG213-AY213</f>
      </c>
      <c r="BR213" s="0">
        <f>AH213-AZ213</f>
      </c>
      <c r="BS213" s="0">
        <f>AI213-BA213</f>
      </c>
      <c r="BT213" s="0">
        <f>AJ213-BB213</f>
      </c>
      <c r="BU213" s="0">
        <f>AK213-BC213</f>
      </c>
      <c r="BV213" s="0">
        <f>SUM(B213:S213)</f>
      </c>
      <c r="BW213" s="0">
        <f>SUM(T213:AK213)</f>
      </c>
      <c r="BX213" s="0">
        <f>MAX(0,(SUM(Calculator!$E$11:$E$28)+Calculator!$C$6)-BV213+BW213)</f>
      </c>
      <c r="BY213" s="0">
        <f>SUM(BD213:BU213)</f>
      </c>
      <c r="BZ213" s="0">
        <f>BV213-BY212</f>
      </c>
      <c r="CA213" s="0">
        <f>IF(A213&lt;=IF($CD$1=0,999,$CD$1),BY213,NA())</f>
      </c>
      <c r="CB213" s="0">
        <f>IF(A213&lt;=IF($CD$1=0,999,$CD$1),A213,NA())</f>
      </c>
    </row>
    <row r="214">
      <c r="A214" s="0">
        <v>211</v>
      </c>
      <c r="B214" s="0">
        <f>BD213*(1+Calculator!$D$11/100/12)</f>
      </c>
      <c r="C214" s="0">
        <f>BE213*(1+Calculator!$D$12/100/12)</f>
      </c>
      <c r="D214" s="0">
        <f>BF213*(1+Calculator!$D$13/100/12)</f>
      </c>
      <c r="E214" s="0">
        <f>BG213*(1+Calculator!$D$14/100/12)</f>
      </c>
      <c r="F214" s="0">
        <f>BH213*(1+Calculator!$D$15/100/12)</f>
      </c>
      <c r="G214" s="0">
        <f>BI213*(1+Calculator!$D$16/100/12)</f>
      </c>
      <c r="H214" s="0">
        <f>BJ213*(1+Calculator!$D$17/100/12)</f>
      </c>
      <c r="I214" s="0">
        <f>BK213*(1+Calculator!$D$18/100/12)</f>
      </c>
      <c r="J214" s="0">
        <f>BL213*(1+Calculator!$D$19/100/12)</f>
      </c>
      <c r="K214" s="0">
        <f>BM213*(1+Calculator!$D$20/100/12)</f>
      </c>
      <c r="L214" s="0">
        <f>BN213*(1+Calculator!$D$21/100/12)</f>
      </c>
      <c r="M214" s="0">
        <f>BO213*(1+Calculator!$D$22/100/12)</f>
      </c>
      <c r="N214" s="0">
        <f>BP213*(1+Calculator!$D$23/100/12)</f>
      </c>
      <c r="O214" s="0">
        <f>BQ213*(1+Calculator!$D$24/100/12)</f>
      </c>
      <c r="P214" s="0">
        <f>BR213*(1+Calculator!$D$25/100/12)</f>
      </c>
      <c r="Q214" s="0">
        <f>BS213*(1+Calculator!$D$26/100/12)</f>
      </c>
      <c r="R214" s="0">
        <f>BT213*(1+Calculator!$D$27/100/12)</f>
      </c>
      <c r="S214" s="0">
        <f>BU213*(1+Calculator!$D$28/100/12)</f>
      </c>
      <c r="T214" s="0">
        <f>MAX(0,B214-Calculator!$E$11)</f>
      </c>
      <c r="U214" s="0">
        <f>MAX(0,C214-Calculator!$E$12)</f>
      </c>
      <c r="V214" s="0">
        <f>MAX(0,D214-Calculator!$E$13)</f>
      </c>
      <c r="W214" s="0">
        <f>MAX(0,E214-Calculator!$E$14)</f>
      </c>
      <c r="X214" s="0">
        <f>MAX(0,F214-Calculator!$E$15)</f>
      </c>
      <c r="Y214" s="0">
        <f>MAX(0,G214-Calculator!$E$16)</f>
      </c>
      <c r="Z214" s="0">
        <f>MAX(0,H214-Calculator!$E$17)</f>
      </c>
      <c r="AA214" s="0">
        <f>MAX(0,I214-Calculator!$E$18)</f>
      </c>
      <c r="AB214" s="0">
        <f>MAX(0,J214-Calculator!$E$19)</f>
      </c>
      <c r="AC214" s="0">
        <f>MAX(0,K214-Calculator!$E$20)</f>
      </c>
      <c r="AD214" s="0">
        <f>MAX(0,L214-Calculator!$E$21)</f>
      </c>
      <c r="AE214" s="0">
        <f>MAX(0,M214-Calculator!$E$22)</f>
      </c>
      <c r="AF214" s="0">
        <f>MAX(0,N214-Calculator!$E$23)</f>
      </c>
      <c r="AG214" s="0">
        <f>MAX(0,O214-Calculator!$E$24)</f>
      </c>
      <c r="AH214" s="0">
        <f>MAX(0,P214-Calculator!$E$25)</f>
      </c>
      <c r="AI214" s="0">
        <f>MAX(0,Q214-Calculator!$E$26)</f>
      </c>
      <c r="AJ214" s="0">
        <f>MAX(0,R214-Calculator!$E$27)</f>
      </c>
      <c r="AK214" s="0">
        <f>MAX(0,S214-Calculator!$E$28)</f>
      </c>
      <c r="AL214" s="0">
        <f>MAX(0,MIN(T214,BX214-SUMPRODUCT(($T$2:$AK$2&lt;T$2)*($T214:$AK214))))</f>
      </c>
      <c r="AM214" s="0">
        <f>MAX(0,MIN(U214,BX214-SUMPRODUCT(($T$2:$AK$2&lt;U$2)*($T214:$AK214))))</f>
      </c>
      <c r="AN214" s="0">
        <f>MAX(0,MIN(V214,BX214-SUMPRODUCT(($T$2:$AK$2&lt;V$2)*($T214:$AK214))))</f>
      </c>
      <c r="AO214" s="0">
        <f>MAX(0,MIN(W214,BX214-SUMPRODUCT(($T$2:$AK$2&lt;W$2)*($T214:$AK214))))</f>
      </c>
      <c r="AP214" s="0">
        <f>MAX(0,MIN(X214,BX214-SUMPRODUCT(($T$2:$AK$2&lt;X$2)*($T214:$AK214))))</f>
      </c>
      <c r="AQ214" s="0">
        <f>MAX(0,MIN(Y214,BX214-SUMPRODUCT(($T$2:$AK$2&lt;Y$2)*($T214:$AK214))))</f>
      </c>
      <c r="AR214" s="0">
        <f>MAX(0,MIN(Z214,BX214-SUMPRODUCT(($T$2:$AK$2&lt;Z$2)*($T214:$AK214))))</f>
      </c>
      <c r="AS214" s="0">
        <f>MAX(0,MIN(AA214,BX214-SUMPRODUCT(($T$2:$AK$2&lt;AA$2)*($T214:$AK214))))</f>
      </c>
      <c r="AT214" s="0">
        <f>MAX(0,MIN(AB214,BX214-SUMPRODUCT(($T$2:$AK$2&lt;AB$2)*($T214:$AK214))))</f>
      </c>
      <c r="AU214" s="0">
        <f>MAX(0,MIN(AC214,BX214-SUMPRODUCT(($T$2:$AK$2&lt;AC$2)*($T214:$AK214))))</f>
      </c>
      <c r="AV214" s="0">
        <f>MAX(0,MIN(AD214,BX214-SUMPRODUCT(($T$2:$AK$2&lt;AD$2)*($T214:$AK214))))</f>
      </c>
      <c r="AW214" s="0">
        <f>MAX(0,MIN(AE214,BX214-SUMPRODUCT(($T$2:$AK$2&lt;AE$2)*($T214:$AK214))))</f>
      </c>
      <c r="AX214" s="0">
        <f>MAX(0,MIN(AF214,BX214-SUMPRODUCT(($T$2:$AK$2&lt;AF$2)*($T214:$AK214))))</f>
      </c>
      <c r="AY214" s="0">
        <f>MAX(0,MIN(AG214,BX214-SUMPRODUCT(($T$2:$AK$2&lt;AG$2)*($T214:$AK214))))</f>
      </c>
      <c r="AZ214" s="0">
        <f>MAX(0,MIN(AH214,BX214-SUMPRODUCT(($T$2:$AK$2&lt;AH$2)*($T214:$AK214))))</f>
      </c>
      <c r="BA214" s="0">
        <f>MAX(0,MIN(AI214,BX214-SUMPRODUCT(($T$2:$AK$2&lt;AI$2)*($T214:$AK214))))</f>
      </c>
      <c r="BB214" s="0">
        <f>MAX(0,MIN(AJ214,BX214-SUMPRODUCT(($T$2:$AK$2&lt;AJ$2)*($T214:$AK214))))</f>
      </c>
      <c r="BC214" s="0">
        <f>MAX(0,MIN(AK214,BX214-SUMPRODUCT(($T$2:$AK$2&lt;AK$2)*($T214:$AK214))))</f>
      </c>
      <c r="BD214" s="0">
        <f>T214-AL214</f>
      </c>
      <c r="BE214" s="0">
        <f>U214-AM214</f>
      </c>
      <c r="BF214" s="0">
        <f>V214-AN214</f>
      </c>
      <c r="BG214" s="0">
        <f>W214-AO214</f>
      </c>
      <c r="BH214" s="0">
        <f>X214-AP214</f>
      </c>
      <c r="BI214" s="0">
        <f>Y214-AQ214</f>
      </c>
      <c r="BJ214" s="0">
        <f>Z214-AR214</f>
      </c>
      <c r="BK214" s="0">
        <f>AA214-AS214</f>
      </c>
      <c r="BL214" s="0">
        <f>AB214-AT214</f>
      </c>
      <c r="BM214" s="0">
        <f>AC214-AU214</f>
      </c>
      <c r="BN214" s="0">
        <f>AD214-AV214</f>
      </c>
      <c r="BO214" s="0">
        <f>AE214-AW214</f>
      </c>
      <c r="BP214" s="0">
        <f>AF214-AX214</f>
      </c>
      <c r="BQ214" s="0">
        <f>AG214-AY214</f>
      </c>
      <c r="BR214" s="0">
        <f>AH214-AZ214</f>
      </c>
      <c r="BS214" s="0">
        <f>AI214-BA214</f>
      </c>
      <c r="BT214" s="0">
        <f>AJ214-BB214</f>
      </c>
      <c r="BU214" s="0">
        <f>AK214-BC214</f>
      </c>
      <c r="BV214" s="0">
        <f>SUM(B214:S214)</f>
      </c>
      <c r="BW214" s="0">
        <f>SUM(T214:AK214)</f>
      </c>
      <c r="BX214" s="0">
        <f>MAX(0,(SUM(Calculator!$E$11:$E$28)+Calculator!$C$6)-BV214+BW214)</f>
      </c>
      <c r="BY214" s="0">
        <f>SUM(BD214:BU214)</f>
      </c>
      <c r="BZ214" s="0">
        <f>BV214-BY213</f>
      </c>
      <c r="CA214" s="0">
        <f>IF(A214&lt;=IF($CD$1=0,999,$CD$1),BY214,NA())</f>
      </c>
      <c r="CB214" s="0">
        <f>IF(A214&lt;=IF($CD$1=0,999,$CD$1),A214,NA())</f>
      </c>
    </row>
    <row r="215">
      <c r="A215" s="0">
        <v>212</v>
      </c>
      <c r="B215" s="0">
        <f>BD214*(1+Calculator!$D$11/100/12)</f>
      </c>
      <c r="C215" s="0">
        <f>BE214*(1+Calculator!$D$12/100/12)</f>
      </c>
      <c r="D215" s="0">
        <f>BF214*(1+Calculator!$D$13/100/12)</f>
      </c>
      <c r="E215" s="0">
        <f>BG214*(1+Calculator!$D$14/100/12)</f>
      </c>
      <c r="F215" s="0">
        <f>BH214*(1+Calculator!$D$15/100/12)</f>
      </c>
      <c r="G215" s="0">
        <f>BI214*(1+Calculator!$D$16/100/12)</f>
      </c>
      <c r="H215" s="0">
        <f>BJ214*(1+Calculator!$D$17/100/12)</f>
      </c>
      <c r="I215" s="0">
        <f>BK214*(1+Calculator!$D$18/100/12)</f>
      </c>
      <c r="J215" s="0">
        <f>BL214*(1+Calculator!$D$19/100/12)</f>
      </c>
      <c r="K215" s="0">
        <f>BM214*(1+Calculator!$D$20/100/12)</f>
      </c>
      <c r="L215" s="0">
        <f>BN214*(1+Calculator!$D$21/100/12)</f>
      </c>
      <c r="M215" s="0">
        <f>BO214*(1+Calculator!$D$22/100/12)</f>
      </c>
      <c r="N215" s="0">
        <f>BP214*(1+Calculator!$D$23/100/12)</f>
      </c>
      <c r="O215" s="0">
        <f>BQ214*(1+Calculator!$D$24/100/12)</f>
      </c>
      <c r="P215" s="0">
        <f>BR214*(1+Calculator!$D$25/100/12)</f>
      </c>
      <c r="Q215" s="0">
        <f>BS214*(1+Calculator!$D$26/100/12)</f>
      </c>
      <c r="R215" s="0">
        <f>BT214*(1+Calculator!$D$27/100/12)</f>
      </c>
      <c r="S215" s="0">
        <f>BU214*(1+Calculator!$D$28/100/12)</f>
      </c>
      <c r="T215" s="0">
        <f>MAX(0,B215-Calculator!$E$11)</f>
      </c>
      <c r="U215" s="0">
        <f>MAX(0,C215-Calculator!$E$12)</f>
      </c>
      <c r="V215" s="0">
        <f>MAX(0,D215-Calculator!$E$13)</f>
      </c>
      <c r="W215" s="0">
        <f>MAX(0,E215-Calculator!$E$14)</f>
      </c>
      <c r="X215" s="0">
        <f>MAX(0,F215-Calculator!$E$15)</f>
      </c>
      <c r="Y215" s="0">
        <f>MAX(0,G215-Calculator!$E$16)</f>
      </c>
      <c r="Z215" s="0">
        <f>MAX(0,H215-Calculator!$E$17)</f>
      </c>
      <c r="AA215" s="0">
        <f>MAX(0,I215-Calculator!$E$18)</f>
      </c>
      <c r="AB215" s="0">
        <f>MAX(0,J215-Calculator!$E$19)</f>
      </c>
      <c r="AC215" s="0">
        <f>MAX(0,K215-Calculator!$E$20)</f>
      </c>
      <c r="AD215" s="0">
        <f>MAX(0,L215-Calculator!$E$21)</f>
      </c>
      <c r="AE215" s="0">
        <f>MAX(0,M215-Calculator!$E$22)</f>
      </c>
      <c r="AF215" s="0">
        <f>MAX(0,N215-Calculator!$E$23)</f>
      </c>
      <c r="AG215" s="0">
        <f>MAX(0,O215-Calculator!$E$24)</f>
      </c>
      <c r="AH215" s="0">
        <f>MAX(0,P215-Calculator!$E$25)</f>
      </c>
      <c r="AI215" s="0">
        <f>MAX(0,Q215-Calculator!$E$26)</f>
      </c>
      <c r="AJ215" s="0">
        <f>MAX(0,R215-Calculator!$E$27)</f>
      </c>
      <c r="AK215" s="0">
        <f>MAX(0,S215-Calculator!$E$28)</f>
      </c>
      <c r="AL215" s="0">
        <f>MAX(0,MIN(T215,BX215-SUMPRODUCT(($T$2:$AK$2&lt;T$2)*($T215:$AK215))))</f>
      </c>
      <c r="AM215" s="0">
        <f>MAX(0,MIN(U215,BX215-SUMPRODUCT(($T$2:$AK$2&lt;U$2)*($T215:$AK215))))</f>
      </c>
      <c r="AN215" s="0">
        <f>MAX(0,MIN(V215,BX215-SUMPRODUCT(($T$2:$AK$2&lt;V$2)*($T215:$AK215))))</f>
      </c>
      <c r="AO215" s="0">
        <f>MAX(0,MIN(W215,BX215-SUMPRODUCT(($T$2:$AK$2&lt;W$2)*($T215:$AK215))))</f>
      </c>
      <c r="AP215" s="0">
        <f>MAX(0,MIN(X215,BX215-SUMPRODUCT(($T$2:$AK$2&lt;X$2)*($T215:$AK215))))</f>
      </c>
      <c r="AQ215" s="0">
        <f>MAX(0,MIN(Y215,BX215-SUMPRODUCT(($T$2:$AK$2&lt;Y$2)*($T215:$AK215))))</f>
      </c>
      <c r="AR215" s="0">
        <f>MAX(0,MIN(Z215,BX215-SUMPRODUCT(($T$2:$AK$2&lt;Z$2)*($T215:$AK215))))</f>
      </c>
      <c r="AS215" s="0">
        <f>MAX(0,MIN(AA215,BX215-SUMPRODUCT(($T$2:$AK$2&lt;AA$2)*($T215:$AK215))))</f>
      </c>
      <c r="AT215" s="0">
        <f>MAX(0,MIN(AB215,BX215-SUMPRODUCT(($T$2:$AK$2&lt;AB$2)*($T215:$AK215))))</f>
      </c>
      <c r="AU215" s="0">
        <f>MAX(0,MIN(AC215,BX215-SUMPRODUCT(($T$2:$AK$2&lt;AC$2)*($T215:$AK215))))</f>
      </c>
      <c r="AV215" s="0">
        <f>MAX(0,MIN(AD215,BX215-SUMPRODUCT(($T$2:$AK$2&lt;AD$2)*($T215:$AK215))))</f>
      </c>
      <c r="AW215" s="0">
        <f>MAX(0,MIN(AE215,BX215-SUMPRODUCT(($T$2:$AK$2&lt;AE$2)*($T215:$AK215))))</f>
      </c>
      <c r="AX215" s="0">
        <f>MAX(0,MIN(AF215,BX215-SUMPRODUCT(($T$2:$AK$2&lt;AF$2)*($T215:$AK215))))</f>
      </c>
      <c r="AY215" s="0">
        <f>MAX(0,MIN(AG215,BX215-SUMPRODUCT(($T$2:$AK$2&lt;AG$2)*($T215:$AK215))))</f>
      </c>
      <c r="AZ215" s="0">
        <f>MAX(0,MIN(AH215,BX215-SUMPRODUCT(($T$2:$AK$2&lt;AH$2)*($T215:$AK215))))</f>
      </c>
      <c r="BA215" s="0">
        <f>MAX(0,MIN(AI215,BX215-SUMPRODUCT(($T$2:$AK$2&lt;AI$2)*($T215:$AK215))))</f>
      </c>
      <c r="BB215" s="0">
        <f>MAX(0,MIN(AJ215,BX215-SUMPRODUCT(($T$2:$AK$2&lt;AJ$2)*($T215:$AK215))))</f>
      </c>
      <c r="BC215" s="0">
        <f>MAX(0,MIN(AK215,BX215-SUMPRODUCT(($T$2:$AK$2&lt;AK$2)*($T215:$AK215))))</f>
      </c>
      <c r="BD215" s="0">
        <f>T215-AL215</f>
      </c>
      <c r="BE215" s="0">
        <f>U215-AM215</f>
      </c>
      <c r="BF215" s="0">
        <f>V215-AN215</f>
      </c>
      <c r="BG215" s="0">
        <f>W215-AO215</f>
      </c>
      <c r="BH215" s="0">
        <f>X215-AP215</f>
      </c>
      <c r="BI215" s="0">
        <f>Y215-AQ215</f>
      </c>
      <c r="BJ215" s="0">
        <f>Z215-AR215</f>
      </c>
      <c r="BK215" s="0">
        <f>AA215-AS215</f>
      </c>
      <c r="BL215" s="0">
        <f>AB215-AT215</f>
      </c>
      <c r="BM215" s="0">
        <f>AC215-AU215</f>
      </c>
      <c r="BN215" s="0">
        <f>AD215-AV215</f>
      </c>
      <c r="BO215" s="0">
        <f>AE215-AW215</f>
      </c>
      <c r="BP215" s="0">
        <f>AF215-AX215</f>
      </c>
      <c r="BQ215" s="0">
        <f>AG215-AY215</f>
      </c>
      <c r="BR215" s="0">
        <f>AH215-AZ215</f>
      </c>
      <c r="BS215" s="0">
        <f>AI215-BA215</f>
      </c>
      <c r="BT215" s="0">
        <f>AJ215-BB215</f>
      </c>
      <c r="BU215" s="0">
        <f>AK215-BC215</f>
      </c>
      <c r="BV215" s="0">
        <f>SUM(B215:S215)</f>
      </c>
      <c r="BW215" s="0">
        <f>SUM(T215:AK215)</f>
      </c>
      <c r="BX215" s="0">
        <f>MAX(0,(SUM(Calculator!$E$11:$E$28)+Calculator!$C$6)-BV215+BW215)</f>
      </c>
      <c r="BY215" s="0">
        <f>SUM(BD215:BU215)</f>
      </c>
      <c r="BZ215" s="0">
        <f>BV215-BY214</f>
      </c>
      <c r="CA215" s="0">
        <f>IF(A215&lt;=IF($CD$1=0,999,$CD$1),BY215,NA())</f>
      </c>
      <c r="CB215" s="0">
        <f>IF(A215&lt;=IF($CD$1=0,999,$CD$1),A215,NA())</f>
      </c>
    </row>
    <row r="216">
      <c r="A216" s="0">
        <v>213</v>
      </c>
      <c r="B216" s="0">
        <f>BD215*(1+Calculator!$D$11/100/12)</f>
      </c>
      <c r="C216" s="0">
        <f>BE215*(1+Calculator!$D$12/100/12)</f>
      </c>
      <c r="D216" s="0">
        <f>BF215*(1+Calculator!$D$13/100/12)</f>
      </c>
      <c r="E216" s="0">
        <f>BG215*(1+Calculator!$D$14/100/12)</f>
      </c>
      <c r="F216" s="0">
        <f>BH215*(1+Calculator!$D$15/100/12)</f>
      </c>
      <c r="G216" s="0">
        <f>BI215*(1+Calculator!$D$16/100/12)</f>
      </c>
      <c r="H216" s="0">
        <f>BJ215*(1+Calculator!$D$17/100/12)</f>
      </c>
      <c r="I216" s="0">
        <f>BK215*(1+Calculator!$D$18/100/12)</f>
      </c>
      <c r="J216" s="0">
        <f>BL215*(1+Calculator!$D$19/100/12)</f>
      </c>
      <c r="K216" s="0">
        <f>BM215*(1+Calculator!$D$20/100/12)</f>
      </c>
      <c r="L216" s="0">
        <f>BN215*(1+Calculator!$D$21/100/12)</f>
      </c>
      <c r="M216" s="0">
        <f>BO215*(1+Calculator!$D$22/100/12)</f>
      </c>
      <c r="N216" s="0">
        <f>BP215*(1+Calculator!$D$23/100/12)</f>
      </c>
      <c r="O216" s="0">
        <f>BQ215*(1+Calculator!$D$24/100/12)</f>
      </c>
      <c r="P216" s="0">
        <f>BR215*(1+Calculator!$D$25/100/12)</f>
      </c>
      <c r="Q216" s="0">
        <f>BS215*(1+Calculator!$D$26/100/12)</f>
      </c>
      <c r="R216" s="0">
        <f>BT215*(1+Calculator!$D$27/100/12)</f>
      </c>
      <c r="S216" s="0">
        <f>BU215*(1+Calculator!$D$28/100/12)</f>
      </c>
      <c r="T216" s="0">
        <f>MAX(0,B216-Calculator!$E$11)</f>
      </c>
      <c r="U216" s="0">
        <f>MAX(0,C216-Calculator!$E$12)</f>
      </c>
      <c r="V216" s="0">
        <f>MAX(0,D216-Calculator!$E$13)</f>
      </c>
      <c r="W216" s="0">
        <f>MAX(0,E216-Calculator!$E$14)</f>
      </c>
      <c r="X216" s="0">
        <f>MAX(0,F216-Calculator!$E$15)</f>
      </c>
      <c r="Y216" s="0">
        <f>MAX(0,G216-Calculator!$E$16)</f>
      </c>
      <c r="Z216" s="0">
        <f>MAX(0,H216-Calculator!$E$17)</f>
      </c>
      <c r="AA216" s="0">
        <f>MAX(0,I216-Calculator!$E$18)</f>
      </c>
      <c r="AB216" s="0">
        <f>MAX(0,J216-Calculator!$E$19)</f>
      </c>
      <c r="AC216" s="0">
        <f>MAX(0,K216-Calculator!$E$20)</f>
      </c>
      <c r="AD216" s="0">
        <f>MAX(0,L216-Calculator!$E$21)</f>
      </c>
      <c r="AE216" s="0">
        <f>MAX(0,M216-Calculator!$E$22)</f>
      </c>
      <c r="AF216" s="0">
        <f>MAX(0,N216-Calculator!$E$23)</f>
      </c>
      <c r="AG216" s="0">
        <f>MAX(0,O216-Calculator!$E$24)</f>
      </c>
      <c r="AH216" s="0">
        <f>MAX(0,P216-Calculator!$E$25)</f>
      </c>
      <c r="AI216" s="0">
        <f>MAX(0,Q216-Calculator!$E$26)</f>
      </c>
      <c r="AJ216" s="0">
        <f>MAX(0,R216-Calculator!$E$27)</f>
      </c>
      <c r="AK216" s="0">
        <f>MAX(0,S216-Calculator!$E$28)</f>
      </c>
      <c r="AL216" s="0">
        <f>MAX(0,MIN(T216,BX216-SUMPRODUCT(($T$2:$AK$2&lt;T$2)*($T216:$AK216))))</f>
      </c>
      <c r="AM216" s="0">
        <f>MAX(0,MIN(U216,BX216-SUMPRODUCT(($T$2:$AK$2&lt;U$2)*($T216:$AK216))))</f>
      </c>
      <c r="AN216" s="0">
        <f>MAX(0,MIN(V216,BX216-SUMPRODUCT(($T$2:$AK$2&lt;V$2)*($T216:$AK216))))</f>
      </c>
      <c r="AO216" s="0">
        <f>MAX(0,MIN(W216,BX216-SUMPRODUCT(($T$2:$AK$2&lt;W$2)*($T216:$AK216))))</f>
      </c>
      <c r="AP216" s="0">
        <f>MAX(0,MIN(X216,BX216-SUMPRODUCT(($T$2:$AK$2&lt;X$2)*($T216:$AK216))))</f>
      </c>
      <c r="AQ216" s="0">
        <f>MAX(0,MIN(Y216,BX216-SUMPRODUCT(($T$2:$AK$2&lt;Y$2)*($T216:$AK216))))</f>
      </c>
      <c r="AR216" s="0">
        <f>MAX(0,MIN(Z216,BX216-SUMPRODUCT(($T$2:$AK$2&lt;Z$2)*($T216:$AK216))))</f>
      </c>
      <c r="AS216" s="0">
        <f>MAX(0,MIN(AA216,BX216-SUMPRODUCT(($T$2:$AK$2&lt;AA$2)*($T216:$AK216))))</f>
      </c>
      <c r="AT216" s="0">
        <f>MAX(0,MIN(AB216,BX216-SUMPRODUCT(($T$2:$AK$2&lt;AB$2)*($T216:$AK216))))</f>
      </c>
      <c r="AU216" s="0">
        <f>MAX(0,MIN(AC216,BX216-SUMPRODUCT(($T$2:$AK$2&lt;AC$2)*($T216:$AK216))))</f>
      </c>
      <c r="AV216" s="0">
        <f>MAX(0,MIN(AD216,BX216-SUMPRODUCT(($T$2:$AK$2&lt;AD$2)*($T216:$AK216))))</f>
      </c>
      <c r="AW216" s="0">
        <f>MAX(0,MIN(AE216,BX216-SUMPRODUCT(($T$2:$AK$2&lt;AE$2)*($T216:$AK216))))</f>
      </c>
      <c r="AX216" s="0">
        <f>MAX(0,MIN(AF216,BX216-SUMPRODUCT(($T$2:$AK$2&lt;AF$2)*($T216:$AK216))))</f>
      </c>
      <c r="AY216" s="0">
        <f>MAX(0,MIN(AG216,BX216-SUMPRODUCT(($T$2:$AK$2&lt;AG$2)*($T216:$AK216))))</f>
      </c>
      <c r="AZ216" s="0">
        <f>MAX(0,MIN(AH216,BX216-SUMPRODUCT(($T$2:$AK$2&lt;AH$2)*($T216:$AK216))))</f>
      </c>
      <c r="BA216" s="0">
        <f>MAX(0,MIN(AI216,BX216-SUMPRODUCT(($T$2:$AK$2&lt;AI$2)*($T216:$AK216))))</f>
      </c>
      <c r="BB216" s="0">
        <f>MAX(0,MIN(AJ216,BX216-SUMPRODUCT(($T$2:$AK$2&lt;AJ$2)*($T216:$AK216))))</f>
      </c>
      <c r="BC216" s="0">
        <f>MAX(0,MIN(AK216,BX216-SUMPRODUCT(($T$2:$AK$2&lt;AK$2)*($T216:$AK216))))</f>
      </c>
      <c r="BD216" s="0">
        <f>T216-AL216</f>
      </c>
      <c r="BE216" s="0">
        <f>U216-AM216</f>
      </c>
      <c r="BF216" s="0">
        <f>V216-AN216</f>
      </c>
      <c r="BG216" s="0">
        <f>W216-AO216</f>
      </c>
      <c r="BH216" s="0">
        <f>X216-AP216</f>
      </c>
      <c r="BI216" s="0">
        <f>Y216-AQ216</f>
      </c>
      <c r="BJ216" s="0">
        <f>Z216-AR216</f>
      </c>
      <c r="BK216" s="0">
        <f>AA216-AS216</f>
      </c>
      <c r="BL216" s="0">
        <f>AB216-AT216</f>
      </c>
      <c r="BM216" s="0">
        <f>AC216-AU216</f>
      </c>
      <c r="BN216" s="0">
        <f>AD216-AV216</f>
      </c>
      <c r="BO216" s="0">
        <f>AE216-AW216</f>
      </c>
      <c r="BP216" s="0">
        <f>AF216-AX216</f>
      </c>
      <c r="BQ216" s="0">
        <f>AG216-AY216</f>
      </c>
      <c r="BR216" s="0">
        <f>AH216-AZ216</f>
      </c>
      <c r="BS216" s="0">
        <f>AI216-BA216</f>
      </c>
      <c r="BT216" s="0">
        <f>AJ216-BB216</f>
      </c>
      <c r="BU216" s="0">
        <f>AK216-BC216</f>
      </c>
      <c r="BV216" s="0">
        <f>SUM(B216:S216)</f>
      </c>
      <c r="BW216" s="0">
        <f>SUM(T216:AK216)</f>
      </c>
      <c r="BX216" s="0">
        <f>MAX(0,(SUM(Calculator!$E$11:$E$28)+Calculator!$C$6)-BV216+BW216)</f>
      </c>
      <c r="BY216" s="0">
        <f>SUM(BD216:BU216)</f>
      </c>
      <c r="BZ216" s="0">
        <f>BV216-BY215</f>
      </c>
      <c r="CA216" s="0">
        <f>IF(A216&lt;=IF($CD$1=0,999,$CD$1),BY216,NA())</f>
      </c>
      <c r="CB216" s="0">
        <f>IF(A216&lt;=IF($CD$1=0,999,$CD$1),A216,NA())</f>
      </c>
    </row>
    <row r="217">
      <c r="A217" s="0">
        <v>214</v>
      </c>
      <c r="B217" s="0">
        <f>BD216*(1+Calculator!$D$11/100/12)</f>
      </c>
      <c r="C217" s="0">
        <f>BE216*(1+Calculator!$D$12/100/12)</f>
      </c>
      <c r="D217" s="0">
        <f>BF216*(1+Calculator!$D$13/100/12)</f>
      </c>
      <c r="E217" s="0">
        <f>BG216*(1+Calculator!$D$14/100/12)</f>
      </c>
      <c r="F217" s="0">
        <f>BH216*(1+Calculator!$D$15/100/12)</f>
      </c>
      <c r="G217" s="0">
        <f>BI216*(1+Calculator!$D$16/100/12)</f>
      </c>
      <c r="H217" s="0">
        <f>BJ216*(1+Calculator!$D$17/100/12)</f>
      </c>
      <c r="I217" s="0">
        <f>BK216*(1+Calculator!$D$18/100/12)</f>
      </c>
      <c r="J217" s="0">
        <f>BL216*(1+Calculator!$D$19/100/12)</f>
      </c>
      <c r="K217" s="0">
        <f>BM216*(1+Calculator!$D$20/100/12)</f>
      </c>
      <c r="L217" s="0">
        <f>BN216*(1+Calculator!$D$21/100/12)</f>
      </c>
      <c r="M217" s="0">
        <f>BO216*(1+Calculator!$D$22/100/12)</f>
      </c>
      <c r="N217" s="0">
        <f>BP216*(1+Calculator!$D$23/100/12)</f>
      </c>
      <c r="O217" s="0">
        <f>BQ216*(1+Calculator!$D$24/100/12)</f>
      </c>
      <c r="P217" s="0">
        <f>BR216*(1+Calculator!$D$25/100/12)</f>
      </c>
      <c r="Q217" s="0">
        <f>BS216*(1+Calculator!$D$26/100/12)</f>
      </c>
      <c r="R217" s="0">
        <f>BT216*(1+Calculator!$D$27/100/12)</f>
      </c>
      <c r="S217" s="0">
        <f>BU216*(1+Calculator!$D$28/100/12)</f>
      </c>
      <c r="T217" s="0">
        <f>MAX(0,B217-Calculator!$E$11)</f>
      </c>
      <c r="U217" s="0">
        <f>MAX(0,C217-Calculator!$E$12)</f>
      </c>
      <c r="V217" s="0">
        <f>MAX(0,D217-Calculator!$E$13)</f>
      </c>
      <c r="W217" s="0">
        <f>MAX(0,E217-Calculator!$E$14)</f>
      </c>
      <c r="X217" s="0">
        <f>MAX(0,F217-Calculator!$E$15)</f>
      </c>
      <c r="Y217" s="0">
        <f>MAX(0,G217-Calculator!$E$16)</f>
      </c>
      <c r="Z217" s="0">
        <f>MAX(0,H217-Calculator!$E$17)</f>
      </c>
      <c r="AA217" s="0">
        <f>MAX(0,I217-Calculator!$E$18)</f>
      </c>
      <c r="AB217" s="0">
        <f>MAX(0,J217-Calculator!$E$19)</f>
      </c>
      <c r="AC217" s="0">
        <f>MAX(0,K217-Calculator!$E$20)</f>
      </c>
      <c r="AD217" s="0">
        <f>MAX(0,L217-Calculator!$E$21)</f>
      </c>
      <c r="AE217" s="0">
        <f>MAX(0,M217-Calculator!$E$22)</f>
      </c>
      <c r="AF217" s="0">
        <f>MAX(0,N217-Calculator!$E$23)</f>
      </c>
      <c r="AG217" s="0">
        <f>MAX(0,O217-Calculator!$E$24)</f>
      </c>
      <c r="AH217" s="0">
        <f>MAX(0,P217-Calculator!$E$25)</f>
      </c>
      <c r="AI217" s="0">
        <f>MAX(0,Q217-Calculator!$E$26)</f>
      </c>
      <c r="AJ217" s="0">
        <f>MAX(0,R217-Calculator!$E$27)</f>
      </c>
      <c r="AK217" s="0">
        <f>MAX(0,S217-Calculator!$E$28)</f>
      </c>
      <c r="AL217" s="0">
        <f>MAX(0,MIN(T217,BX217-SUMPRODUCT(($T$2:$AK$2&lt;T$2)*($T217:$AK217))))</f>
      </c>
      <c r="AM217" s="0">
        <f>MAX(0,MIN(U217,BX217-SUMPRODUCT(($T$2:$AK$2&lt;U$2)*($T217:$AK217))))</f>
      </c>
      <c r="AN217" s="0">
        <f>MAX(0,MIN(V217,BX217-SUMPRODUCT(($T$2:$AK$2&lt;V$2)*($T217:$AK217))))</f>
      </c>
      <c r="AO217" s="0">
        <f>MAX(0,MIN(W217,BX217-SUMPRODUCT(($T$2:$AK$2&lt;W$2)*($T217:$AK217))))</f>
      </c>
      <c r="AP217" s="0">
        <f>MAX(0,MIN(X217,BX217-SUMPRODUCT(($T$2:$AK$2&lt;X$2)*($T217:$AK217))))</f>
      </c>
      <c r="AQ217" s="0">
        <f>MAX(0,MIN(Y217,BX217-SUMPRODUCT(($T$2:$AK$2&lt;Y$2)*($T217:$AK217))))</f>
      </c>
      <c r="AR217" s="0">
        <f>MAX(0,MIN(Z217,BX217-SUMPRODUCT(($T$2:$AK$2&lt;Z$2)*($T217:$AK217))))</f>
      </c>
      <c r="AS217" s="0">
        <f>MAX(0,MIN(AA217,BX217-SUMPRODUCT(($T$2:$AK$2&lt;AA$2)*($T217:$AK217))))</f>
      </c>
      <c r="AT217" s="0">
        <f>MAX(0,MIN(AB217,BX217-SUMPRODUCT(($T$2:$AK$2&lt;AB$2)*($T217:$AK217))))</f>
      </c>
      <c r="AU217" s="0">
        <f>MAX(0,MIN(AC217,BX217-SUMPRODUCT(($T$2:$AK$2&lt;AC$2)*($T217:$AK217))))</f>
      </c>
      <c r="AV217" s="0">
        <f>MAX(0,MIN(AD217,BX217-SUMPRODUCT(($T$2:$AK$2&lt;AD$2)*($T217:$AK217))))</f>
      </c>
      <c r="AW217" s="0">
        <f>MAX(0,MIN(AE217,BX217-SUMPRODUCT(($T$2:$AK$2&lt;AE$2)*($T217:$AK217))))</f>
      </c>
      <c r="AX217" s="0">
        <f>MAX(0,MIN(AF217,BX217-SUMPRODUCT(($T$2:$AK$2&lt;AF$2)*($T217:$AK217))))</f>
      </c>
      <c r="AY217" s="0">
        <f>MAX(0,MIN(AG217,BX217-SUMPRODUCT(($T$2:$AK$2&lt;AG$2)*($T217:$AK217))))</f>
      </c>
      <c r="AZ217" s="0">
        <f>MAX(0,MIN(AH217,BX217-SUMPRODUCT(($T$2:$AK$2&lt;AH$2)*($T217:$AK217))))</f>
      </c>
      <c r="BA217" s="0">
        <f>MAX(0,MIN(AI217,BX217-SUMPRODUCT(($T$2:$AK$2&lt;AI$2)*($T217:$AK217))))</f>
      </c>
      <c r="BB217" s="0">
        <f>MAX(0,MIN(AJ217,BX217-SUMPRODUCT(($T$2:$AK$2&lt;AJ$2)*($T217:$AK217))))</f>
      </c>
      <c r="BC217" s="0">
        <f>MAX(0,MIN(AK217,BX217-SUMPRODUCT(($T$2:$AK$2&lt;AK$2)*($T217:$AK217))))</f>
      </c>
      <c r="BD217" s="0">
        <f>T217-AL217</f>
      </c>
      <c r="BE217" s="0">
        <f>U217-AM217</f>
      </c>
      <c r="BF217" s="0">
        <f>V217-AN217</f>
      </c>
      <c r="BG217" s="0">
        <f>W217-AO217</f>
      </c>
      <c r="BH217" s="0">
        <f>X217-AP217</f>
      </c>
      <c r="BI217" s="0">
        <f>Y217-AQ217</f>
      </c>
      <c r="BJ217" s="0">
        <f>Z217-AR217</f>
      </c>
      <c r="BK217" s="0">
        <f>AA217-AS217</f>
      </c>
      <c r="BL217" s="0">
        <f>AB217-AT217</f>
      </c>
      <c r="BM217" s="0">
        <f>AC217-AU217</f>
      </c>
      <c r="BN217" s="0">
        <f>AD217-AV217</f>
      </c>
      <c r="BO217" s="0">
        <f>AE217-AW217</f>
      </c>
      <c r="BP217" s="0">
        <f>AF217-AX217</f>
      </c>
      <c r="BQ217" s="0">
        <f>AG217-AY217</f>
      </c>
      <c r="BR217" s="0">
        <f>AH217-AZ217</f>
      </c>
      <c r="BS217" s="0">
        <f>AI217-BA217</f>
      </c>
      <c r="BT217" s="0">
        <f>AJ217-BB217</f>
      </c>
      <c r="BU217" s="0">
        <f>AK217-BC217</f>
      </c>
      <c r="BV217" s="0">
        <f>SUM(B217:S217)</f>
      </c>
      <c r="BW217" s="0">
        <f>SUM(T217:AK217)</f>
      </c>
      <c r="BX217" s="0">
        <f>MAX(0,(SUM(Calculator!$E$11:$E$28)+Calculator!$C$6)-BV217+BW217)</f>
      </c>
      <c r="BY217" s="0">
        <f>SUM(BD217:BU217)</f>
      </c>
      <c r="BZ217" s="0">
        <f>BV217-BY216</f>
      </c>
      <c r="CA217" s="0">
        <f>IF(A217&lt;=IF($CD$1=0,999,$CD$1),BY217,NA())</f>
      </c>
      <c r="CB217" s="0">
        <f>IF(A217&lt;=IF($CD$1=0,999,$CD$1),A217,NA())</f>
      </c>
    </row>
    <row r="218">
      <c r="A218" s="0">
        <v>215</v>
      </c>
      <c r="B218" s="0">
        <f>BD217*(1+Calculator!$D$11/100/12)</f>
      </c>
      <c r="C218" s="0">
        <f>BE217*(1+Calculator!$D$12/100/12)</f>
      </c>
      <c r="D218" s="0">
        <f>BF217*(1+Calculator!$D$13/100/12)</f>
      </c>
      <c r="E218" s="0">
        <f>BG217*(1+Calculator!$D$14/100/12)</f>
      </c>
      <c r="F218" s="0">
        <f>BH217*(1+Calculator!$D$15/100/12)</f>
      </c>
      <c r="G218" s="0">
        <f>BI217*(1+Calculator!$D$16/100/12)</f>
      </c>
      <c r="H218" s="0">
        <f>BJ217*(1+Calculator!$D$17/100/12)</f>
      </c>
      <c r="I218" s="0">
        <f>BK217*(1+Calculator!$D$18/100/12)</f>
      </c>
      <c r="J218" s="0">
        <f>BL217*(1+Calculator!$D$19/100/12)</f>
      </c>
      <c r="K218" s="0">
        <f>BM217*(1+Calculator!$D$20/100/12)</f>
      </c>
      <c r="L218" s="0">
        <f>BN217*(1+Calculator!$D$21/100/12)</f>
      </c>
      <c r="M218" s="0">
        <f>BO217*(1+Calculator!$D$22/100/12)</f>
      </c>
      <c r="N218" s="0">
        <f>BP217*(1+Calculator!$D$23/100/12)</f>
      </c>
      <c r="O218" s="0">
        <f>BQ217*(1+Calculator!$D$24/100/12)</f>
      </c>
      <c r="P218" s="0">
        <f>BR217*(1+Calculator!$D$25/100/12)</f>
      </c>
      <c r="Q218" s="0">
        <f>BS217*(1+Calculator!$D$26/100/12)</f>
      </c>
      <c r="R218" s="0">
        <f>BT217*(1+Calculator!$D$27/100/12)</f>
      </c>
      <c r="S218" s="0">
        <f>BU217*(1+Calculator!$D$28/100/12)</f>
      </c>
      <c r="T218" s="0">
        <f>MAX(0,B218-Calculator!$E$11)</f>
      </c>
      <c r="U218" s="0">
        <f>MAX(0,C218-Calculator!$E$12)</f>
      </c>
      <c r="V218" s="0">
        <f>MAX(0,D218-Calculator!$E$13)</f>
      </c>
      <c r="W218" s="0">
        <f>MAX(0,E218-Calculator!$E$14)</f>
      </c>
      <c r="X218" s="0">
        <f>MAX(0,F218-Calculator!$E$15)</f>
      </c>
      <c r="Y218" s="0">
        <f>MAX(0,G218-Calculator!$E$16)</f>
      </c>
      <c r="Z218" s="0">
        <f>MAX(0,H218-Calculator!$E$17)</f>
      </c>
      <c r="AA218" s="0">
        <f>MAX(0,I218-Calculator!$E$18)</f>
      </c>
      <c r="AB218" s="0">
        <f>MAX(0,J218-Calculator!$E$19)</f>
      </c>
      <c r="AC218" s="0">
        <f>MAX(0,K218-Calculator!$E$20)</f>
      </c>
      <c r="AD218" s="0">
        <f>MAX(0,L218-Calculator!$E$21)</f>
      </c>
      <c r="AE218" s="0">
        <f>MAX(0,M218-Calculator!$E$22)</f>
      </c>
      <c r="AF218" s="0">
        <f>MAX(0,N218-Calculator!$E$23)</f>
      </c>
      <c r="AG218" s="0">
        <f>MAX(0,O218-Calculator!$E$24)</f>
      </c>
      <c r="AH218" s="0">
        <f>MAX(0,P218-Calculator!$E$25)</f>
      </c>
      <c r="AI218" s="0">
        <f>MAX(0,Q218-Calculator!$E$26)</f>
      </c>
      <c r="AJ218" s="0">
        <f>MAX(0,R218-Calculator!$E$27)</f>
      </c>
      <c r="AK218" s="0">
        <f>MAX(0,S218-Calculator!$E$28)</f>
      </c>
      <c r="AL218" s="0">
        <f>MAX(0,MIN(T218,BX218-SUMPRODUCT(($T$2:$AK$2&lt;T$2)*($T218:$AK218))))</f>
      </c>
      <c r="AM218" s="0">
        <f>MAX(0,MIN(U218,BX218-SUMPRODUCT(($T$2:$AK$2&lt;U$2)*($T218:$AK218))))</f>
      </c>
      <c r="AN218" s="0">
        <f>MAX(0,MIN(V218,BX218-SUMPRODUCT(($T$2:$AK$2&lt;V$2)*($T218:$AK218))))</f>
      </c>
      <c r="AO218" s="0">
        <f>MAX(0,MIN(W218,BX218-SUMPRODUCT(($T$2:$AK$2&lt;W$2)*($T218:$AK218))))</f>
      </c>
      <c r="AP218" s="0">
        <f>MAX(0,MIN(X218,BX218-SUMPRODUCT(($T$2:$AK$2&lt;X$2)*($T218:$AK218))))</f>
      </c>
      <c r="AQ218" s="0">
        <f>MAX(0,MIN(Y218,BX218-SUMPRODUCT(($T$2:$AK$2&lt;Y$2)*($T218:$AK218))))</f>
      </c>
      <c r="AR218" s="0">
        <f>MAX(0,MIN(Z218,BX218-SUMPRODUCT(($T$2:$AK$2&lt;Z$2)*($T218:$AK218))))</f>
      </c>
      <c r="AS218" s="0">
        <f>MAX(0,MIN(AA218,BX218-SUMPRODUCT(($T$2:$AK$2&lt;AA$2)*($T218:$AK218))))</f>
      </c>
      <c r="AT218" s="0">
        <f>MAX(0,MIN(AB218,BX218-SUMPRODUCT(($T$2:$AK$2&lt;AB$2)*($T218:$AK218))))</f>
      </c>
      <c r="AU218" s="0">
        <f>MAX(0,MIN(AC218,BX218-SUMPRODUCT(($T$2:$AK$2&lt;AC$2)*($T218:$AK218))))</f>
      </c>
      <c r="AV218" s="0">
        <f>MAX(0,MIN(AD218,BX218-SUMPRODUCT(($T$2:$AK$2&lt;AD$2)*($T218:$AK218))))</f>
      </c>
      <c r="AW218" s="0">
        <f>MAX(0,MIN(AE218,BX218-SUMPRODUCT(($T$2:$AK$2&lt;AE$2)*($T218:$AK218))))</f>
      </c>
      <c r="AX218" s="0">
        <f>MAX(0,MIN(AF218,BX218-SUMPRODUCT(($T$2:$AK$2&lt;AF$2)*($T218:$AK218))))</f>
      </c>
      <c r="AY218" s="0">
        <f>MAX(0,MIN(AG218,BX218-SUMPRODUCT(($T$2:$AK$2&lt;AG$2)*($T218:$AK218))))</f>
      </c>
      <c r="AZ218" s="0">
        <f>MAX(0,MIN(AH218,BX218-SUMPRODUCT(($T$2:$AK$2&lt;AH$2)*($T218:$AK218))))</f>
      </c>
      <c r="BA218" s="0">
        <f>MAX(0,MIN(AI218,BX218-SUMPRODUCT(($T$2:$AK$2&lt;AI$2)*($T218:$AK218))))</f>
      </c>
      <c r="BB218" s="0">
        <f>MAX(0,MIN(AJ218,BX218-SUMPRODUCT(($T$2:$AK$2&lt;AJ$2)*($T218:$AK218))))</f>
      </c>
      <c r="BC218" s="0">
        <f>MAX(0,MIN(AK218,BX218-SUMPRODUCT(($T$2:$AK$2&lt;AK$2)*($T218:$AK218))))</f>
      </c>
      <c r="BD218" s="0">
        <f>T218-AL218</f>
      </c>
      <c r="BE218" s="0">
        <f>U218-AM218</f>
      </c>
      <c r="BF218" s="0">
        <f>V218-AN218</f>
      </c>
      <c r="BG218" s="0">
        <f>W218-AO218</f>
      </c>
      <c r="BH218" s="0">
        <f>X218-AP218</f>
      </c>
      <c r="BI218" s="0">
        <f>Y218-AQ218</f>
      </c>
      <c r="BJ218" s="0">
        <f>Z218-AR218</f>
      </c>
      <c r="BK218" s="0">
        <f>AA218-AS218</f>
      </c>
      <c r="BL218" s="0">
        <f>AB218-AT218</f>
      </c>
      <c r="BM218" s="0">
        <f>AC218-AU218</f>
      </c>
      <c r="BN218" s="0">
        <f>AD218-AV218</f>
      </c>
      <c r="BO218" s="0">
        <f>AE218-AW218</f>
      </c>
      <c r="BP218" s="0">
        <f>AF218-AX218</f>
      </c>
      <c r="BQ218" s="0">
        <f>AG218-AY218</f>
      </c>
      <c r="BR218" s="0">
        <f>AH218-AZ218</f>
      </c>
      <c r="BS218" s="0">
        <f>AI218-BA218</f>
      </c>
      <c r="BT218" s="0">
        <f>AJ218-BB218</f>
      </c>
      <c r="BU218" s="0">
        <f>AK218-BC218</f>
      </c>
      <c r="BV218" s="0">
        <f>SUM(B218:S218)</f>
      </c>
      <c r="BW218" s="0">
        <f>SUM(T218:AK218)</f>
      </c>
      <c r="BX218" s="0">
        <f>MAX(0,(SUM(Calculator!$E$11:$E$28)+Calculator!$C$6)-BV218+BW218)</f>
      </c>
      <c r="BY218" s="0">
        <f>SUM(BD218:BU218)</f>
      </c>
      <c r="BZ218" s="0">
        <f>BV218-BY217</f>
      </c>
      <c r="CA218" s="0">
        <f>IF(A218&lt;=IF($CD$1=0,999,$CD$1),BY218,NA())</f>
      </c>
      <c r="CB218" s="0">
        <f>IF(A218&lt;=IF($CD$1=0,999,$CD$1),A218,NA())</f>
      </c>
    </row>
    <row r="219">
      <c r="A219" s="0">
        <v>216</v>
      </c>
      <c r="B219" s="0">
        <f>BD218*(1+Calculator!$D$11/100/12)</f>
      </c>
      <c r="C219" s="0">
        <f>BE218*(1+Calculator!$D$12/100/12)</f>
      </c>
      <c r="D219" s="0">
        <f>BF218*(1+Calculator!$D$13/100/12)</f>
      </c>
      <c r="E219" s="0">
        <f>BG218*(1+Calculator!$D$14/100/12)</f>
      </c>
      <c r="F219" s="0">
        <f>BH218*(1+Calculator!$D$15/100/12)</f>
      </c>
      <c r="G219" s="0">
        <f>BI218*(1+Calculator!$D$16/100/12)</f>
      </c>
      <c r="H219" s="0">
        <f>BJ218*(1+Calculator!$D$17/100/12)</f>
      </c>
      <c r="I219" s="0">
        <f>BK218*(1+Calculator!$D$18/100/12)</f>
      </c>
      <c r="J219" s="0">
        <f>BL218*(1+Calculator!$D$19/100/12)</f>
      </c>
      <c r="K219" s="0">
        <f>BM218*(1+Calculator!$D$20/100/12)</f>
      </c>
      <c r="L219" s="0">
        <f>BN218*(1+Calculator!$D$21/100/12)</f>
      </c>
      <c r="M219" s="0">
        <f>BO218*(1+Calculator!$D$22/100/12)</f>
      </c>
      <c r="N219" s="0">
        <f>BP218*(1+Calculator!$D$23/100/12)</f>
      </c>
      <c r="O219" s="0">
        <f>BQ218*(1+Calculator!$D$24/100/12)</f>
      </c>
      <c r="P219" s="0">
        <f>BR218*(1+Calculator!$D$25/100/12)</f>
      </c>
      <c r="Q219" s="0">
        <f>BS218*(1+Calculator!$D$26/100/12)</f>
      </c>
      <c r="R219" s="0">
        <f>BT218*(1+Calculator!$D$27/100/12)</f>
      </c>
      <c r="S219" s="0">
        <f>BU218*(1+Calculator!$D$28/100/12)</f>
      </c>
      <c r="T219" s="0">
        <f>MAX(0,B219-Calculator!$E$11)</f>
      </c>
      <c r="U219" s="0">
        <f>MAX(0,C219-Calculator!$E$12)</f>
      </c>
      <c r="V219" s="0">
        <f>MAX(0,D219-Calculator!$E$13)</f>
      </c>
      <c r="W219" s="0">
        <f>MAX(0,E219-Calculator!$E$14)</f>
      </c>
      <c r="X219" s="0">
        <f>MAX(0,F219-Calculator!$E$15)</f>
      </c>
      <c r="Y219" s="0">
        <f>MAX(0,G219-Calculator!$E$16)</f>
      </c>
      <c r="Z219" s="0">
        <f>MAX(0,H219-Calculator!$E$17)</f>
      </c>
      <c r="AA219" s="0">
        <f>MAX(0,I219-Calculator!$E$18)</f>
      </c>
      <c r="AB219" s="0">
        <f>MAX(0,J219-Calculator!$E$19)</f>
      </c>
      <c r="AC219" s="0">
        <f>MAX(0,K219-Calculator!$E$20)</f>
      </c>
      <c r="AD219" s="0">
        <f>MAX(0,L219-Calculator!$E$21)</f>
      </c>
      <c r="AE219" s="0">
        <f>MAX(0,M219-Calculator!$E$22)</f>
      </c>
      <c r="AF219" s="0">
        <f>MAX(0,N219-Calculator!$E$23)</f>
      </c>
      <c r="AG219" s="0">
        <f>MAX(0,O219-Calculator!$E$24)</f>
      </c>
      <c r="AH219" s="0">
        <f>MAX(0,P219-Calculator!$E$25)</f>
      </c>
      <c r="AI219" s="0">
        <f>MAX(0,Q219-Calculator!$E$26)</f>
      </c>
      <c r="AJ219" s="0">
        <f>MAX(0,R219-Calculator!$E$27)</f>
      </c>
      <c r="AK219" s="0">
        <f>MAX(0,S219-Calculator!$E$28)</f>
      </c>
      <c r="AL219" s="0">
        <f>MAX(0,MIN(T219,BX219-SUMPRODUCT(($T$2:$AK$2&lt;T$2)*($T219:$AK219))))</f>
      </c>
      <c r="AM219" s="0">
        <f>MAX(0,MIN(U219,BX219-SUMPRODUCT(($T$2:$AK$2&lt;U$2)*($T219:$AK219))))</f>
      </c>
      <c r="AN219" s="0">
        <f>MAX(0,MIN(V219,BX219-SUMPRODUCT(($T$2:$AK$2&lt;V$2)*($T219:$AK219))))</f>
      </c>
      <c r="AO219" s="0">
        <f>MAX(0,MIN(W219,BX219-SUMPRODUCT(($T$2:$AK$2&lt;W$2)*($T219:$AK219))))</f>
      </c>
      <c r="AP219" s="0">
        <f>MAX(0,MIN(X219,BX219-SUMPRODUCT(($T$2:$AK$2&lt;X$2)*($T219:$AK219))))</f>
      </c>
      <c r="AQ219" s="0">
        <f>MAX(0,MIN(Y219,BX219-SUMPRODUCT(($T$2:$AK$2&lt;Y$2)*($T219:$AK219))))</f>
      </c>
      <c r="AR219" s="0">
        <f>MAX(0,MIN(Z219,BX219-SUMPRODUCT(($T$2:$AK$2&lt;Z$2)*($T219:$AK219))))</f>
      </c>
      <c r="AS219" s="0">
        <f>MAX(0,MIN(AA219,BX219-SUMPRODUCT(($T$2:$AK$2&lt;AA$2)*($T219:$AK219))))</f>
      </c>
      <c r="AT219" s="0">
        <f>MAX(0,MIN(AB219,BX219-SUMPRODUCT(($T$2:$AK$2&lt;AB$2)*($T219:$AK219))))</f>
      </c>
      <c r="AU219" s="0">
        <f>MAX(0,MIN(AC219,BX219-SUMPRODUCT(($T$2:$AK$2&lt;AC$2)*($T219:$AK219))))</f>
      </c>
      <c r="AV219" s="0">
        <f>MAX(0,MIN(AD219,BX219-SUMPRODUCT(($T$2:$AK$2&lt;AD$2)*($T219:$AK219))))</f>
      </c>
      <c r="AW219" s="0">
        <f>MAX(0,MIN(AE219,BX219-SUMPRODUCT(($T$2:$AK$2&lt;AE$2)*($T219:$AK219))))</f>
      </c>
      <c r="AX219" s="0">
        <f>MAX(0,MIN(AF219,BX219-SUMPRODUCT(($T$2:$AK$2&lt;AF$2)*($T219:$AK219))))</f>
      </c>
      <c r="AY219" s="0">
        <f>MAX(0,MIN(AG219,BX219-SUMPRODUCT(($T$2:$AK$2&lt;AG$2)*($T219:$AK219))))</f>
      </c>
      <c r="AZ219" s="0">
        <f>MAX(0,MIN(AH219,BX219-SUMPRODUCT(($T$2:$AK$2&lt;AH$2)*($T219:$AK219))))</f>
      </c>
      <c r="BA219" s="0">
        <f>MAX(0,MIN(AI219,BX219-SUMPRODUCT(($T$2:$AK$2&lt;AI$2)*($T219:$AK219))))</f>
      </c>
      <c r="BB219" s="0">
        <f>MAX(0,MIN(AJ219,BX219-SUMPRODUCT(($T$2:$AK$2&lt;AJ$2)*($T219:$AK219))))</f>
      </c>
      <c r="BC219" s="0">
        <f>MAX(0,MIN(AK219,BX219-SUMPRODUCT(($T$2:$AK$2&lt;AK$2)*($T219:$AK219))))</f>
      </c>
      <c r="BD219" s="0">
        <f>T219-AL219</f>
      </c>
      <c r="BE219" s="0">
        <f>U219-AM219</f>
      </c>
      <c r="BF219" s="0">
        <f>V219-AN219</f>
      </c>
      <c r="BG219" s="0">
        <f>W219-AO219</f>
      </c>
      <c r="BH219" s="0">
        <f>X219-AP219</f>
      </c>
      <c r="BI219" s="0">
        <f>Y219-AQ219</f>
      </c>
      <c r="BJ219" s="0">
        <f>Z219-AR219</f>
      </c>
      <c r="BK219" s="0">
        <f>AA219-AS219</f>
      </c>
      <c r="BL219" s="0">
        <f>AB219-AT219</f>
      </c>
      <c r="BM219" s="0">
        <f>AC219-AU219</f>
      </c>
      <c r="BN219" s="0">
        <f>AD219-AV219</f>
      </c>
      <c r="BO219" s="0">
        <f>AE219-AW219</f>
      </c>
      <c r="BP219" s="0">
        <f>AF219-AX219</f>
      </c>
      <c r="BQ219" s="0">
        <f>AG219-AY219</f>
      </c>
      <c r="BR219" s="0">
        <f>AH219-AZ219</f>
      </c>
      <c r="BS219" s="0">
        <f>AI219-BA219</f>
      </c>
      <c r="BT219" s="0">
        <f>AJ219-BB219</f>
      </c>
      <c r="BU219" s="0">
        <f>AK219-BC219</f>
      </c>
      <c r="BV219" s="0">
        <f>SUM(B219:S219)</f>
      </c>
      <c r="BW219" s="0">
        <f>SUM(T219:AK219)</f>
      </c>
      <c r="BX219" s="0">
        <f>MAX(0,(SUM(Calculator!$E$11:$E$28)+Calculator!$C$6)-BV219+BW219)</f>
      </c>
      <c r="BY219" s="0">
        <f>SUM(BD219:BU219)</f>
      </c>
      <c r="BZ219" s="0">
        <f>BV219-BY218</f>
      </c>
      <c r="CA219" s="0">
        <f>IF(A219&lt;=IF($CD$1=0,999,$CD$1),BY219,NA())</f>
      </c>
      <c r="CB219" s="0">
        <f>IF(A219&lt;=IF($CD$1=0,999,$CD$1),A219,NA())</f>
      </c>
    </row>
    <row r="220">
      <c r="A220" s="0">
        <v>217</v>
      </c>
      <c r="B220" s="0">
        <f>BD219*(1+Calculator!$D$11/100/12)</f>
      </c>
      <c r="C220" s="0">
        <f>BE219*(1+Calculator!$D$12/100/12)</f>
      </c>
      <c r="D220" s="0">
        <f>BF219*(1+Calculator!$D$13/100/12)</f>
      </c>
      <c r="E220" s="0">
        <f>BG219*(1+Calculator!$D$14/100/12)</f>
      </c>
      <c r="F220" s="0">
        <f>BH219*(1+Calculator!$D$15/100/12)</f>
      </c>
      <c r="G220" s="0">
        <f>BI219*(1+Calculator!$D$16/100/12)</f>
      </c>
      <c r="H220" s="0">
        <f>BJ219*(1+Calculator!$D$17/100/12)</f>
      </c>
      <c r="I220" s="0">
        <f>BK219*(1+Calculator!$D$18/100/12)</f>
      </c>
      <c r="J220" s="0">
        <f>BL219*(1+Calculator!$D$19/100/12)</f>
      </c>
      <c r="K220" s="0">
        <f>BM219*(1+Calculator!$D$20/100/12)</f>
      </c>
      <c r="L220" s="0">
        <f>BN219*(1+Calculator!$D$21/100/12)</f>
      </c>
      <c r="M220" s="0">
        <f>BO219*(1+Calculator!$D$22/100/12)</f>
      </c>
      <c r="N220" s="0">
        <f>BP219*(1+Calculator!$D$23/100/12)</f>
      </c>
      <c r="O220" s="0">
        <f>BQ219*(1+Calculator!$D$24/100/12)</f>
      </c>
      <c r="P220" s="0">
        <f>BR219*(1+Calculator!$D$25/100/12)</f>
      </c>
      <c r="Q220" s="0">
        <f>BS219*(1+Calculator!$D$26/100/12)</f>
      </c>
      <c r="R220" s="0">
        <f>BT219*(1+Calculator!$D$27/100/12)</f>
      </c>
      <c r="S220" s="0">
        <f>BU219*(1+Calculator!$D$28/100/12)</f>
      </c>
      <c r="T220" s="0">
        <f>MAX(0,B220-Calculator!$E$11)</f>
      </c>
      <c r="U220" s="0">
        <f>MAX(0,C220-Calculator!$E$12)</f>
      </c>
      <c r="V220" s="0">
        <f>MAX(0,D220-Calculator!$E$13)</f>
      </c>
      <c r="W220" s="0">
        <f>MAX(0,E220-Calculator!$E$14)</f>
      </c>
      <c r="X220" s="0">
        <f>MAX(0,F220-Calculator!$E$15)</f>
      </c>
      <c r="Y220" s="0">
        <f>MAX(0,G220-Calculator!$E$16)</f>
      </c>
      <c r="Z220" s="0">
        <f>MAX(0,H220-Calculator!$E$17)</f>
      </c>
      <c r="AA220" s="0">
        <f>MAX(0,I220-Calculator!$E$18)</f>
      </c>
      <c r="AB220" s="0">
        <f>MAX(0,J220-Calculator!$E$19)</f>
      </c>
      <c r="AC220" s="0">
        <f>MAX(0,K220-Calculator!$E$20)</f>
      </c>
      <c r="AD220" s="0">
        <f>MAX(0,L220-Calculator!$E$21)</f>
      </c>
      <c r="AE220" s="0">
        <f>MAX(0,M220-Calculator!$E$22)</f>
      </c>
      <c r="AF220" s="0">
        <f>MAX(0,N220-Calculator!$E$23)</f>
      </c>
      <c r="AG220" s="0">
        <f>MAX(0,O220-Calculator!$E$24)</f>
      </c>
      <c r="AH220" s="0">
        <f>MAX(0,P220-Calculator!$E$25)</f>
      </c>
      <c r="AI220" s="0">
        <f>MAX(0,Q220-Calculator!$E$26)</f>
      </c>
      <c r="AJ220" s="0">
        <f>MAX(0,R220-Calculator!$E$27)</f>
      </c>
      <c r="AK220" s="0">
        <f>MAX(0,S220-Calculator!$E$28)</f>
      </c>
      <c r="AL220" s="0">
        <f>MAX(0,MIN(T220,BX220-SUMPRODUCT(($T$2:$AK$2&lt;T$2)*($T220:$AK220))))</f>
      </c>
      <c r="AM220" s="0">
        <f>MAX(0,MIN(U220,BX220-SUMPRODUCT(($T$2:$AK$2&lt;U$2)*($T220:$AK220))))</f>
      </c>
      <c r="AN220" s="0">
        <f>MAX(0,MIN(V220,BX220-SUMPRODUCT(($T$2:$AK$2&lt;V$2)*($T220:$AK220))))</f>
      </c>
      <c r="AO220" s="0">
        <f>MAX(0,MIN(W220,BX220-SUMPRODUCT(($T$2:$AK$2&lt;W$2)*($T220:$AK220))))</f>
      </c>
      <c r="AP220" s="0">
        <f>MAX(0,MIN(X220,BX220-SUMPRODUCT(($T$2:$AK$2&lt;X$2)*($T220:$AK220))))</f>
      </c>
      <c r="AQ220" s="0">
        <f>MAX(0,MIN(Y220,BX220-SUMPRODUCT(($T$2:$AK$2&lt;Y$2)*($T220:$AK220))))</f>
      </c>
      <c r="AR220" s="0">
        <f>MAX(0,MIN(Z220,BX220-SUMPRODUCT(($T$2:$AK$2&lt;Z$2)*($T220:$AK220))))</f>
      </c>
      <c r="AS220" s="0">
        <f>MAX(0,MIN(AA220,BX220-SUMPRODUCT(($T$2:$AK$2&lt;AA$2)*($T220:$AK220))))</f>
      </c>
      <c r="AT220" s="0">
        <f>MAX(0,MIN(AB220,BX220-SUMPRODUCT(($T$2:$AK$2&lt;AB$2)*($T220:$AK220))))</f>
      </c>
      <c r="AU220" s="0">
        <f>MAX(0,MIN(AC220,BX220-SUMPRODUCT(($T$2:$AK$2&lt;AC$2)*($T220:$AK220))))</f>
      </c>
      <c r="AV220" s="0">
        <f>MAX(0,MIN(AD220,BX220-SUMPRODUCT(($T$2:$AK$2&lt;AD$2)*($T220:$AK220))))</f>
      </c>
      <c r="AW220" s="0">
        <f>MAX(0,MIN(AE220,BX220-SUMPRODUCT(($T$2:$AK$2&lt;AE$2)*($T220:$AK220))))</f>
      </c>
      <c r="AX220" s="0">
        <f>MAX(0,MIN(AF220,BX220-SUMPRODUCT(($T$2:$AK$2&lt;AF$2)*($T220:$AK220))))</f>
      </c>
      <c r="AY220" s="0">
        <f>MAX(0,MIN(AG220,BX220-SUMPRODUCT(($T$2:$AK$2&lt;AG$2)*($T220:$AK220))))</f>
      </c>
      <c r="AZ220" s="0">
        <f>MAX(0,MIN(AH220,BX220-SUMPRODUCT(($T$2:$AK$2&lt;AH$2)*($T220:$AK220))))</f>
      </c>
      <c r="BA220" s="0">
        <f>MAX(0,MIN(AI220,BX220-SUMPRODUCT(($T$2:$AK$2&lt;AI$2)*($T220:$AK220))))</f>
      </c>
      <c r="BB220" s="0">
        <f>MAX(0,MIN(AJ220,BX220-SUMPRODUCT(($T$2:$AK$2&lt;AJ$2)*($T220:$AK220))))</f>
      </c>
      <c r="BC220" s="0">
        <f>MAX(0,MIN(AK220,BX220-SUMPRODUCT(($T$2:$AK$2&lt;AK$2)*($T220:$AK220))))</f>
      </c>
      <c r="BD220" s="0">
        <f>T220-AL220</f>
      </c>
      <c r="BE220" s="0">
        <f>U220-AM220</f>
      </c>
      <c r="BF220" s="0">
        <f>V220-AN220</f>
      </c>
      <c r="BG220" s="0">
        <f>W220-AO220</f>
      </c>
      <c r="BH220" s="0">
        <f>X220-AP220</f>
      </c>
      <c r="BI220" s="0">
        <f>Y220-AQ220</f>
      </c>
      <c r="BJ220" s="0">
        <f>Z220-AR220</f>
      </c>
      <c r="BK220" s="0">
        <f>AA220-AS220</f>
      </c>
      <c r="BL220" s="0">
        <f>AB220-AT220</f>
      </c>
      <c r="BM220" s="0">
        <f>AC220-AU220</f>
      </c>
      <c r="BN220" s="0">
        <f>AD220-AV220</f>
      </c>
      <c r="BO220" s="0">
        <f>AE220-AW220</f>
      </c>
      <c r="BP220" s="0">
        <f>AF220-AX220</f>
      </c>
      <c r="BQ220" s="0">
        <f>AG220-AY220</f>
      </c>
      <c r="BR220" s="0">
        <f>AH220-AZ220</f>
      </c>
      <c r="BS220" s="0">
        <f>AI220-BA220</f>
      </c>
      <c r="BT220" s="0">
        <f>AJ220-BB220</f>
      </c>
      <c r="BU220" s="0">
        <f>AK220-BC220</f>
      </c>
      <c r="BV220" s="0">
        <f>SUM(B220:S220)</f>
      </c>
      <c r="BW220" s="0">
        <f>SUM(T220:AK220)</f>
      </c>
      <c r="BX220" s="0">
        <f>MAX(0,(SUM(Calculator!$E$11:$E$28)+Calculator!$C$6)-BV220+BW220)</f>
      </c>
      <c r="BY220" s="0">
        <f>SUM(BD220:BU220)</f>
      </c>
      <c r="BZ220" s="0">
        <f>BV220-BY219</f>
      </c>
      <c r="CA220" s="0">
        <f>IF(A220&lt;=IF($CD$1=0,999,$CD$1),BY220,NA())</f>
      </c>
      <c r="CB220" s="0">
        <f>IF(A220&lt;=IF($CD$1=0,999,$CD$1),A220,NA())</f>
      </c>
    </row>
    <row r="221">
      <c r="A221" s="0">
        <v>218</v>
      </c>
      <c r="B221" s="0">
        <f>BD220*(1+Calculator!$D$11/100/12)</f>
      </c>
      <c r="C221" s="0">
        <f>BE220*(1+Calculator!$D$12/100/12)</f>
      </c>
      <c r="D221" s="0">
        <f>BF220*(1+Calculator!$D$13/100/12)</f>
      </c>
      <c r="E221" s="0">
        <f>BG220*(1+Calculator!$D$14/100/12)</f>
      </c>
      <c r="F221" s="0">
        <f>BH220*(1+Calculator!$D$15/100/12)</f>
      </c>
      <c r="G221" s="0">
        <f>BI220*(1+Calculator!$D$16/100/12)</f>
      </c>
      <c r="H221" s="0">
        <f>BJ220*(1+Calculator!$D$17/100/12)</f>
      </c>
      <c r="I221" s="0">
        <f>BK220*(1+Calculator!$D$18/100/12)</f>
      </c>
      <c r="J221" s="0">
        <f>BL220*(1+Calculator!$D$19/100/12)</f>
      </c>
      <c r="K221" s="0">
        <f>BM220*(1+Calculator!$D$20/100/12)</f>
      </c>
      <c r="L221" s="0">
        <f>BN220*(1+Calculator!$D$21/100/12)</f>
      </c>
      <c r="M221" s="0">
        <f>BO220*(1+Calculator!$D$22/100/12)</f>
      </c>
      <c r="N221" s="0">
        <f>BP220*(1+Calculator!$D$23/100/12)</f>
      </c>
      <c r="O221" s="0">
        <f>BQ220*(1+Calculator!$D$24/100/12)</f>
      </c>
      <c r="P221" s="0">
        <f>BR220*(1+Calculator!$D$25/100/12)</f>
      </c>
      <c r="Q221" s="0">
        <f>BS220*(1+Calculator!$D$26/100/12)</f>
      </c>
      <c r="R221" s="0">
        <f>BT220*(1+Calculator!$D$27/100/12)</f>
      </c>
      <c r="S221" s="0">
        <f>BU220*(1+Calculator!$D$28/100/12)</f>
      </c>
      <c r="T221" s="0">
        <f>MAX(0,B221-Calculator!$E$11)</f>
      </c>
      <c r="U221" s="0">
        <f>MAX(0,C221-Calculator!$E$12)</f>
      </c>
      <c r="V221" s="0">
        <f>MAX(0,D221-Calculator!$E$13)</f>
      </c>
      <c r="W221" s="0">
        <f>MAX(0,E221-Calculator!$E$14)</f>
      </c>
      <c r="X221" s="0">
        <f>MAX(0,F221-Calculator!$E$15)</f>
      </c>
      <c r="Y221" s="0">
        <f>MAX(0,G221-Calculator!$E$16)</f>
      </c>
      <c r="Z221" s="0">
        <f>MAX(0,H221-Calculator!$E$17)</f>
      </c>
      <c r="AA221" s="0">
        <f>MAX(0,I221-Calculator!$E$18)</f>
      </c>
      <c r="AB221" s="0">
        <f>MAX(0,J221-Calculator!$E$19)</f>
      </c>
      <c r="AC221" s="0">
        <f>MAX(0,K221-Calculator!$E$20)</f>
      </c>
      <c r="AD221" s="0">
        <f>MAX(0,L221-Calculator!$E$21)</f>
      </c>
      <c r="AE221" s="0">
        <f>MAX(0,M221-Calculator!$E$22)</f>
      </c>
      <c r="AF221" s="0">
        <f>MAX(0,N221-Calculator!$E$23)</f>
      </c>
      <c r="AG221" s="0">
        <f>MAX(0,O221-Calculator!$E$24)</f>
      </c>
      <c r="AH221" s="0">
        <f>MAX(0,P221-Calculator!$E$25)</f>
      </c>
      <c r="AI221" s="0">
        <f>MAX(0,Q221-Calculator!$E$26)</f>
      </c>
      <c r="AJ221" s="0">
        <f>MAX(0,R221-Calculator!$E$27)</f>
      </c>
      <c r="AK221" s="0">
        <f>MAX(0,S221-Calculator!$E$28)</f>
      </c>
      <c r="AL221" s="0">
        <f>MAX(0,MIN(T221,BX221-SUMPRODUCT(($T$2:$AK$2&lt;T$2)*($T221:$AK221))))</f>
      </c>
      <c r="AM221" s="0">
        <f>MAX(0,MIN(U221,BX221-SUMPRODUCT(($T$2:$AK$2&lt;U$2)*($T221:$AK221))))</f>
      </c>
      <c r="AN221" s="0">
        <f>MAX(0,MIN(V221,BX221-SUMPRODUCT(($T$2:$AK$2&lt;V$2)*($T221:$AK221))))</f>
      </c>
      <c r="AO221" s="0">
        <f>MAX(0,MIN(W221,BX221-SUMPRODUCT(($T$2:$AK$2&lt;W$2)*($T221:$AK221))))</f>
      </c>
      <c r="AP221" s="0">
        <f>MAX(0,MIN(X221,BX221-SUMPRODUCT(($T$2:$AK$2&lt;X$2)*($T221:$AK221))))</f>
      </c>
      <c r="AQ221" s="0">
        <f>MAX(0,MIN(Y221,BX221-SUMPRODUCT(($T$2:$AK$2&lt;Y$2)*($T221:$AK221))))</f>
      </c>
      <c r="AR221" s="0">
        <f>MAX(0,MIN(Z221,BX221-SUMPRODUCT(($T$2:$AK$2&lt;Z$2)*($T221:$AK221))))</f>
      </c>
      <c r="AS221" s="0">
        <f>MAX(0,MIN(AA221,BX221-SUMPRODUCT(($T$2:$AK$2&lt;AA$2)*($T221:$AK221))))</f>
      </c>
      <c r="AT221" s="0">
        <f>MAX(0,MIN(AB221,BX221-SUMPRODUCT(($T$2:$AK$2&lt;AB$2)*($T221:$AK221))))</f>
      </c>
      <c r="AU221" s="0">
        <f>MAX(0,MIN(AC221,BX221-SUMPRODUCT(($T$2:$AK$2&lt;AC$2)*($T221:$AK221))))</f>
      </c>
      <c r="AV221" s="0">
        <f>MAX(0,MIN(AD221,BX221-SUMPRODUCT(($T$2:$AK$2&lt;AD$2)*($T221:$AK221))))</f>
      </c>
      <c r="AW221" s="0">
        <f>MAX(0,MIN(AE221,BX221-SUMPRODUCT(($T$2:$AK$2&lt;AE$2)*($T221:$AK221))))</f>
      </c>
      <c r="AX221" s="0">
        <f>MAX(0,MIN(AF221,BX221-SUMPRODUCT(($T$2:$AK$2&lt;AF$2)*($T221:$AK221))))</f>
      </c>
      <c r="AY221" s="0">
        <f>MAX(0,MIN(AG221,BX221-SUMPRODUCT(($T$2:$AK$2&lt;AG$2)*($T221:$AK221))))</f>
      </c>
      <c r="AZ221" s="0">
        <f>MAX(0,MIN(AH221,BX221-SUMPRODUCT(($T$2:$AK$2&lt;AH$2)*($T221:$AK221))))</f>
      </c>
      <c r="BA221" s="0">
        <f>MAX(0,MIN(AI221,BX221-SUMPRODUCT(($T$2:$AK$2&lt;AI$2)*($T221:$AK221))))</f>
      </c>
      <c r="BB221" s="0">
        <f>MAX(0,MIN(AJ221,BX221-SUMPRODUCT(($T$2:$AK$2&lt;AJ$2)*($T221:$AK221))))</f>
      </c>
      <c r="BC221" s="0">
        <f>MAX(0,MIN(AK221,BX221-SUMPRODUCT(($T$2:$AK$2&lt;AK$2)*($T221:$AK221))))</f>
      </c>
      <c r="BD221" s="0">
        <f>T221-AL221</f>
      </c>
      <c r="BE221" s="0">
        <f>U221-AM221</f>
      </c>
      <c r="BF221" s="0">
        <f>V221-AN221</f>
      </c>
      <c r="BG221" s="0">
        <f>W221-AO221</f>
      </c>
      <c r="BH221" s="0">
        <f>X221-AP221</f>
      </c>
      <c r="BI221" s="0">
        <f>Y221-AQ221</f>
      </c>
      <c r="BJ221" s="0">
        <f>Z221-AR221</f>
      </c>
      <c r="BK221" s="0">
        <f>AA221-AS221</f>
      </c>
      <c r="BL221" s="0">
        <f>AB221-AT221</f>
      </c>
      <c r="BM221" s="0">
        <f>AC221-AU221</f>
      </c>
      <c r="BN221" s="0">
        <f>AD221-AV221</f>
      </c>
      <c r="BO221" s="0">
        <f>AE221-AW221</f>
      </c>
      <c r="BP221" s="0">
        <f>AF221-AX221</f>
      </c>
      <c r="BQ221" s="0">
        <f>AG221-AY221</f>
      </c>
      <c r="BR221" s="0">
        <f>AH221-AZ221</f>
      </c>
      <c r="BS221" s="0">
        <f>AI221-BA221</f>
      </c>
      <c r="BT221" s="0">
        <f>AJ221-BB221</f>
      </c>
      <c r="BU221" s="0">
        <f>AK221-BC221</f>
      </c>
      <c r="BV221" s="0">
        <f>SUM(B221:S221)</f>
      </c>
      <c r="BW221" s="0">
        <f>SUM(T221:AK221)</f>
      </c>
      <c r="BX221" s="0">
        <f>MAX(0,(SUM(Calculator!$E$11:$E$28)+Calculator!$C$6)-BV221+BW221)</f>
      </c>
      <c r="BY221" s="0">
        <f>SUM(BD221:BU221)</f>
      </c>
      <c r="BZ221" s="0">
        <f>BV221-BY220</f>
      </c>
      <c r="CA221" s="0">
        <f>IF(A221&lt;=IF($CD$1=0,999,$CD$1),BY221,NA())</f>
      </c>
      <c r="CB221" s="0">
        <f>IF(A221&lt;=IF($CD$1=0,999,$CD$1),A221,NA())</f>
      </c>
    </row>
    <row r="222">
      <c r="A222" s="0">
        <v>219</v>
      </c>
      <c r="B222" s="0">
        <f>BD221*(1+Calculator!$D$11/100/12)</f>
      </c>
      <c r="C222" s="0">
        <f>BE221*(1+Calculator!$D$12/100/12)</f>
      </c>
      <c r="D222" s="0">
        <f>BF221*(1+Calculator!$D$13/100/12)</f>
      </c>
      <c r="E222" s="0">
        <f>BG221*(1+Calculator!$D$14/100/12)</f>
      </c>
      <c r="F222" s="0">
        <f>BH221*(1+Calculator!$D$15/100/12)</f>
      </c>
      <c r="G222" s="0">
        <f>BI221*(1+Calculator!$D$16/100/12)</f>
      </c>
      <c r="H222" s="0">
        <f>BJ221*(1+Calculator!$D$17/100/12)</f>
      </c>
      <c r="I222" s="0">
        <f>BK221*(1+Calculator!$D$18/100/12)</f>
      </c>
      <c r="J222" s="0">
        <f>BL221*(1+Calculator!$D$19/100/12)</f>
      </c>
      <c r="K222" s="0">
        <f>BM221*(1+Calculator!$D$20/100/12)</f>
      </c>
      <c r="L222" s="0">
        <f>BN221*(1+Calculator!$D$21/100/12)</f>
      </c>
      <c r="M222" s="0">
        <f>BO221*(1+Calculator!$D$22/100/12)</f>
      </c>
      <c r="N222" s="0">
        <f>BP221*(1+Calculator!$D$23/100/12)</f>
      </c>
      <c r="O222" s="0">
        <f>BQ221*(1+Calculator!$D$24/100/12)</f>
      </c>
      <c r="P222" s="0">
        <f>BR221*(1+Calculator!$D$25/100/12)</f>
      </c>
      <c r="Q222" s="0">
        <f>BS221*(1+Calculator!$D$26/100/12)</f>
      </c>
      <c r="R222" s="0">
        <f>BT221*(1+Calculator!$D$27/100/12)</f>
      </c>
      <c r="S222" s="0">
        <f>BU221*(1+Calculator!$D$28/100/12)</f>
      </c>
      <c r="T222" s="0">
        <f>MAX(0,B222-Calculator!$E$11)</f>
      </c>
      <c r="U222" s="0">
        <f>MAX(0,C222-Calculator!$E$12)</f>
      </c>
      <c r="V222" s="0">
        <f>MAX(0,D222-Calculator!$E$13)</f>
      </c>
      <c r="W222" s="0">
        <f>MAX(0,E222-Calculator!$E$14)</f>
      </c>
      <c r="X222" s="0">
        <f>MAX(0,F222-Calculator!$E$15)</f>
      </c>
      <c r="Y222" s="0">
        <f>MAX(0,G222-Calculator!$E$16)</f>
      </c>
      <c r="Z222" s="0">
        <f>MAX(0,H222-Calculator!$E$17)</f>
      </c>
      <c r="AA222" s="0">
        <f>MAX(0,I222-Calculator!$E$18)</f>
      </c>
      <c r="AB222" s="0">
        <f>MAX(0,J222-Calculator!$E$19)</f>
      </c>
      <c r="AC222" s="0">
        <f>MAX(0,K222-Calculator!$E$20)</f>
      </c>
      <c r="AD222" s="0">
        <f>MAX(0,L222-Calculator!$E$21)</f>
      </c>
      <c r="AE222" s="0">
        <f>MAX(0,M222-Calculator!$E$22)</f>
      </c>
      <c r="AF222" s="0">
        <f>MAX(0,N222-Calculator!$E$23)</f>
      </c>
      <c r="AG222" s="0">
        <f>MAX(0,O222-Calculator!$E$24)</f>
      </c>
      <c r="AH222" s="0">
        <f>MAX(0,P222-Calculator!$E$25)</f>
      </c>
      <c r="AI222" s="0">
        <f>MAX(0,Q222-Calculator!$E$26)</f>
      </c>
      <c r="AJ222" s="0">
        <f>MAX(0,R222-Calculator!$E$27)</f>
      </c>
      <c r="AK222" s="0">
        <f>MAX(0,S222-Calculator!$E$28)</f>
      </c>
      <c r="AL222" s="0">
        <f>MAX(0,MIN(T222,BX222-SUMPRODUCT(($T$2:$AK$2&lt;T$2)*($T222:$AK222))))</f>
      </c>
      <c r="AM222" s="0">
        <f>MAX(0,MIN(U222,BX222-SUMPRODUCT(($T$2:$AK$2&lt;U$2)*($T222:$AK222))))</f>
      </c>
      <c r="AN222" s="0">
        <f>MAX(0,MIN(V222,BX222-SUMPRODUCT(($T$2:$AK$2&lt;V$2)*($T222:$AK222))))</f>
      </c>
      <c r="AO222" s="0">
        <f>MAX(0,MIN(W222,BX222-SUMPRODUCT(($T$2:$AK$2&lt;W$2)*($T222:$AK222))))</f>
      </c>
      <c r="AP222" s="0">
        <f>MAX(0,MIN(X222,BX222-SUMPRODUCT(($T$2:$AK$2&lt;X$2)*($T222:$AK222))))</f>
      </c>
      <c r="AQ222" s="0">
        <f>MAX(0,MIN(Y222,BX222-SUMPRODUCT(($T$2:$AK$2&lt;Y$2)*($T222:$AK222))))</f>
      </c>
      <c r="AR222" s="0">
        <f>MAX(0,MIN(Z222,BX222-SUMPRODUCT(($T$2:$AK$2&lt;Z$2)*($T222:$AK222))))</f>
      </c>
      <c r="AS222" s="0">
        <f>MAX(0,MIN(AA222,BX222-SUMPRODUCT(($T$2:$AK$2&lt;AA$2)*($T222:$AK222))))</f>
      </c>
      <c r="AT222" s="0">
        <f>MAX(0,MIN(AB222,BX222-SUMPRODUCT(($T$2:$AK$2&lt;AB$2)*($T222:$AK222))))</f>
      </c>
      <c r="AU222" s="0">
        <f>MAX(0,MIN(AC222,BX222-SUMPRODUCT(($T$2:$AK$2&lt;AC$2)*($T222:$AK222))))</f>
      </c>
      <c r="AV222" s="0">
        <f>MAX(0,MIN(AD222,BX222-SUMPRODUCT(($T$2:$AK$2&lt;AD$2)*($T222:$AK222))))</f>
      </c>
      <c r="AW222" s="0">
        <f>MAX(0,MIN(AE222,BX222-SUMPRODUCT(($T$2:$AK$2&lt;AE$2)*($T222:$AK222))))</f>
      </c>
      <c r="AX222" s="0">
        <f>MAX(0,MIN(AF222,BX222-SUMPRODUCT(($T$2:$AK$2&lt;AF$2)*($T222:$AK222))))</f>
      </c>
      <c r="AY222" s="0">
        <f>MAX(0,MIN(AG222,BX222-SUMPRODUCT(($T$2:$AK$2&lt;AG$2)*($T222:$AK222))))</f>
      </c>
      <c r="AZ222" s="0">
        <f>MAX(0,MIN(AH222,BX222-SUMPRODUCT(($T$2:$AK$2&lt;AH$2)*($T222:$AK222))))</f>
      </c>
      <c r="BA222" s="0">
        <f>MAX(0,MIN(AI222,BX222-SUMPRODUCT(($T$2:$AK$2&lt;AI$2)*($T222:$AK222))))</f>
      </c>
      <c r="BB222" s="0">
        <f>MAX(0,MIN(AJ222,BX222-SUMPRODUCT(($T$2:$AK$2&lt;AJ$2)*($T222:$AK222))))</f>
      </c>
      <c r="BC222" s="0">
        <f>MAX(0,MIN(AK222,BX222-SUMPRODUCT(($T$2:$AK$2&lt;AK$2)*($T222:$AK222))))</f>
      </c>
      <c r="BD222" s="0">
        <f>T222-AL222</f>
      </c>
      <c r="BE222" s="0">
        <f>U222-AM222</f>
      </c>
      <c r="BF222" s="0">
        <f>V222-AN222</f>
      </c>
      <c r="BG222" s="0">
        <f>W222-AO222</f>
      </c>
      <c r="BH222" s="0">
        <f>X222-AP222</f>
      </c>
      <c r="BI222" s="0">
        <f>Y222-AQ222</f>
      </c>
      <c r="BJ222" s="0">
        <f>Z222-AR222</f>
      </c>
      <c r="BK222" s="0">
        <f>AA222-AS222</f>
      </c>
      <c r="BL222" s="0">
        <f>AB222-AT222</f>
      </c>
      <c r="BM222" s="0">
        <f>AC222-AU222</f>
      </c>
      <c r="BN222" s="0">
        <f>AD222-AV222</f>
      </c>
      <c r="BO222" s="0">
        <f>AE222-AW222</f>
      </c>
      <c r="BP222" s="0">
        <f>AF222-AX222</f>
      </c>
      <c r="BQ222" s="0">
        <f>AG222-AY222</f>
      </c>
      <c r="BR222" s="0">
        <f>AH222-AZ222</f>
      </c>
      <c r="BS222" s="0">
        <f>AI222-BA222</f>
      </c>
      <c r="BT222" s="0">
        <f>AJ222-BB222</f>
      </c>
      <c r="BU222" s="0">
        <f>AK222-BC222</f>
      </c>
      <c r="BV222" s="0">
        <f>SUM(B222:S222)</f>
      </c>
      <c r="BW222" s="0">
        <f>SUM(T222:AK222)</f>
      </c>
      <c r="BX222" s="0">
        <f>MAX(0,(SUM(Calculator!$E$11:$E$28)+Calculator!$C$6)-BV222+BW222)</f>
      </c>
      <c r="BY222" s="0">
        <f>SUM(BD222:BU222)</f>
      </c>
      <c r="BZ222" s="0">
        <f>BV222-BY221</f>
      </c>
      <c r="CA222" s="0">
        <f>IF(A222&lt;=IF($CD$1=0,999,$CD$1),BY222,NA())</f>
      </c>
      <c r="CB222" s="0">
        <f>IF(A222&lt;=IF($CD$1=0,999,$CD$1),A222,NA())</f>
      </c>
    </row>
    <row r="223">
      <c r="A223" s="0">
        <v>220</v>
      </c>
      <c r="B223" s="0">
        <f>BD222*(1+Calculator!$D$11/100/12)</f>
      </c>
      <c r="C223" s="0">
        <f>BE222*(1+Calculator!$D$12/100/12)</f>
      </c>
      <c r="D223" s="0">
        <f>BF222*(1+Calculator!$D$13/100/12)</f>
      </c>
      <c r="E223" s="0">
        <f>BG222*(1+Calculator!$D$14/100/12)</f>
      </c>
      <c r="F223" s="0">
        <f>BH222*(1+Calculator!$D$15/100/12)</f>
      </c>
      <c r="G223" s="0">
        <f>BI222*(1+Calculator!$D$16/100/12)</f>
      </c>
      <c r="H223" s="0">
        <f>BJ222*(1+Calculator!$D$17/100/12)</f>
      </c>
      <c r="I223" s="0">
        <f>BK222*(1+Calculator!$D$18/100/12)</f>
      </c>
      <c r="J223" s="0">
        <f>BL222*(1+Calculator!$D$19/100/12)</f>
      </c>
      <c r="K223" s="0">
        <f>BM222*(1+Calculator!$D$20/100/12)</f>
      </c>
      <c r="L223" s="0">
        <f>BN222*(1+Calculator!$D$21/100/12)</f>
      </c>
      <c r="M223" s="0">
        <f>BO222*(1+Calculator!$D$22/100/12)</f>
      </c>
      <c r="N223" s="0">
        <f>BP222*(1+Calculator!$D$23/100/12)</f>
      </c>
      <c r="O223" s="0">
        <f>BQ222*(1+Calculator!$D$24/100/12)</f>
      </c>
      <c r="P223" s="0">
        <f>BR222*(1+Calculator!$D$25/100/12)</f>
      </c>
      <c r="Q223" s="0">
        <f>BS222*(1+Calculator!$D$26/100/12)</f>
      </c>
      <c r="R223" s="0">
        <f>BT222*(1+Calculator!$D$27/100/12)</f>
      </c>
      <c r="S223" s="0">
        <f>BU222*(1+Calculator!$D$28/100/12)</f>
      </c>
      <c r="T223" s="0">
        <f>MAX(0,B223-Calculator!$E$11)</f>
      </c>
      <c r="U223" s="0">
        <f>MAX(0,C223-Calculator!$E$12)</f>
      </c>
      <c r="V223" s="0">
        <f>MAX(0,D223-Calculator!$E$13)</f>
      </c>
      <c r="W223" s="0">
        <f>MAX(0,E223-Calculator!$E$14)</f>
      </c>
      <c r="X223" s="0">
        <f>MAX(0,F223-Calculator!$E$15)</f>
      </c>
      <c r="Y223" s="0">
        <f>MAX(0,G223-Calculator!$E$16)</f>
      </c>
      <c r="Z223" s="0">
        <f>MAX(0,H223-Calculator!$E$17)</f>
      </c>
      <c r="AA223" s="0">
        <f>MAX(0,I223-Calculator!$E$18)</f>
      </c>
      <c r="AB223" s="0">
        <f>MAX(0,J223-Calculator!$E$19)</f>
      </c>
      <c r="AC223" s="0">
        <f>MAX(0,K223-Calculator!$E$20)</f>
      </c>
      <c r="AD223" s="0">
        <f>MAX(0,L223-Calculator!$E$21)</f>
      </c>
      <c r="AE223" s="0">
        <f>MAX(0,M223-Calculator!$E$22)</f>
      </c>
      <c r="AF223" s="0">
        <f>MAX(0,N223-Calculator!$E$23)</f>
      </c>
      <c r="AG223" s="0">
        <f>MAX(0,O223-Calculator!$E$24)</f>
      </c>
      <c r="AH223" s="0">
        <f>MAX(0,P223-Calculator!$E$25)</f>
      </c>
      <c r="AI223" s="0">
        <f>MAX(0,Q223-Calculator!$E$26)</f>
      </c>
      <c r="AJ223" s="0">
        <f>MAX(0,R223-Calculator!$E$27)</f>
      </c>
      <c r="AK223" s="0">
        <f>MAX(0,S223-Calculator!$E$28)</f>
      </c>
      <c r="AL223" s="0">
        <f>MAX(0,MIN(T223,BX223-SUMPRODUCT(($T$2:$AK$2&lt;T$2)*($T223:$AK223))))</f>
      </c>
      <c r="AM223" s="0">
        <f>MAX(0,MIN(U223,BX223-SUMPRODUCT(($T$2:$AK$2&lt;U$2)*($T223:$AK223))))</f>
      </c>
      <c r="AN223" s="0">
        <f>MAX(0,MIN(V223,BX223-SUMPRODUCT(($T$2:$AK$2&lt;V$2)*($T223:$AK223))))</f>
      </c>
      <c r="AO223" s="0">
        <f>MAX(0,MIN(W223,BX223-SUMPRODUCT(($T$2:$AK$2&lt;W$2)*($T223:$AK223))))</f>
      </c>
      <c r="AP223" s="0">
        <f>MAX(0,MIN(X223,BX223-SUMPRODUCT(($T$2:$AK$2&lt;X$2)*($T223:$AK223))))</f>
      </c>
      <c r="AQ223" s="0">
        <f>MAX(0,MIN(Y223,BX223-SUMPRODUCT(($T$2:$AK$2&lt;Y$2)*($T223:$AK223))))</f>
      </c>
      <c r="AR223" s="0">
        <f>MAX(0,MIN(Z223,BX223-SUMPRODUCT(($T$2:$AK$2&lt;Z$2)*($T223:$AK223))))</f>
      </c>
      <c r="AS223" s="0">
        <f>MAX(0,MIN(AA223,BX223-SUMPRODUCT(($T$2:$AK$2&lt;AA$2)*($T223:$AK223))))</f>
      </c>
      <c r="AT223" s="0">
        <f>MAX(0,MIN(AB223,BX223-SUMPRODUCT(($T$2:$AK$2&lt;AB$2)*($T223:$AK223))))</f>
      </c>
      <c r="AU223" s="0">
        <f>MAX(0,MIN(AC223,BX223-SUMPRODUCT(($T$2:$AK$2&lt;AC$2)*($T223:$AK223))))</f>
      </c>
      <c r="AV223" s="0">
        <f>MAX(0,MIN(AD223,BX223-SUMPRODUCT(($T$2:$AK$2&lt;AD$2)*($T223:$AK223))))</f>
      </c>
      <c r="AW223" s="0">
        <f>MAX(0,MIN(AE223,BX223-SUMPRODUCT(($T$2:$AK$2&lt;AE$2)*($T223:$AK223))))</f>
      </c>
      <c r="AX223" s="0">
        <f>MAX(0,MIN(AF223,BX223-SUMPRODUCT(($T$2:$AK$2&lt;AF$2)*($T223:$AK223))))</f>
      </c>
      <c r="AY223" s="0">
        <f>MAX(0,MIN(AG223,BX223-SUMPRODUCT(($T$2:$AK$2&lt;AG$2)*($T223:$AK223))))</f>
      </c>
      <c r="AZ223" s="0">
        <f>MAX(0,MIN(AH223,BX223-SUMPRODUCT(($T$2:$AK$2&lt;AH$2)*($T223:$AK223))))</f>
      </c>
      <c r="BA223" s="0">
        <f>MAX(0,MIN(AI223,BX223-SUMPRODUCT(($T$2:$AK$2&lt;AI$2)*($T223:$AK223))))</f>
      </c>
      <c r="BB223" s="0">
        <f>MAX(0,MIN(AJ223,BX223-SUMPRODUCT(($T$2:$AK$2&lt;AJ$2)*($T223:$AK223))))</f>
      </c>
      <c r="BC223" s="0">
        <f>MAX(0,MIN(AK223,BX223-SUMPRODUCT(($T$2:$AK$2&lt;AK$2)*($T223:$AK223))))</f>
      </c>
      <c r="BD223" s="0">
        <f>T223-AL223</f>
      </c>
      <c r="BE223" s="0">
        <f>U223-AM223</f>
      </c>
      <c r="BF223" s="0">
        <f>V223-AN223</f>
      </c>
      <c r="BG223" s="0">
        <f>W223-AO223</f>
      </c>
      <c r="BH223" s="0">
        <f>X223-AP223</f>
      </c>
      <c r="BI223" s="0">
        <f>Y223-AQ223</f>
      </c>
      <c r="BJ223" s="0">
        <f>Z223-AR223</f>
      </c>
      <c r="BK223" s="0">
        <f>AA223-AS223</f>
      </c>
      <c r="BL223" s="0">
        <f>AB223-AT223</f>
      </c>
      <c r="BM223" s="0">
        <f>AC223-AU223</f>
      </c>
      <c r="BN223" s="0">
        <f>AD223-AV223</f>
      </c>
      <c r="BO223" s="0">
        <f>AE223-AW223</f>
      </c>
      <c r="BP223" s="0">
        <f>AF223-AX223</f>
      </c>
      <c r="BQ223" s="0">
        <f>AG223-AY223</f>
      </c>
      <c r="BR223" s="0">
        <f>AH223-AZ223</f>
      </c>
      <c r="BS223" s="0">
        <f>AI223-BA223</f>
      </c>
      <c r="BT223" s="0">
        <f>AJ223-BB223</f>
      </c>
      <c r="BU223" s="0">
        <f>AK223-BC223</f>
      </c>
      <c r="BV223" s="0">
        <f>SUM(B223:S223)</f>
      </c>
      <c r="BW223" s="0">
        <f>SUM(T223:AK223)</f>
      </c>
      <c r="BX223" s="0">
        <f>MAX(0,(SUM(Calculator!$E$11:$E$28)+Calculator!$C$6)-BV223+BW223)</f>
      </c>
      <c r="BY223" s="0">
        <f>SUM(BD223:BU223)</f>
      </c>
      <c r="BZ223" s="0">
        <f>BV223-BY222</f>
      </c>
      <c r="CA223" s="0">
        <f>IF(A223&lt;=IF($CD$1=0,999,$CD$1),BY223,NA())</f>
      </c>
      <c r="CB223" s="0">
        <f>IF(A223&lt;=IF($CD$1=0,999,$CD$1),A223,NA())</f>
      </c>
    </row>
    <row r="224">
      <c r="A224" s="0">
        <v>221</v>
      </c>
      <c r="B224" s="0">
        <f>BD223*(1+Calculator!$D$11/100/12)</f>
      </c>
      <c r="C224" s="0">
        <f>BE223*(1+Calculator!$D$12/100/12)</f>
      </c>
      <c r="D224" s="0">
        <f>BF223*(1+Calculator!$D$13/100/12)</f>
      </c>
      <c r="E224" s="0">
        <f>BG223*(1+Calculator!$D$14/100/12)</f>
      </c>
      <c r="F224" s="0">
        <f>BH223*(1+Calculator!$D$15/100/12)</f>
      </c>
      <c r="G224" s="0">
        <f>BI223*(1+Calculator!$D$16/100/12)</f>
      </c>
      <c r="H224" s="0">
        <f>BJ223*(1+Calculator!$D$17/100/12)</f>
      </c>
      <c r="I224" s="0">
        <f>BK223*(1+Calculator!$D$18/100/12)</f>
      </c>
      <c r="J224" s="0">
        <f>BL223*(1+Calculator!$D$19/100/12)</f>
      </c>
      <c r="K224" s="0">
        <f>BM223*(1+Calculator!$D$20/100/12)</f>
      </c>
      <c r="L224" s="0">
        <f>BN223*(1+Calculator!$D$21/100/12)</f>
      </c>
      <c r="M224" s="0">
        <f>BO223*(1+Calculator!$D$22/100/12)</f>
      </c>
      <c r="N224" s="0">
        <f>BP223*(1+Calculator!$D$23/100/12)</f>
      </c>
      <c r="O224" s="0">
        <f>BQ223*(1+Calculator!$D$24/100/12)</f>
      </c>
      <c r="P224" s="0">
        <f>BR223*(1+Calculator!$D$25/100/12)</f>
      </c>
      <c r="Q224" s="0">
        <f>BS223*(1+Calculator!$D$26/100/12)</f>
      </c>
      <c r="R224" s="0">
        <f>BT223*(1+Calculator!$D$27/100/12)</f>
      </c>
      <c r="S224" s="0">
        <f>BU223*(1+Calculator!$D$28/100/12)</f>
      </c>
      <c r="T224" s="0">
        <f>MAX(0,B224-Calculator!$E$11)</f>
      </c>
      <c r="U224" s="0">
        <f>MAX(0,C224-Calculator!$E$12)</f>
      </c>
      <c r="V224" s="0">
        <f>MAX(0,D224-Calculator!$E$13)</f>
      </c>
      <c r="W224" s="0">
        <f>MAX(0,E224-Calculator!$E$14)</f>
      </c>
      <c r="X224" s="0">
        <f>MAX(0,F224-Calculator!$E$15)</f>
      </c>
      <c r="Y224" s="0">
        <f>MAX(0,G224-Calculator!$E$16)</f>
      </c>
      <c r="Z224" s="0">
        <f>MAX(0,H224-Calculator!$E$17)</f>
      </c>
      <c r="AA224" s="0">
        <f>MAX(0,I224-Calculator!$E$18)</f>
      </c>
      <c r="AB224" s="0">
        <f>MAX(0,J224-Calculator!$E$19)</f>
      </c>
      <c r="AC224" s="0">
        <f>MAX(0,K224-Calculator!$E$20)</f>
      </c>
      <c r="AD224" s="0">
        <f>MAX(0,L224-Calculator!$E$21)</f>
      </c>
      <c r="AE224" s="0">
        <f>MAX(0,M224-Calculator!$E$22)</f>
      </c>
      <c r="AF224" s="0">
        <f>MAX(0,N224-Calculator!$E$23)</f>
      </c>
      <c r="AG224" s="0">
        <f>MAX(0,O224-Calculator!$E$24)</f>
      </c>
      <c r="AH224" s="0">
        <f>MAX(0,P224-Calculator!$E$25)</f>
      </c>
      <c r="AI224" s="0">
        <f>MAX(0,Q224-Calculator!$E$26)</f>
      </c>
      <c r="AJ224" s="0">
        <f>MAX(0,R224-Calculator!$E$27)</f>
      </c>
      <c r="AK224" s="0">
        <f>MAX(0,S224-Calculator!$E$28)</f>
      </c>
      <c r="AL224" s="0">
        <f>MAX(0,MIN(T224,BX224-SUMPRODUCT(($T$2:$AK$2&lt;T$2)*($T224:$AK224))))</f>
      </c>
      <c r="AM224" s="0">
        <f>MAX(0,MIN(U224,BX224-SUMPRODUCT(($T$2:$AK$2&lt;U$2)*($T224:$AK224))))</f>
      </c>
      <c r="AN224" s="0">
        <f>MAX(0,MIN(V224,BX224-SUMPRODUCT(($T$2:$AK$2&lt;V$2)*($T224:$AK224))))</f>
      </c>
      <c r="AO224" s="0">
        <f>MAX(0,MIN(W224,BX224-SUMPRODUCT(($T$2:$AK$2&lt;W$2)*($T224:$AK224))))</f>
      </c>
      <c r="AP224" s="0">
        <f>MAX(0,MIN(X224,BX224-SUMPRODUCT(($T$2:$AK$2&lt;X$2)*($T224:$AK224))))</f>
      </c>
      <c r="AQ224" s="0">
        <f>MAX(0,MIN(Y224,BX224-SUMPRODUCT(($T$2:$AK$2&lt;Y$2)*($T224:$AK224))))</f>
      </c>
      <c r="AR224" s="0">
        <f>MAX(0,MIN(Z224,BX224-SUMPRODUCT(($T$2:$AK$2&lt;Z$2)*($T224:$AK224))))</f>
      </c>
      <c r="AS224" s="0">
        <f>MAX(0,MIN(AA224,BX224-SUMPRODUCT(($T$2:$AK$2&lt;AA$2)*($T224:$AK224))))</f>
      </c>
      <c r="AT224" s="0">
        <f>MAX(0,MIN(AB224,BX224-SUMPRODUCT(($T$2:$AK$2&lt;AB$2)*($T224:$AK224))))</f>
      </c>
      <c r="AU224" s="0">
        <f>MAX(0,MIN(AC224,BX224-SUMPRODUCT(($T$2:$AK$2&lt;AC$2)*($T224:$AK224))))</f>
      </c>
      <c r="AV224" s="0">
        <f>MAX(0,MIN(AD224,BX224-SUMPRODUCT(($T$2:$AK$2&lt;AD$2)*($T224:$AK224))))</f>
      </c>
      <c r="AW224" s="0">
        <f>MAX(0,MIN(AE224,BX224-SUMPRODUCT(($T$2:$AK$2&lt;AE$2)*($T224:$AK224))))</f>
      </c>
      <c r="AX224" s="0">
        <f>MAX(0,MIN(AF224,BX224-SUMPRODUCT(($T$2:$AK$2&lt;AF$2)*($T224:$AK224))))</f>
      </c>
      <c r="AY224" s="0">
        <f>MAX(0,MIN(AG224,BX224-SUMPRODUCT(($T$2:$AK$2&lt;AG$2)*($T224:$AK224))))</f>
      </c>
      <c r="AZ224" s="0">
        <f>MAX(0,MIN(AH224,BX224-SUMPRODUCT(($T$2:$AK$2&lt;AH$2)*($T224:$AK224))))</f>
      </c>
      <c r="BA224" s="0">
        <f>MAX(0,MIN(AI224,BX224-SUMPRODUCT(($T$2:$AK$2&lt;AI$2)*($T224:$AK224))))</f>
      </c>
      <c r="BB224" s="0">
        <f>MAX(0,MIN(AJ224,BX224-SUMPRODUCT(($T$2:$AK$2&lt;AJ$2)*($T224:$AK224))))</f>
      </c>
      <c r="BC224" s="0">
        <f>MAX(0,MIN(AK224,BX224-SUMPRODUCT(($T$2:$AK$2&lt;AK$2)*($T224:$AK224))))</f>
      </c>
      <c r="BD224" s="0">
        <f>T224-AL224</f>
      </c>
      <c r="BE224" s="0">
        <f>U224-AM224</f>
      </c>
      <c r="BF224" s="0">
        <f>V224-AN224</f>
      </c>
      <c r="BG224" s="0">
        <f>W224-AO224</f>
      </c>
      <c r="BH224" s="0">
        <f>X224-AP224</f>
      </c>
      <c r="BI224" s="0">
        <f>Y224-AQ224</f>
      </c>
      <c r="BJ224" s="0">
        <f>Z224-AR224</f>
      </c>
      <c r="BK224" s="0">
        <f>AA224-AS224</f>
      </c>
      <c r="BL224" s="0">
        <f>AB224-AT224</f>
      </c>
      <c r="BM224" s="0">
        <f>AC224-AU224</f>
      </c>
      <c r="BN224" s="0">
        <f>AD224-AV224</f>
      </c>
      <c r="BO224" s="0">
        <f>AE224-AW224</f>
      </c>
      <c r="BP224" s="0">
        <f>AF224-AX224</f>
      </c>
      <c r="BQ224" s="0">
        <f>AG224-AY224</f>
      </c>
      <c r="BR224" s="0">
        <f>AH224-AZ224</f>
      </c>
      <c r="BS224" s="0">
        <f>AI224-BA224</f>
      </c>
      <c r="BT224" s="0">
        <f>AJ224-BB224</f>
      </c>
      <c r="BU224" s="0">
        <f>AK224-BC224</f>
      </c>
      <c r="BV224" s="0">
        <f>SUM(B224:S224)</f>
      </c>
      <c r="BW224" s="0">
        <f>SUM(T224:AK224)</f>
      </c>
      <c r="BX224" s="0">
        <f>MAX(0,(SUM(Calculator!$E$11:$E$28)+Calculator!$C$6)-BV224+BW224)</f>
      </c>
      <c r="BY224" s="0">
        <f>SUM(BD224:BU224)</f>
      </c>
      <c r="BZ224" s="0">
        <f>BV224-BY223</f>
      </c>
      <c r="CA224" s="0">
        <f>IF(A224&lt;=IF($CD$1=0,999,$CD$1),BY224,NA())</f>
      </c>
      <c r="CB224" s="0">
        <f>IF(A224&lt;=IF($CD$1=0,999,$CD$1),A224,NA())</f>
      </c>
    </row>
    <row r="225">
      <c r="A225" s="0">
        <v>222</v>
      </c>
      <c r="B225" s="0">
        <f>BD224*(1+Calculator!$D$11/100/12)</f>
      </c>
      <c r="C225" s="0">
        <f>BE224*(1+Calculator!$D$12/100/12)</f>
      </c>
      <c r="D225" s="0">
        <f>BF224*(1+Calculator!$D$13/100/12)</f>
      </c>
      <c r="E225" s="0">
        <f>BG224*(1+Calculator!$D$14/100/12)</f>
      </c>
      <c r="F225" s="0">
        <f>BH224*(1+Calculator!$D$15/100/12)</f>
      </c>
      <c r="G225" s="0">
        <f>BI224*(1+Calculator!$D$16/100/12)</f>
      </c>
      <c r="H225" s="0">
        <f>BJ224*(1+Calculator!$D$17/100/12)</f>
      </c>
      <c r="I225" s="0">
        <f>BK224*(1+Calculator!$D$18/100/12)</f>
      </c>
      <c r="J225" s="0">
        <f>BL224*(1+Calculator!$D$19/100/12)</f>
      </c>
      <c r="K225" s="0">
        <f>BM224*(1+Calculator!$D$20/100/12)</f>
      </c>
      <c r="L225" s="0">
        <f>BN224*(1+Calculator!$D$21/100/12)</f>
      </c>
      <c r="M225" s="0">
        <f>BO224*(1+Calculator!$D$22/100/12)</f>
      </c>
      <c r="N225" s="0">
        <f>BP224*(1+Calculator!$D$23/100/12)</f>
      </c>
      <c r="O225" s="0">
        <f>BQ224*(1+Calculator!$D$24/100/12)</f>
      </c>
      <c r="P225" s="0">
        <f>BR224*(1+Calculator!$D$25/100/12)</f>
      </c>
      <c r="Q225" s="0">
        <f>BS224*(1+Calculator!$D$26/100/12)</f>
      </c>
      <c r="R225" s="0">
        <f>BT224*(1+Calculator!$D$27/100/12)</f>
      </c>
      <c r="S225" s="0">
        <f>BU224*(1+Calculator!$D$28/100/12)</f>
      </c>
      <c r="T225" s="0">
        <f>MAX(0,B225-Calculator!$E$11)</f>
      </c>
      <c r="U225" s="0">
        <f>MAX(0,C225-Calculator!$E$12)</f>
      </c>
      <c r="V225" s="0">
        <f>MAX(0,D225-Calculator!$E$13)</f>
      </c>
      <c r="W225" s="0">
        <f>MAX(0,E225-Calculator!$E$14)</f>
      </c>
      <c r="X225" s="0">
        <f>MAX(0,F225-Calculator!$E$15)</f>
      </c>
      <c r="Y225" s="0">
        <f>MAX(0,G225-Calculator!$E$16)</f>
      </c>
      <c r="Z225" s="0">
        <f>MAX(0,H225-Calculator!$E$17)</f>
      </c>
      <c r="AA225" s="0">
        <f>MAX(0,I225-Calculator!$E$18)</f>
      </c>
      <c r="AB225" s="0">
        <f>MAX(0,J225-Calculator!$E$19)</f>
      </c>
      <c r="AC225" s="0">
        <f>MAX(0,K225-Calculator!$E$20)</f>
      </c>
      <c r="AD225" s="0">
        <f>MAX(0,L225-Calculator!$E$21)</f>
      </c>
      <c r="AE225" s="0">
        <f>MAX(0,M225-Calculator!$E$22)</f>
      </c>
      <c r="AF225" s="0">
        <f>MAX(0,N225-Calculator!$E$23)</f>
      </c>
      <c r="AG225" s="0">
        <f>MAX(0,O225-Calculator!$E$24)</f>
      </c>
      <c r="AH225" s="0">
        <f>MAX(0,P225-Calculator!$E$25)</f>
      </c>
      <c r="AI225" s="0">
        <f>MAX(0,Q225-Calculator!$E$26)</f>
      </c>
      <c r="AJ225" s="0">
        <f>MAX(0,R225-Calculator!$E$27)</f>
      </c>
      <c r="AK225" s="0">
        <f>MAX(0,S225-Calculator!$E$28)</f>
      </c>
      <c r="AL225" s="0">
        <f>MAX(0,MIN(T225,BX225-SUMPRODUCT(($T$2:$AK$2&lt;T$2)*($T225:$AK225))))</f>
      </c>
      <c r="AM225" s="0">
        <f>MAX(0,MIN(U225,BX225-SUMPRODUCT(($T$2:$AK$2&lt;U$2)*($T225:$AK225))))</f>
      </c>
      <c r="AN225" s="0">
        <f>MAX(0,MIN(V225,BX225-SUMPRODUCT(($T$2:$AK$2&lt;V$2)*($T225:$AK225))))</f>
      </c>
      <c r="AO225" s="0">
        <f>MAX(0,MIN(W225,BX225-SUMPRODUCT(($T$2:$AK$2&lt;W$2)*($T225:$AK225))))</f>
      </c>
      <c r="AP225" s="0">
        <f>MAX(0,MIN(X225,BX225-SUMPRODUCT(($T$2:$AK$2&lt;X$2)*($T225:$AK225))))</f>
      </c>
      <c r="AQ225" s="0">
        <f>MAX(0,MIN(Y225,BX225-SUMPRODUCT(($T$2:$AK$2&lt;Y$2)*($T225:$AK225))))</f>
      </c>
      <c r="AR225" s="0">
        <f>MAX(0,MIN(Z225,BX225-SUMPRODUCT(($T$2:$AK$2&lt;Z$2)*($T225:$AK225))))</f>
      </c>
      <c r="AS225" s="0">
        <f>MAX(0,MIN(AA225,BX225-SUMPRODUCT(($T$2:$AK$2&lt;AA$2)*($T225:$AK225))))</f>
      </c>
      <c r="AT225" s="0">
        <f>MAX(0,MIN(AB225,BX225-SUMPRODUCT(($T$2:$AK$2&lt;AB$2)*($T225:$AK225))))</f>
      </c>
      <c r="AU225" s="0">
        <f>MAX(0,MIN(AC225,BX225-SUMPRODUCT(($T$2:$AK$2&lt;AC$2)*($T225:$AK225))))</f>
      </c>
      <c r="AV225" s="0">
        <f>MAX(0,MIN(AD225,BX225-SUMPRODUCT(($T$2:$AK$2&lt;AD$2)*($T225:$AK225))))</f>
      </c>
      <c r="AW225" s="0">
        <f>MAX(0,MIN(AE225,BX225-SUMPRODUCT(($T$2:$AK$2&lt;AE$2)*($T225:$AK225))))</f>
      </c>
      <c r="AX225" s="0">
        <f>MAX(0,MIN(AF225,BX225-SUMPRODUCT(($T$2:$AK$2&lt;AF$2)*($T225:$AK225))))</f>
      </c>
      <c r="AY225" s="0">
        <f>MAX(0,MIN(AG225,BX225-SUMPRODUCT(($T$2:$AK$2&lt;AG$2)*($T225:$AK225))))</f>
      </c>
      <c r="AZ225" s="0">
        <f>MAX(0,MIN(AH225,BX225-SUMPRODUCT(($T$2:$AK$2&lt;AH$2)*($T225:$AK225))))</f>
      </c>
      <c r="BA225" s="0">
        <f>MAX(0,MIN(AI225,BX225-SUMPRODUCT(($T$2:$AK$2&lt;AI$2)*($T225:$AK225))))</f>
      </c>
      <c r="BB225" s="0">
        <f>MAX(0,MIN(AJ225,BX225-SUMPRODUCT(($T$2:$AK$2&lt;AJ$2)*($T225:$AK225))))</f>
      </c>
      <c r="BC225" s="0">
        <f>MAX(0,MIN(AK225,BX225-SUMPRODUCT(($T$2:$AK$2&lt;AK$2)*($T225:$AK225))))</f>
      </c>
      <c r="BD225" s="0">
        <f>T225-AL225</f>
      </c>
      <c r="BE225" s="0">
        <f>U225-AM225</f>
      </c>
      <c r="BF225" s="0">
        <f>V225-AN225</f>
      </c>
      <c r="BG225" s="0">
        <f>W225-AO225</f>
      </c>
      <c r="BH225" s="0">
        <f>X225-AP225</f>
      </c>
      <c r="BI225" s="0">
        <f>Y225-AQ225</f>
      </c>
      <c r="BJ225" s="0">
        <f>Z225-AR225</f>
      </c>
      <c r="BK225" s="0">
        <f>AA225-AS225</f>
      </c>
      <c r="BL225" s="0">
        <f>AB225-AT225</f>
      </c>
      <c r="BM225" s="0">
        <f>AC225-AU225</f>
      </c>
      <c r="BN225" s="0">
        <f>AD225-AV225</f>
      </c>
      <c r="BO225" s="0">
        <f>AE225-AW225</f>
      </c>
      <c r="BP225" s="0">
        <f>AF225-AX225</f>
      </c>
      <c r="BQ225" s="0">
        <f>AG225-AY225</f>
      </c>
      <c r="BR225" s="0">
        <f>AH225-AZ225</f>
      </c>
      <c r="BS225" s="0">
        <f>AI225-BA225</f>
      </c>
      <c r="BT225" s="0">
        <f>AJ225-BB225</f>
      </c>
      <c r="BU225" s="0">
        <f>AK225-BC225</f>
      </c>
      <c r="BV225" s="0">
        <f>SUM(B225:S225)</f>
      </c>
      <c r="BW225" s="0">
        <f>SUM(T225:AK225)</f>
      </c>
      <c r="BX225" s="0">
        <f>MAX(0,(SUM(Calculator!$E$11:$E$28)+Calculator!$C$6)-BV225+BW225)</f>
      </c>
      <c r="BY225" s="0">
        <f>SUM(BD225:BU225)</f>
      </c>
      <c r="BZ225" s="0">
        <f>BV225-BY224</f>
      </c>
      <c r="CA225" s="0">
        <f>IF(A225&lt;=IF($CD$1=0,999,$CD$1),BY225,NA())</f>
      </c>
      <c r="CB225" s="0">
        <f>IF(A225&lt;=IF($CD$1=0,999,$CD$1),A225,NA())</f>
      </c>
    </row>
    <row r="226">
      <c r="A226" s="0">
        <v>223</v>
      </c>
      <c r="B226" s="0">
        <f>BD225*(1+Calculator!$D$11/100/12)</f>
      </c>
      <c r="C226" s="0">
        <f>BE225*(1+Calculator!$D$12/100/12)</f>
      </c>
      <c r="D226" s="0">
        <f>BF225*(1+Calculator!$D$13/100/12)</f>
      </c>
      <c r="E226" s="0">
        <f>BG225*(1+Calculator!$D$14/100/12)</f>
      </c>
      <c r="F226" s="0">
        <f>BH225*(1+Calculator!$D$15/100/12)</f>
      </c>
      <c r="G226" s="0">
        <f>BI225*(1+Calculator!$D$16/100/12)</f>
      </c>
      <c r="H226" s="0">
        <f>BJ225*(1+Calculator!$D$17/100/12)</f>
      </c>
      <c r="I226" s="0">
        <f>BK225*(1+Calculator!$D$18/100/12)</f>
      </c>
      <c r="J226" s="0">
        <f>BL225*(1+Calculator!$D$19/100/12)</f>
      </c>
      <c r="K226" s="0">
        <f>BM225*(1+Calculator!$D$20/100/12)</f>
      </c>
      <c r="L226" s="0">
        <f>BN225*(1+Calculator!$D$21/100/12)</f>
      </c>
      <c r="M226" s="0">
        <f>BO225*(1+Calculator!$D$22/100/12)</f>
      </c>
      <c r="N226" s="0">
        <f>BP225*(1+Calculator!$D$23/100/12)</f>
      </c>
      <c r="O226" s="0">
        <f>BQ225*(1+Calculator!$D$24/100/12)</f>
      </c>
      <c r="P226" s="0">
        <f>BR225*(1+Calculator!$D$25/100/12)</f>
      </c>
      <c r="Q226" s="0">
        <f>BS225*(1+Calculator!$D$26/100/12)</f>
      </c>
      <c r="R226" s="0">
        <f>BT225*(1+Calculator!$D$27/100/12)</f>
      </c>
      <c r="S226" s="0">
        <f>BU225*(1+Calculator!$D$28/100/12)</f>
      </c>
      <c r="T226" s="0">
        <f>MAX(0,B226-Calculator!$E$11)</f>
      </c>
      <c r="U226" s="0">
        <f>MAX(0,C226-Calculator!$E$12)</f>
      </c>
      <c r="V226" s="0">
        <f>MAX(0,D226-Calculator!$E$13)</f>
      </c>
      <c r="W226" s="0">
        <f>MAX(0,E226-Calculator!$E$14)</f>
      </c>
      <c r="X226" s="0">
        <f>MAX(0,F226-Calculator!$E$15)</f>
      </c>
      <c r="Y226" s="0">
        <f>MAX(0,G226-Calculator!$E$16)</f>
      </c>
      <c r="Z226" s="0">
        <f>MAX(0,H226-Calculator!$E$17)</f>
      </c>
      <c r="AA226" s="0">
        <f>MAX(0,I226-Calculator!$E$18)</f>
      </c>
      <c r="AB226" s="0">
        <f>MAX(0,J226-Calculator!$E$19)</f>
      </c>
      <c r="AC226" s="0">
        <f>MAX(0,K226-Calculator!$E$20)</f>
      </c>
      <c r="AD226" s="0">
        <f>MAX(0,L226-Calculator!$E$21)</f>
      </c>
      <c r="AE226" s="0">
        <f>MAX(0,M226-Calculator!$E$22)</f>
      </c>
      <c r="AF226" s="0">
        <f>MAX(0,N226-Calculator!$E$23)</f>
      </c>
      <c r="AG226" s="0">
        <f>MAX(0,O226-Calculator!$E$24)</f>
      </c>
      <c r="AH226" s="0">
        <f>MAX(0,P226-Calculator!$E$25)</f>
      </c>
      <c r="AI226" s="0">
        <f>MAX(0,Q226-Calculator!$E$26)</f>
      </c>
      <c r="AJ226" s="0">
        <f>MAX(0,R226-Calculator!$E$27)</f>
      </c>
      <c r="AK226" s="0">
        <f>MAX(0,S226-Calculator!$E$28)</f>
      </c>
      <c r="AL226" s="0">
        <f>MAX(0,MIN(T226,BX226-SUMPRODUCT(($T$2:$AK$2&lt;T$2)*($T226:$AK226))))</f>
      </c>
      <c r="AM226" s="0">
        <f>MAX(0,MIN(U226,BX226-SUMPRODUCT(($T$2:$AK$2&lt;U$2)*($T226:$AK226))))</f>
      </c>
      <c r="AN226" s="0">
        <f>MAX(0,MIN(V226,BX226-SUMPRODUCT(($T$2:$AK$2&lt;V$2)*($T226:$AK226))))</f>
      </c>
      <c r="AO226" s="0">
        <f>MAX(0,MIN(W226,BX226-SUMPRODUCT(($T$2:$AK$2&lt;W$2)*($T226:$AK226))))</f>
      </c>
      <c r="AP226" s="0">
        <f>MAX(0,MIN(X226,BX226-SUMPRODUCT(($T$2:$AK$2&lt;X$2)*($T226:$AK226))))</f>
      </c>
      <c r="AQ226" s="0">
        <f>MAX(0,MIN(Y226,BX226-SUMPRODUCT(($T$2:$AK$2&lt;Y$2)*($T226:$AK226))))</f>
      </c>
      <c r="AR226" s="0">
        <f>MAX(0,MIN(Z226,BX226-SUMPRODUCT(($T$2:$AK$2&lt;Z$2)*($T226:$AK226))))</f>
      </c>
      <c r="AS226" s="0">
        <f>MAX(0,MIN(AA226,BX226-SUMPRODUCT(($T$2:$AK$2&lt;AA$2)*($T226:$AK226))))</f>
      </c>
      <c r="AT226" s="0">
        <f>MAX(0,MIN(AB226,BX226-SUMPRODUCT(($T$2:$AK$2&lt;AB$2)*($T226:$AK226))))</f>
      </c>
      <c r="AU226" s="0">
        <f>MAX(0,MIN(AC226,BX226-SUMPRODUCT(($T$2:$AK$2&lt;AC$2)*($T226:$AK226))))</f>
      </c>
      <c r="AV226" s="0">
        <f>MAX(0,MIN(AD226,BX226-SUMPRODUCT(($T$2:$AK$2&lt;AD$2)*($T226:$AK226))))</f>
      </c>
      <c r="AW226" s="0">
        <f>MAX(0,MIN(AE226,BX226-SUMPRODUCT(($T$2:$AK$2&lt;AE$2)*($T226:$AK226))))</f>
      </c>
      <c r="AX226" s="0">
        <f>MAX(0,MIN(AF226,BX226-SUMPRODUCT(($T$2:$AK$2&lt;AF$2)*($T226:$AK226))))</f>
      </c>
      <c r="AY226" s="0">
        <f>MAX(0,MIN(AG226,BX226-SUMPRODUCT(($T$2:$AK$2&lt;AG$2)*($T226:$AK226))))</f>
      </c>
      <c r="AZ226" s="0">
        <f>MAX(0,MIN(AH226,BX226-SUMPRODUCT(($T$2:$AK$2&lt;AH$2)*($T226:$AK226))))</f>
      </c>
      <c r="BA226" s="0">
        <f>MAX(0,MIN(AI226,BX226-SUMPRODUCT(($T$2:$AK$2&lt;AI$2)*($T226:$AK226))))</f>
      </c>
      <c r="BB226" s="0">
        <f>MAX(0,MIN(AJ226,BX226-SUMPRODUCT(($T$2:$AK$2&lt;AJ$2)*($T226:$AK226))))</f>
      </c>
      <c r="BC226" s="0">
        <f>MAX(0,MIN(AK226,BX226-SUMPRODUCT(($T$2:$AK$2&lt;AK$2)*($T226:$AK226))))</f>
      </c>
      <c r="BD226" s="0">
        <f>T226-AL226</f>
      </c>
      <c r="BE226" s="0">
        <f>U226-AM226</f>
      </c>
      <c r="BF226" s="0">
        <f>V226-AN226</f>
      </c>
      <c r="BG226" s="0">
        <f>W226-AO226</f>
      </c>
      <c r="BH226" s="0">
        <f>X226-AP226</f>
      </c>
      <c r="BI226" s="0">
        <f>Y226-AQ226</f>
      </c>
      <c r="BJ226" s="0">
        <f>Z226-AR226</f>
      </c>
      <c r="BK226" s="0">
        <f>AA226-AS226</f>
      </c>
      <c r="BL226" s="0">
        <f>AB226-AT226</f>
      </c>
      <c r="BM226" s="0">
        <f>AC226-AU226</f>
      </c>
      <c r="BN226" s="0">
        <f>AD226-AV226</f>
      </c>
      <c r="BO226" s="0">
        <f>AE226-AW226</f>
      </c>
      <c r="BP226" s="0">
        <f>AF226-AX226</f>
      </c>
      <c r="BQ226" s="0">
        <f>AG226-AY226</f>
      </c>
      <c r="BR226" s="0">
        <f>AH226-AZ226</f>
      </c>
      <c r="BS226" s="0">
        <f>AI226-BA226</f>
      </c>
      <c r="BT226" s="0">
        <f>AJ226-BB226</f>
      </c>
      <c r="BU226" s="0">
        <f>AK226-BC226</f>
      </c>
      <c r="BV226" s="0">
        <f>SUM(B226:S226)</f>
      </c>
      <c r="BW226" s="0">
        <f>SUM(T226:AK226)</f>
      </c>
      <c r="BX226" s="0">
        <f>MAX(0,(SUM(Calculator!$E$11:$E$28)+Calculator!$C$6)-BV226+BW226)</f>
      </c>
      <c r="BY226" s="0">
        <f>SUM(BD226:BU226)</f>
      </c>
      <c r="BZ226" s="0">
        <f>BV226-BY225</f>
      </c>
      <c r="CA226" s="0">
        <f>IF(A226&lt;=IF($CD$1=0,999,$CD$1),BY226,NA())</f>
      </c>
      <c r="CB226" s="0">
        <f>IF(A226&lt;=IF($CD$1=0,999,$CD$1),A226,NA())</f>
      </c>
    </row>
    <row r="227">
      <c r="A227" s="0">
        <v>224</v>
      </c>
      <c r="B227" s="0">
        <f>BD226*(1+Calculator!$D$11/100/12)</f>
      </c>
      <c r="C227" s="0">
        <f>BE226*(1+Calculator!$D$12/100/12)</f>
      </c>
      <c r="D227" s="0">
        <f>BF226*(1+Calculator!$D$13/100/12)</f>
      </c>
      <c r="E227" s="0">
        <f>BG226*(1+Calculator!$D$14/100/12)</f>
      </c>
      <c r="F227" s="0">
        <f>BH226*(1+Calculator!$D$15/100/12)</f>
      </c>
      <c r="G227" s="0">
        <f>BI226*(1+Calculator!$D$16/100/12)</f>
      </c>
      <c r="H227" s="0">
        <f>BJ226*(1+Calculator!$D$17/100/12)</f>
      </c>
      <c r="I227" s="0">
        <f>BK226*(1+Calculator!$D$18/100/12)</f>
      </c>
      <c r="J227" s="0">
        <f>BL226*(1+Calculator!$D$19/100/12)</f>
      </c>
      <c r="K227" s="0">
        <f>BM226*(1+Calculator!$D$20/100/12)</f>
      </c>
      <c r="L227" s="0">
        <f>BN226*(1+Calculator!$D$21/100/12)</f>
      </c>
      <c r="M227" s="0">
        <f>BO226*(1+Calculator!$D$22/100/12)</f>
      </c>
      <c r="N227" s="0">
        <f>BP226*(1+Calculator!$D$23/100/12)</f>
      </c>
      <c r="O227" s="0">
        <f>BQ226*(1+Calculator!$D$24/100/12)</f>
      </c>
      <c r="P227" s="0">
        <f>BR226*(1+Calculator!$D$25/100/12)</f>
      </c>
      <c r="Q227" s="0">
        <f>BS226*(1+Calculator!$D$26/100/12)</f>
      </c>
      <c r="R227" s="0">
        <f>BT226*(1+Calculator!$D$27/100/12)</f>
      </c>
      <c r="S227" s="0">
        <f>BU226*(1+Calculator!$D$28/100/12)</f>
      </c>
      <c r="T227" s="0">
        <f>MAX(0,B227-Calculator!$E$11)</f>
      </c>
      <c r="U227" s="0">
        <f>MAX(0,C227-Calculator!$E$12)</f>
      </c>
      <c r="V227" s="0">
        <f>MAX(0,D227-Calculator!$E$13)</f>
      </c>
      <c r="W227" s="0">
        <f>MAX(0,E227-Calculator!$E$14)</f>
      </c>
      <c r="X227" s="0">
        <f>MAX(0,F227-Calculator!$E$15)</f>
      </c>
      <c r="Y227" s="0">
        <f>MAX(0,G227-Calculator!$E$16)</f>
      </c>
      <c r="Z227" s="0">
        <f>MAX(0,H227-Calculator!$E$17)</f>
      </c>
      <c r="AA227" s="0">
        <f>MAX(0,I227-Calculator!$E$18)</f>
      </c>
      <c r="AB227" s="0">
        <f>MAX(0,J227-Calculator!$E$19)</f>
      </c>
      <c r="AC227" s="0">
        <f>MAX(0,K227-Calculator!$E$20)</f>
      </c>
      <c r="AD227" s="0">
        <f>MAX(0,L227-Calculator!$E$21)</f>
      </c>
      <c r="AE227" s="0">
        <f>MAX(0,M227-Calculator!$E$22)</f>
      </c>
      <c r="AF227" s="0">
        <f>MAX(0,N227-Calculator!$E$23)</f>
      </c>
      <c r="AG227" s="0">
        <f>MAX(0,O227-Calculator!$E$24)</f>
      </c>
      <c r="AH227" s="0">
        <f>MAX(0,P227-Calculator!$E$25)</f>
      </c>
      <c r="AI227" s="0">
        <f>MAX(0,Q227-Calculator!$E$26)</f>
      </c>
      <c r="AJ227" s="0">
        <f>MAX(0,R227-Calculator!$E$27)</f>
      </c>
      <c r="AK227" s="0">
        <f>MAX(0,S227-Calculator!$E$28)</f>
      </c>
      <c r="AL227" s="0">
        <f>MAX(0,MIN(T227,BX227-SUMPRODUCT(($T$2:$AK$2&lt;T$2)*($T227:$AK227))))</f>
      </c>
      <c r="AM227" s="0">
        <f>MAX(0,MIN(U227,BX227-SUMPRODUCT(($T$2:$AK$2&lt;U$2)*($T227:$AK227))))</f>
      </c>
      <c r="AN227" s="0">
        <f>MAX(0,MIN(V227,BX227-SUMPRODUCT(($T$2:$AK$2&lt;V$2)*($T227:$AK227))))</f>
      </c>
      <c r="AO227" s="0">
        <f>MAX(0,MIN(W227,BX227-SUMPRODUCT(($T$2:$AK$2&lt;W$2)*($T227:$AK227))))</f>
      </c>
      <c r="AP227" s="0">
        <f>MAX(0,MIN(X227,BX227-SUMPRODUCT(($T$2:$AK$2&lt;X$2)*($T227:$AK227))))</f>
      </c>
      <c r="AQ227" s="0">
        <f>MAX(0,MIN(Y227,BX227-SUMPRODUCT(($T$2:$AK$2&lt;Y$2)*($T227:$AK227))))</f>
      </c>
      <c r="AR227" s="0">
        <f>MAX(0,MIN(Z227,BX227-SUMPRODUCT(($T$2:$AK$2&lt;Z$2)*($T227:$AK227))))</f>
      </c>
      <c r="AS227" s="0">
        <f>MAX(0,MIN(AA227,BX227-SUMPRODUCT(($T$2:$AK$2&lt;AA$2)*($T227:$AK227))))</f>
      </c>
      <c r="AT227" s="0">
        <f>MAX(0,MIN(AB227,BX227-SUMPRODUCT(($T$2:$AK$2&lt;AB$2)*($T227:$AK227))))</f>
      </c>
      <c r="AU227" s="0">
        <f>MAX(0,MIN(AC227,BX227-SUMPRODUCT(($T$2:$AK$2&lt;AC$2)*($T227:$AK227))))</f>
      </c>
      <c r="AV227" s="0">
        <f>MAX(0,MIN(AD227,BX227-SUMPRODUCT(($T$2:$AK$2&lt;AD$2)*($T227:$AK227))))</f>
      </c>
      <c r="AW227" s="0">
        <f>MAX(0,MIN(AE227,BX227-SUMPRODUCT(($T$2:$AK$2&lt;AE$2)*($T227:$AK227))))</f>
      </c>
      <c r="AX227" s="0">
        <f>MAX(0,MIN(AF227,BX227-SUMPRODUCT(($T$2:$AK$2&lt;AF$2)*($T227:$AK227))))</f>
      </c>
      <c r="AY227" s="0">
        <f>MAX(0,MIN(AG227,BX227-SUMPRODUCT(($T$2:$AK$2&lt;AG$2)*($T227:$AK227))))</f>
      </c>
      <c r="AZ227" s="0">
        <f>MAX(0,MIN(AH227,BX227-SUMPRODUCT(($T$2:$AK$2&lt;AH$2)*($T227:$AK227))))</f>
      </c>
      <c r="BA227" s="0">
        <f>MAX(0,MIN(AI227,BX227-SUMPRODUCT(($T$2:$AK$2&lt;AI$2)*($T227:$AK227))))</f>
      </c>
      <c r="BB227" s="0">
        <f>MAX(0,MIN(AJ227,BX227-SUMPRODUCT(($T$2:$AK$2&lt;AJ$2)*($T227:$AK227))))</f>
      </c>
      <c r="BC227" s="0">
        <f>MAX(0,MIN(AK227,BX227-SUMPRODUCT(($T$2:$AK$2&lt;AK$2)*($T227:$AK227))))</f>
      </c>
      <c r="BD227" s="0">
        <f>T227-AL227</f>
      </c>
      <c r="BE227" s="0">
        <f>U227-AM227</f>
      </c>
      <c r="BF227" s="0">
        <f>V227-AN227</f>
      </c>
      <c r="BG227" s="0">
        <f>W227-AO227</f>
      </c>
      <c r="BH227" s="0">
        <f>X227-AP227</f>
      </c>
      <c r="BI227" s="0">
        <f>Y227-AQ227</f>
      </c>
      <c r="BJ227" s="0">
        <f>Z227-AR227</f>
      </c>
      <c r="BK227" s="0">
        <f>AA227-AS227</f>
      </c>
      <c r="BL227" s="0">
        <f>AB227-AT227</f>
      </c>
      <c r="BM227" s="0">
        <f>AC227-AU227</f>
      </c>
      <c r="BN227" s="0">
        <f>AD227-AV227</f>
      </c>
      <c r="BO227" s="0">
        <f>AE227-AW227</f>
      </c>
      <c r="BP227" s="0">
        <f>AF227-AX227</f>
      </c>
      <c r="BQ227" s="0">
        <f>AG227-AY227</f>
      </c>
      <c r="BR227" s="0">
        <f>AH227-AZ227</f>
      </c>
      <c r="BS227" s="0">
        <f>AI227-BA227</f>
      </c>
      <c r="BT227" s="0">
        <f>AJ227-BB227</f>
      </c>
      <c r="BU227" s="0">
        <f>AK227-BC227</f>
      </c>
      <c r="BV227" s="0">
        <f>SUM(B227:S227)</f>
      </c>
      <c r="BW227" s="0">
        <f>SUM(T227:AK227)</f>
      </c>
      <c r="BX227" s="0">
        <f>MAX(0,(SUM(Calculator!$E$11:$E$28)+Calculator!$C$6)-BV227+BW227)</f>
      </c>
      <c r="BY227" s="0">
        <f>SUM(BD227:BU227)</f>
      </c>
      <c r="BZ227" s="0">
        <f>BV227-BY226</f>
      </c>
      <c r="CA227" s="0">
        <f>IF(A227&lt;=IF($CD$1=0,999,$CD$1),BY227,NA())</f>
      </c>
      <c r="CB227" s="0">
        <f>IF(A227&lt;=IF($CD$1=0,999,$CD$1),A227,NA())</f>
      </c>
    </row>
    <row r="228">
      <c r="A228" s="0">
        <v>225</v>
      </c>
      <c r="B228" s="0">
        <f>BD227*(1+Calculator!$D$11/100/12)</f>
      </c>
      <c r="C228" s="0">
        <f>BE227*(1+Calculator!$D$12/100/12)</f>
      </c>
      <c r="D228" s="0">
        <f>BF227*(1+Calculator!$D$13/100/12)</f>
      </c>
      <c r="E228" s="0">
        <f>BG227*(1+Calculator!$D$14/100/12)</f>
      </c>
      <c r="F228" s="0">
        <f>BH227*(1+Calculator!$D$15/100/12)</f>
      </c>
      <c r="G228" s="0">
        <f>BI227*(1+Calculator!$D$16/100/12)</f>
      </c>
      <c r="H228" s="0">
        <f>BJ227*(1+Calculator!$D$17/100/12)</f>
      </c>
      <c r="I228" s="0">
        <f>BK227*(1+Calculator!$D$18/100/12)</f>
      </c>
      <c r="J228" s="0">
        <f>BL227*(1+Calculator!$D$19/100/12)</f>
      </c>
      <c r="K228" s="0">
        <f>BM227*(1+Calculator!$D$20/100/12)</f>
      </c>
      <c r="L228" s="0">
        <f>BN227*(1+Calculator!$D$21/100/12)</f>
      </c>
      <c r="M228" s="0">
        <f>BO227*(1+Calculator!$D$22/100/12)</f>
      </c>
      <c r="N228" s="0">
        <f>BP227*(1+Calculator!$D$23/100/12)</f>
      </c>
      <c r="O228" s="0">
        <f>BQ227*(1+Calculator!$D$24/100/12)</f>
      </c>
      <c r="P228" s="0">
        <f>BR227*(1+Calculator!$D$25/100/12)</f>
      </c>
      <c r="Q228" s="0">
        <f>BS227*(1+Calculator!$D$26/100/12)</f>
      </c>
      <c r="R228" s="0">
        <f>BT227*(1+Calculator!$D$27/100/12)</f>
      </c>
      <c r="S228" s="0">
        <f>BU227*(1+Calculator!$D$28/100/12)</f>
      </c>
      <c r="T228" s="0">
        <f>MAX(0,B228-Calculator!$E$11)</f>
      </c>
      <c r="U228" s="0">
        <f>MAX(0,C228-Calculator!$E$12)</f>
      </c>
      <c r="V228" s="0">
        <f>MAX(0,D228-Calculator!$E$13)</f>
      </c>
      <c r="W228" s="0">
        <f>MAX(0,E228-Calculator!$E$14)</f>
      </c>
      <c r="X228" s="0">
        <f>MAX(0,F228-Calculator!$E$15)</f>
      </c>
      <c r="Y228" s="0">
        <f>MAX(0,G228-Calculator!$E$16)</f>
      </c>
      <c r="Z228" s="0">
        <f>MAX(0,H228-Calculator!$E$17)</f>
      </c>
      <c r="AA228" s="0">
        <f>MAX(0,I228-Calculator!$E$18)</f>
      </c>
      <c r="AB228" s="0">
        <f>MAX(0,J228-Calculator!$E$19)</f>
      </c>
      <c r="AC228" s="0">
        <f>MAX(0,K228-Calculator!$E$20)</f>
      </c>
      <c r="AD228" s="0">
        <f>MAX(0,L228-Calculator!$E$21)</f>
      </c>
      <c r="AE228" s="0">
        <f>MAX(0,M228-Calculator!$E$22)</f>
      </c>
      <c r="AF228" s="0">
        <f>MAX(0,N228-Calculator!$E$23)</f>
      </c>
      <c r="AG228" s="0">
        <f>MAX(0,O228-Calculator!$E$24)</f>
      </c>
      <c r="AH228" s="0">
        <f>MAX(0,P228-Calculator!$E$25)</f>
      </c>
      <c r="AI228" s="0">
        <f>MAX(0,Q228-Calculator!$E$26)</f>
      </c>
      <c r="AJ228" s="0">
        <f>MAX(0,R228-Calculator!$E$27)</f>
      </c>
      <c r="AK228" s="0">
        <f>MAX(0,S228-Calculator!$E$28)</f>
      </c>
      <c r="AL228" s="0">
        <f>MAX(0,MIN(T228,BX228-SUMPRODUCT(($T$2:$AK$2&lt;T$2)*($T228:$AK228))))</f>
      </c>
      <c r="AM228" s="0">
        <f>MAX(0,MIN(U228,BX228-SUMPRODUCT(($T$2:$AK$2&lt;U$2)*($T228:$AK228))))</f>
      </c>
      <c r="AN228" s="0">
        <f>MAX(0,MIN(V228,BX228-SUMPRODUCT(($T$2:$AK$2&lt;V$2)*($T228:$AK228))))</f>
      </c>
      <c r="AO228" s="0">
        <f>MAX(0,MIN(W228,BX228-SUMPRODUCT(($T$2:$AK$2&lt;W$2)*($T228:$AK228))))</f>
      </c>
      <c r="AP228" s="0">
        <f>MAX(0,MIN(X228,BX228-SUMPRODUCT(($T$2:$AK$2&lt;X$2)*($T228:$AK228))))</f>
      </c>
      <c r="AQ228" s="0">
        <f>MAX(0,MIN(Y228,BX228-SUMPRODUCT(($T$2:$AK$2&lt;Y$2)*($T228:$AK228))))</f>
      </c>
      <c r="AR228" s="0">
        <f>MAX(0,MIN(Z228,BX228-SUMPRODUCT(($T$2:$AK$2&lt;Z$2)*($T228:$AK228))))</f>
      </c>
      <c r="AS228" s="0">
        <f>MAX(0,MIN(AA228,BX228-SUMPRODUCT(($T$2:$AK$2&lt;AA$2)*($T228:$AK228))))</f>
      </c>
      <c r="AT228" s="0">
        <f>MAX(0,MIN(AB228,BX228-SUMPRODUCT(($T$2:$AK$2&lt;AB$2)*($T228:$AK228))))</f>
      </c>
      <c r="AU228" s="0">
        <f>MAX(0,MIN(AC228,BX228-SUMPRODUCT(($T$2:$AK$2&lt;AC$2)*($T228:$AK228))))</f>
      </c>
      <c r="AV228" s="0">
        <f>MAX(0,MIN(AD228,BX228-SUMPRODUCT(($T$2:$AK$2&lt;AD$2)*($T228:$AK228))))</f>
      </c>
      <c r="AW228" s="0">
        <f>MAX(0,MIN(AE228,BX228-SUMPRODUCT(($T$2:$AK$2&lt;AE$2)*($T228:$AK228))))</f>
      </c>
      <c r="AX228" s="0">
        <f>MAX(0,MIN(AF228,BX228-SUMPRODUCT(($T$2:$AK$2&lt;AF$2)*($T228:$AK228))))</f>
      </c>
      <c r="AY228" s="0">
        <f>MAX(0,MIN(AG228,BX228-SUMPRODUCT(($T$2:$AK$2&lt;AG$2)*($T228:$AK228))))</f>
      </c>
      <c r="AZ228" s="0">
        <f>MAX(0,MIN(AH228,BX228-SUMPRODUCT(($T$2:$AK$2&lt;AH$2)*($T228:$AK228))))</f>
      </c>
      <c r="BA228" s="0">
        <f>MAX(0,MIN(AI228,BX228-SUMPRODUCT(($T$2:$AK$2&lt;AI$2)*($T228:$AK228))))</f>
      </c>
      <c r="BB228" s="0">
        <f>MAX(0,MIN(AJ228,BX228-SUMPRODUCT(($T$2:$AK$2&lt;AJ$2)*($T228:$AK228))))</f>
      </c>
      <c r="BC228" s="0">
        <f>MAX(0,MIN(AK228,BX228-SUMPRODUCT(($T$2:$AK$2&lt;AK$2)*($T228:$AK228))))</f>
      </c>
      <c r="BD228" s="0">
        <f>T228-AL228</f>
      </c>
      <c r="BE228" s="0">
        <f>U228-AM228</f>
      </c>
      <c r="BF228" s="0">
        <f>V228-AN228</f>
      </c>
      <c r="BG228" s="0">
        <f>W228-AO228</f>
      </c>
      <c r="BH228" s="0">
        <f>X228-AP228</f>
      </c>
      <c r="BI228" s="0">
        <f>Y228-AQ228</f>
      </c>
      <c r="BJ228" s="0">
        <f>Z228-AR228</f>
      </c>
      <c r="BK228" s="0">
        <f>AA228-AS228</f>
      </c>
      <c r="BL228" s="0">
        <f>AB228-AT228</f>
      </c>
      <c r="BM228" s="0">
        <f>AC228-AU228</f>
      </c>
      <c r="BN228" s="0">
        <f>AD228-AV228</f>
      </c>
      <c r="BO228" s="0">
        <f>AE228-AW228</f>
      </c>
      <c r="BP228" s="0">
        <f>AF228-AX228</f>
      </c>
      <c r="BQ228" s="0">
        <f>AG228-AY228</f>
      </c>
      <c r="BR228" s="0">
        <f>AH228-AZ228</f>
      </c>
      <c r="BS228" s="0">
        <f>AI228-BA228</f>
      </c>
      <c r="BT228" s="0">
        <f>AJ228-BB228</f>
      </c>
      <c r="BU228" s="0">
        <f>AK228-BC228</f>
      </c>
      <c r="BV228" s="0">
        <f>SUM(B228:S228)</f>
      </c>
      <c r="BW228" s="0">
        <f>SUM(T228:AK228)</f>
      </c>
      <c r="BX228" s="0">
        <f>MAX(0,(SUM(Calculator!$E$11:$E$28)+Calculator!$C$6)-BV228+BW228)</f>
      </c>
      <c r="BY228" s="0">
        <f>SUM(BD228:BU228)</f>
      </c>
      <c r="BZ228" s="0">
        <f>BV228-BY227</f>
      </c>
      <c r="CA228" s="0">
        <f>IF(A228&lt;=IF($CD$1=0,999,$CD$1),BY228,NA())</f>
      </c>
      <c r="CB228" s="0">
        <f>IF(A228&lt;=IF($CD$1=0,999,$CD$1),A228,NA())</f>
      </c>
    </row>
    <row r="229">
      <c r="A229" s="0">
        <v>226</v>
      </c>
      <c r="B229" s="0">
        <f>BD228*(1+Calculator!$D$11/100/12)</f>
      </c>
      <c r="C229" s="0">
        <f>BE228*(1+Calculator!$D$12/100/12)</f>
      </c>
      <c r="D229" s="0">
        <f>BF228*(1+Calculator!$D$13/100/12)</f>
      </c>
      <c r="E229" s="0">
        <f>BG228*(1+Calculator!$D$14/100/12)</f>
      </c>
      <c r="F229" s="0">
        <f>BH228*(1+Calculator!$D$15/100/12)</f>
      </c>
      <c r="G229" s="0">
        <f>BI228*(1+Calculator!$D$16/100/12)</f>
      </c>
      <c r="H229" s="0">
        <f>BJ228*(1+Calculator!$D$17/100/12)</f>
      </c>
      <c r="I229" s="0">
        <f>BK228*(1+Calculator!$D$18/100/12)</f>
      </c>
      <c r="J229" s="0">
        <f>BL228*(1+Calculator!$D$19/100/12)</f>
      </c>
      <c r="K229" s="0">
        <f>BM228*(1+Calculator!$D$20/100/12)</f>
      </c>
      <c r="L229" s="0">
        <f>BN228*(1+Calculator!$D$21/100/12)</f>
      </c>
      <c r="M229" s="0">
        <f>BO228*(1+Calculator!$D$22/100/12)</f>
      </c>
      <c r="N229" s="0">
        <f>BP228*(1+Calculator!$D$23/100/12)</f>
      </c>
      <c r="O229" s="0">
        <f>BQ228*(1+Calculator!$D$24/100/12)</f>
      </c>
      <c r="P229" s="0">
        <f>BR228*(1+Calculator!$D$25/100/12)</f>
      </c>
      <c r="Q229" s="0">
        <f>BS228*(1+Calculator!$D$26/100/12)</f>
      </c>
      <c r="R229" s="0">
        <f>BT228*(1+Calculator!$D$27/100/12)</f>
      </c>
      <c r="S229" s="0">
        <f>BU228*(1+Calculator!$D$28/100/12)</f>
      </c>
      <c r="T229" s="0">
        <f>MAX(0,B229-Calculator!$E$11)</f>
      </c>
      <c r="U229" s="0">
        <f>MAX(0,C229-Calculator!$E$12)</f>
      </c>
      <c r="V229" s="0">
        <f>MAX(0,D229-Calculator!$E$13)</f>
      </c>
      <c r="W229" s="0">
        <f>MAX(0,E229-Calculator!$E$14)</f>
      </c>
      <c r="X229" s="0">
        <f>MAX(0,F229-Calculator!$E$15)</f>
      </c>
      <c r="Y229" s="0">
        <f>MAX(0,G229-Calculator!$E$16)</f>
      </c>
      <c r="Z229" s="0">
        <f>MAX(0,H229-Calculator!$E$17)</f>
      </c>
      <c r="AA229" s="0">
        <f>MAX(0,I229-Calculator!$E$18)</f>
      </c>
      <c r="AB229" s="0">
        <f>MAX(0,J229-Calculator!$E$19)</f>
      </c>
      <c r="AC229" s="0">
        <f>MAX(0,K229-Calculator!$E$20)</f>
      </c>
      <c r="AD229" s="0">
        <f>MAX(0,L229-Calculator!$E$21)</f>
      </c>
      <c r="AE229" s="0">
        <f>MAX(0,M229-Calculator!$E$22)</f>
      </c>
      <c r="AF229" s="0">
        <f>MAX(0,N229-Calculator!$E$23)</f>
      </c>
      <c r="AG229" s="0">
        <f>MAX(0,O229-Calculator!$E$24)</f>
      </c>
      <c r="AH229" s="0">
        <f>MAX(0,P229-Calculator!$E$25)</f>
      </c>
      <c r="AI229" s="0">
        <f>MAX(0,Q229-Calculator!$E$26)</f>
      </c>
      <c r="AJ229" s="0">
        <f>MAX(0,R229-Calculator!$E$27)</f>
      </c>
      <c r="AK229" s="0">
        <f>MAX(0,S229-Calculator!$E$28)</f>
      </c>
      <c r="AL229" s="0">
        <f>MAX(0,MIN(T229,BX229-SUMPRODUCT(($T$2:$AK$2&lt;T$2)*($T229:$AK229))))</f>
      </c>
      <c r="AM229" s="0">
        <f>MAX(0,MIN(U229,BX229-SUMPRODUCT(($T$2:$AK$2&lt;U$2)*($T229:$AK229))))</f>
      </c>
      <c r="AN229" s="0">
        <f>MAX(0,MIN(V229,BX229-SUMPRODUCT(($T$2:$AK$2&lt;V$2)*($T229:$AK229))))</f>
      </c>
      <c r="AO229" s="0">
        <f>MAX(0,MIN(W229,BX229-SUMPRODUCT(($T$2:$AK$2&lt;W$2)*($T229:$AK229))))</f>
      </c>
      <c r="AP229" s="0">
        <f>MAX(0,MIN(X229,BX229-SUMPRODUCT(($T$2:$AK$2&lt;X$2)*($T229:$AK229))))</f>
      </c>
      <c r="AQ229" s="0">
        <f>MAX(0,MIN(Y229,BX229-SUMPRODUCT(($T$2:$AK$2&lt;Y$2)*($T229:$AK229))))</f>
      </c>
      <c r="AR229" s="0">
        <f>MAX(0,MIN(Z229,BX229-SUMPRODUCT(($T$2:$AK$2&lt;Z$2)*($T229:$AK229))))</f>
      </c>
      <c r="AS229" s="0">
        <f>MAX(0,MIN(AA229,BX229-SUMPRODUCT(($T$2:$AK$2&lt;AA$2)*($T229:$AK229))))</f>
      </c>
      <c r="AT229" s="0">
        <f>MAX(0,MIN(AB229,BX229-SUMPRODUCT(($T$2:$AK$2&lt;AB$2)*($T229:$AK229))))</f>
      </c>
      <c r="AU229" s="0">
        <f>MAX(0,MIN(AC229,BX229-SUMPRODUCT(($T$2:$AK$2&lt;AC$2)*($T229:$AK229))))</f>
      </c>
      <c r="AV229" s="0">
        <f>MAX(0,MIN(AD229,BX229-SUMPRODUCT(($T$2:$AK$2&lt;AD$2)*($T229:$AK229))))</f>
      </c>
      <c r="AW229" s="0">
        <f>MAX(0,MIN(AE229,BX229-SUMPRODUCT(($T$2:$AK$2&lt;AE$2)*($T229:$AK229))))</f>
      </c>
      <c r="AX229" s="0">
        <f>MAX(0,MIN(AF229,BX229-SUMPRODUCT(($T$2:$AK$2&lt;AF$2)*($T229:$AK229))))</f>
      </c>
      <c r="AY229" s="0">
        <f>MAX(0,MIN(AG229,BX229-SUMPRODUCT(($T$2:$AK$2&lt;AG$2)*($T229:$AK229))))</f>
      </c>
      <c r="AZ229" s="0">
        <f>MAX(0,MIN(AH229,BX229-SUMPRODUCT(($T$2:$AK$2&lt;AH$2)*($T229:$AK229))))</f>
      </c>
      <c r="BA229" s="0">
        <f>MAX(0,MIN(AI229,BX229-SUMPRODUCT(($T$2:$AK$2&lt;AI$2)*($T229:$AK229))))</f>
      </c>
      <c r="BB229" s="0">
        <f>MAX(0,MIN(AJ229,BX229-SUMPRODUCT(($T$2:$AK$2&lt;AJ$2)*($T229:$AK229))))</f>
      </c>
      <c r="BC229" s="0">
        <f>MAX(0,MIN(AK229,BX229-SUMPRODUCT(($T$2:$AK$2&lt;AK$2)*($T229:$AK229))))</f>
      </c>
      <c r="BD229" s="0">
        <f>T229-AL229</f>
      </c>
      <c r="BE229" s="0">
        <f>U229-AM229</f>
      </c>
      <c r="BF229" s="0">
        <f>V229-AN229</f>
      </c>
      <c r="BG229" s="0">
        <f>W229-AO229</f>
      </c>
      <c r="BH229" s="0">
        <f>X229-AP229</f>
      </c>
      <c r="BI229" s="0">
        <f>Y229-AQ229</f>
      </c>
      <c r="BJ229" s="0">
        <f>Z229-AR229</f>
      </c>
      <c r="BK229" s="0">
        <f>AA229-AS229</f>
      </c>
      <c r="BL229" s="0">
        <f>AB229-AT229</f>
      </c>
      <c r="BM229" s="0">
        <f>AC229-AU229</f>
      </c>
      <c r="BN229" s="0">
        <f>AD229-AV229</f>
      </c>
      <c r="BO229" s="0">
        <f>AE229-AW229</f>
      </c>
      <c r="BP229" s="0">
        <f>AF229-AX229</f>
      </c>
      <c r="BQ229" s="0">
        <f>AG229-AY229</f>
      </c>
      <c r="BR229" s="0">
        <f>AH229-AZ229</f>
      </c>
      <c r="BS229" s="0">
        <f>AI229-BA229</f>
      </c>
      <c r="BT229" s="0">
        <f>AJ229-BB229</f>
      </c>
      <c r="BU229" s="0">
        <f>AK229-BC229</f>
      </c>
      <c r="BV229" s="0">
        <f>SUM(B229:S229)</f>
      </c>
      <c r="BW229" s="0">
        <f>SUM(T229:AK229)</f>
      </c>
      <c r="BX229" s="0">
        <f>MAX(0,(SUM(Calculator!$E$11:$E$28)+Calculator!$C$6)-BV229+BW229)</f>
      </c>
      <c r="BY229" s="0">
        <f>SUM(BD229:BU229)</f>
      </c>
      <c r="BZ229" s="0">
        <f>BV229-BY228</f>
      </c>
      <c r="CA229" s="0">
        <f>IF(A229&lt;=IF($CD$1=0,999,$CD$1),BY229,NA())</f>
      </c>
      <c r="CB229" s="0">
        <f>IF(A229&lt;=IF($CD$1=0,999,$CD$1),A229,NA())</f>
      </c>
    </row>
    <row r="230">
      <c r="A230" s="0">
        <v>227</v>
      </c>
      <c r="B230" s="0">
        <f>BD229*(1+Calculator!$D$11/100/12)</f>
      </c>
      <c r="C230" s="0">
        <f>BE229*(1+Calculator!$D$12/100/12)</f>
      </c>
      <c r="D230" s="0">
        <f>BF229*(1+Calculator!$D$13/100/12)</f>
      </c>
      <c r="E230" s="0">
        <f>BG229*(1+Calculator!$D$14/100/12)</f>
      </c>
      <c r="F230" s="0">
        <f>BH229*(1+Calculator!$D$15/100/12)</f>
      </c>
      <c r="G230" s="0">
        <f>BI229*(1+Calculator!$D$16/100/12)</f>
      </c>
      <c r="H230" s="0">
        <f>BJ229*(1+Calculator!$D$17/100/12)</f>
      </c>
      <c r="I230" s="0">
        <f>BK229*(1+Calculator!$D$18/100/12)</f>
      </c>
      <c r="J230" s="0">
        <f>BL229*(1+Calculator!$D$19/100/12)</f>
      </c>
      <c r="K230" s="0">
        <f>BM229*(1+Calculator!$D$20/100/12)</f>
      </c>
      <c r="L230" s="0">
        <f>BN229*(1+Calculator!$D$21/100/12)</f>
      </c>
      <c r="M230" s="0">
        <f>BO229*(1+Calculator!$D$22/100/12)</f>
      </c>
      <c r="N230" s="0">
        <f>BP229*(1+Calculator!$D$23/100/12)</f>
      </c>
      <c r="O230" s="0">
        <f>BQ229*(1+Calculator!$D$24/100/12)</f>
      </c>
      <c r="P230" s="0">
        <f>BR229*(1+Calculator!$D$25/100/12)</f>
      </c>
      <c r="Q230" s="0">
        <f>BS229*(1+Calculator!$D$26/100/12)</f>
      </c>
      <c r="R230" s="0">
        <f>BT229*(1+Calculator!$D$27/100/12)</f>
      </c>
      <c r="S230" s="0">
        <f>BU229*(1+Calculator!$D$28/100/12)</f>
      </c>
      <c r="T230" s="0">
        <f>MAX(0,B230-Calculator!$E$11)</f>
      </c>
      <c r="U230" s="0">
        <f>MAX(0,C230-Calculator!$E$12)</f>
      </c>
      <c r="V230" s="0">
        <f>MAX(0,D230-Calculator!$E$13)</f>
      </c>
      <c r="W230" s="0">
        <f>MAX(0,E230-Calculator!$E$14)</f>
      </c>
      <c r="X230" s="0">
        <f>MAX(0,F230-Calculator!$E$15)</f>
      </c>
      <c r="Y230" s="0">
        <f>MAX(0,G230-Calculator!$E$16)</f>
      </c>
      <c r="Z230" s="0">
        <f>MAX(0,H230-Calculator!$E$17)</f>
      </c>
      <c r="AA230" s="0">
        <f>MAX(0,I230-Calculator!$E$18)</f>
      </c>
      <c r="AB230" s="0">
        <f>MAX(0,J230-Calculator!$E$19)</f>
      </c>
      <c r="AC230" s="0">
        <f>MAX(0,K230-Calculator!$E$20)</f>
      </c>
      <c r="AD230" s="0">
        <f>MAX(0,L230-Calculator!$E$21)</f>
      </c>
      <c r="AE230" s="0">
        <f>MAX(0,M230-Calculator!$E$22)</f>
      </c>
      <c r="AF230" s="0">
        <f>MAX(0,N230-Calculator!$E$23)</f>
      </c>
      <c r="AG230" s="0">
        <f>MAX(0,O230-Calculator!$E$24)</f>
      </c>
      <c r="AH230" s="0">
        <f>MAX(0,P230-Calculator!$E$25)</f>
      </c>
      <c r="AI230" s="0">
        <f>MAX(0,Q230-Calculator!$E$26)</f>
      </c>
      <c r="AJ230" s="0">
        <f>MAX(0,R230-Calculator!$E$27)</f>
      </c>
      <c r="AK230" s="0">
        <f>MAX(0,S230-Calculator!$E$28)</f>
      </c>
      <c r="AL230" s="0">
        <f>MAX(0,MIN(T230,BX230-SUMPRODUCT(($T$2:$AK$2&lt;T$2)*($T230:$AK230))))</f>
      </c>
      <c r="AM230" s="0">
        <f>MAX(0,MIN(U230,BX230-SUMPRODUCT(($T$2:$AK$2&lt;U$2)*($T230:$AK230))))</f>
      </c>
      <c r="AN230" s="0">
        <f>MAX(0,MIN(V230,BX230-SUMPRODUCT(($T$2:$AK$2&lt;V$2)*($T230:$AK230))))</f>
      </c>
      <c r="AO230" s="0">
        <f>MAX(0,MIN(W230,BX230-SUMPRODUCT(($T$2:$AK$2&lt;W$2)*($T230:$AK230))))</f>
      </c>
      <c r="AP230" s="0">
        <f>MAX(0,MIN(X230,BX230-SUMPRODUCT(($T$2:$AK$2&lt;X$2)*($T230:$AK230))))</f>
      </c>
      <c r="AQ230" s="0">
        <f>MAX(0,MIN(Y230,BX230-SUMPRODUCT(($T$2:$AK$2&lt;Y$2)*($T230:$AK230))))</f>
      </c>
      <c r="AR230" s="0">
        <f>MAX(0,MIN(Z230,BX230-SUMPRODUCT(($T$2:$AK$2&lt;Z$2)*($T230:$AK230))))</f>
      </c>
      <c r="AS230" s="0">
        <f>MAX(0,MIN(AA230,BX230-SUMPRODUCT(($T$2:$AK$2&lt;AA$2)*($T230:$AK230))))</f>
      </c>
      <c r="AT230" s="0">
        <f>MAX(0,MIN(AB230,BX230-SUMPRODUCT(($T$2:$AK$2&lt;AB$2)*($T230:$AK230))))</f>
      </c>
      <c r="AU230" s="0">
        <f>MAX(0,MIN(AC230,BX230-SUMPRODUCT(($T$2:$AK$2&lt;AC$2)*($T230:$AK230))))</f>
      </c>
      <c r="AV230" s="0">
        <f>MAX(0,MIN(AD230,BX230-SUMPRODUCT(($T$2:$AK$2&lt;AD$2)*($T230:$AK230))))</f>
      </c>
      <c r="AW230" s="0">
        <f>MAX(0,MIN(AE230,BX230-SUMPRODUCT(($T$2:$AK$2&lt;AE$2)*($T230:$AK230))))</f>
      </c>
      <c r="AX230" s="0">
        <f>MAX(0,MIN(AF230,BX230-SUMPRODUCT(($T$2:$AK$2&lt;AF$2)*($T230:$AK230))))</f>
      </c>
      <c r="AY230" s="0">
        <f>MAX(0,MIN(AG230,BX230-SUMPRODUCT(($T$2:$AK$2&lt;AG$2)*($T230:$AK230))))</f>
      </c>
      <c r="AZ230" s="0">
        <f>MAX(0,MIN(AH230,BX230-SUMPRODUCT(($T$2:$AK$2&lt;AH$2)*($T230:$AK230))))</f>
      </c>
      <c r="BA230" s="0">
        <f>MAX(0,MIN(AI230,BX230-SUMPRODUCT(($T$2:$AK$2&lt;AI$2)*($T230:$AK230))))</f>
      </c>
      <c r="BB230" s="0">
        <f>MAX(0,MIN(AJ230,BX230-SUMPRODUCT(($T$2:$AK$2&lt;AJ$2)*($T230:$AK230))))</f>
      </c>
      <c r="BC230" s="0">
        <f>MAX(0,MIN(AK230,BX230-SUMPRODUCT(($T$2:$AK$2&lt;AK$2)*($T230:$AK230))))</f>
      </c>
      <c r="BD230" s="0">
        <f>T230-AL230</f>
      </c>
      <c r="BE230" s="0">
        <f>U230-AM230</f>
      </c>
      <c r="BF230" s="0">
        <f>V230-AN230</f>
      </c>
      <c r="BG230" s="0">
        <f>W230-AO230</f>
      </c>
      <c r="BH230" s="0">
        <f>X230-AP230</f>
      </c>
      <c r="BI230" s="0">
        <f>Y230-AQ230</f>
      </c>
      <c r="BJ230" s="0">
        <f>Z230-AR230</f>
      </c>
      <c r="BK230" s="0">
        <f>AA230-AS230</f>
      </c>
      <c r="BL230" s="0">
        <f>AB230-AT230</f>
      </c>
      <c r="BM230" s="0">
        <f>AC230-AU230</f>
      </c>
      <c r="BN230" s="0">
        <f>AD230-AV230</f>
      </c>
      <c r="BO230" s="0">
        <f>AE230-AW230</f>
      </c>
      <c r="BP230" s="0">
        <f>AF230-AX230</f>
      </c>
      <c r="BQ230" s="0">
        <f>AG230-AY230</f>
      </c>
      <c r="BR230" s="0">
        <f>AH230-AZ230</f>
      </c>
      <c r="BS230" s="0">
        <f>AI230-BA230</f>
      </c>
      <c r="BT230" s="0">
        <f>AJ230-BB230</f>
      </c>
      <c r="BU230" s="0">
        <f>AK230-BC230</f>
      </c>
      <c r="BV230" s="0">
        <f>SUM(B230:S230)</f>
      </c>
      <c r="BW230" s="0">
        <f>SUM(T230:AK230)</f>
      </c>
      <c r="BX230" s="0">
        <f>MAX(0,(SUM(Calculator!$E$11:$E$28)+Calculator!$C$6)-BV230+BW230)</f>
      </c>
      <c r="BY230" s="0">
        <f>SUM(BD230:BU230)</f>
      </c>
      <c r="BZ230" s="0">
        <f>BV230-BY229</f>
      </c>
      <c r="CA230" s="0">
        <f>IF(A230&lt;=IF($CD$1=0,999,$CD$1),BY230,NA())</f>
      </c>
      <c r="CB230" s="0">
        <f>IF(A230&lt;=IF($CD$1=0,999,$CD$1),A230,NA())</f>
      </c>
    </row>
    <row r="231">
      <c r="A231" s="0">
        <v>228</v>
      </c>
      <c r="B231" s="0">
        <f>BD230*(1+Calculator!$D$11/100/12)</f>
      </c>
      <c r="C231" s="0">
        <f>BE230*(1+Calculator!$D$12/100/12)</f>
      </c>
      <c r="D231" s="0">
        <f>BF230*(1+Calculator!$D$13/100/12)</f>
      </c>
      <c r="E231" s="0">
        <f>BG230*(1+Calculator!$D$14/100/12)</f>
      </c>
      <c r="F231" s="0">
        <f>BH230*(1+Calculator!$D$15/100/12)</f>
      </c>
      <c r="G231" s="0">
        <f>BI230*(1+Calculator!$D$16/100/12)</f>
      </c>
      <c r="H231" s="0">
        <f>BJ230*(1+Calculator!$D$17/100/12)</f>
      </c>
      <c r="I231" s="0">
        <f>BK230*(1+Calculator!$D$18/100/12)</f>
      </c>
      <c r="J231" s="0">
        <f>BL230*(1+Calculator!$D$19/100/12)</f>
      </c>
      <c r="K231" s="0">
        <f>BM230*(1+Calculator!$D$20/100/12)</f>
      </c>
      <c r="L231" s="0">
        <f>BN230*(1+Calculator!$D$21/100/12)</f>
      </c>
      <c r="M231" s="0">
        <f>BO230*(1+Calculator!$D$22/100/12)</f>
      </c>
      <c r="N231" s="0">
        <f>BP230*(1+Calculator!$D$23/100/12)</f>
      </c>
      <c r="O231" s="0">
        <f>BQ230*(1+Calculator!$D$24/100/12)</f>
      </c>
      <c r="P231" s="0">
        <f>BR230*(1+Calculator!$D$25/100/12)</f>
      </c>
      <c r="Q231" s="0">
        <f>BS230*(1+Calculator!$D$26/100/12)</f>
      </c>
      <c r="R231" s="0">
        <f>BT230*(1+Calculator!$D$27/100/12)</f>
      </c>
      <c r="S231" s="0">
        <f>BU230*(1+Calculator!$D$28/100/12)</f>
      </c>
      <c r="T231" s="0">
        <f>MAX(0,B231-Calculator!$E$11)</f>
      </c>
      <c r="U231" s="0">
        <f>MAX(0,C231-Calculator!$E$12)</f>
      </c>
      <c r="V231" s="0">
        <f>MAX(0,D231-Calculator!$E$13)</f>
      </c>
      <c r="W231" s="0">
        <f>MAX(0,E231-Calculator!$E$14)</f>
      </c>
      <c r="X231" s="0">
        <f>MAX(0,F231-Calculator!$E$15)</f>
      </c>
      <c r="Y231" s="0">
        <f>MAX(0,G231-Calculator!$E$16)</f>
      </c>
      <c r="Z231" s="0">
        <f>MAX(0,H231-Calculator!$E$17)</f>
      </c>
      <c r="AA231" s="0">
        <f>MAX(0,I231-Calculator!$E$18)</f>
      </c>
      <c r="AB231" s="0">
        <f>MAX(0,J231-Calculator!$E$19)</f>
      </c>
      <c r="AC231" s="0">
        <f>MAX(0,K231-Calculator!$E$20)</f>
      </c>
      <c r="AD231" s="0">
        <f>MAX(0,L231-Calculator!$E$21)</f>
      </c>
      <c r="AE231" s="0">
        <f>MAX(0,M231-Calculator!$E$22)</f>
      </c>
      <c r="AF231" s="0">
        <f>MAX(0,N231-Calculator!$E$23)</f>
      </c>
      <c r="AG231" s="0">
        <f>MAX(0,O231-Calculator!$E$24)</f>
      </c>
      <c r="AH231" s="0">
        <f>MAX(0,P231-Calculator!$E$25)</f>
      </c>
      <c r="AI231" s="0">
        <f>MAX(0,Q231-Calculator!$E$26)</f>
      </c>
      <c r="AJ231" s="0">
        <f>MAX(0,R231-Calculator!$E$27)</f>
      </c>
      <c r="AK231" s="0">
        <f>MAX(0,S231-Calculator!$E$28)</f>
      </c>
      <c r="AL231" s="0">
        <f>MAX(0,MIN(T231,BX231-SUMPRODUCT(($T$2:$AK$2&lt;T$2)*($T231:$AK231))))</f>
      </c>
      <c r="AM231" s="0">
        <f>MAX(0,MIN(U231,BX231-SUMPRODUCT(($T$2:$AK$2&lt;U$2)*($T231:$AK231))))</f>
      </c>
      <c r="AN231" s="0">
        <f>MAX(0,MIN(V231,BX231-SUMPRODUCT(($T$2:$AK$2&lt;V$2)*($T231:$AK231))))</f>
      </c>
      <c r="AO231" s="0">
        <f>MAX(0,MIN(W231,BX231-SUMPRODUCT(($T$2:$AK$2&lt;W$2)*($T231:$AK231))))</f>
      </c>
      <c r="AP231" s="0">
        <f>MAX(0,MIN(X231,BX231-SUMPRODUCT(($T$2:$AK$2&lt;X$2)*($T231:$AK231))))</f>
      </c>
      <c r="AQ231" s="0">
        <f>MAX(0,MIN(Y231,BX231-SUMPRODUCT(($T$2:$AK$2&lt;Y$2)*($T231:$AK231))))</f>
      </c>
      <c r="AR231" s="0">
        <f>MAX(0,MIN(Z231,BX231-SUMPRODUCT(($T$2:$AK$2&lt;Z$2)*($T231:$AK231))))</f>
      </c>
      <c r="AS231" s="0">
        <f>MAX(0,MIN(AA231,BX231-SUMPRODUCT(($T$2:$AK$2&lt;AA$2)*($T231:$AK231))))</f>
      </c>
      <c r="AT231" s="0">
        <f>MAX(0,MIN(AB231,BX231-SUMPRODUCT(($T$2:$AK$2&lt;AB$2)*($T231:$AK231))))</f>
      </c>
      <c r="AU231" s="0">
        <f>MAX(0,MIN(AC231,BX231-SUMPRODUCT(($T$2:$AK$2&lt;AC$2)*($T231:$AK231))))</f>
      </c>
      <c r="AV231" s="0">
        <f>MAX(0,MIN(AD231,BX231-SUMPRODUCT(($T$2:$AK$2&lt;AD$2)*($T231:$AK231))))</f>
      </c>
      <c r="AW231" s="0">
        <f>MAX(0,MIN(AE231,BX231-SUMPRODUCT(($T$2:$AK$2&lt;AE$2)*($T231:$AK231))))</f>
      </c>
      <c r="AX231" s="0">
        <f>MAX(0,MIN(AF231,BX231-SUMPRODUCT(($T$2:$AK$2&lt;AF$2)*($T231:$AK231))))</f>
      </c>
      <c r="AY231" s="0">
        <f>MAX(0,MIN(AG231,BX231-SUMPRODUCT(($T$2:$AK$2&lt;AG$2)*($T231:$AK231))))</f>
      </c>
      <c r="AZ231" s="0">
        <f>MAX(0,MIN(AH231,BX231-SUMPRODUCT(($T$2:$AK$2&lt;AH$2)*($T231:$AK231))))</f>
      </c>
      <c r="BA231" s="0">
        <f>MAX(0,MIN(AI231,BX231-SUMPRODUCT(($T$2:$AK$2&lt;AI$2)*($T231:$AK231))))</f>
      </c>
      <c r="BB231" s="0">
        <f>MAX(0,MIN(AJ231,BX231-SUMPRODUCT(($T$2:$AK$2&lt;AJ$2)*($T231:$AK231))))</f>
      </c>
      <c r="BC231" s="0">
        <f>MAX(0,MIN(AK231,BX231-SUMPRODUCT(($T$2:$AK$2&lt;AK$2)*($T231:$AK231))))</f>
      </c>
      <c r="BD231" s="0">
        <f>T231-AL231</f>
      </c>
      <c r="BE231" s="0">
        <f>U231-AM231</f>
      </c>
      <c r="BF231" s="0">
        <f>V231-AN231</f>
      </c>
      <c r="BG231" s="0">
        <f>W231-AO231</f>
      </c>
      <c r="BH231" s="0">
        <f>X231-AP231</f>
      </c>
      <c r="BI231" s="0">
        <f>Y231-AQ231</f>
      </c>
      <c r="BJ231" s="0">
        <f>Z231-AR231</f>
      </c>
      <c r="BK231" s="0">
        <f>AA231-AS231</f>
      </c>
      <c r="BL231" s="0">
        <f>AB231-AT231</f>
      </c>
      <c r="BM231" s="0">
        <f>AC231-AU231</f>
      </c>
      <c r="BN231" s="0">
        <f>AD231-AV231</f>
      </c>
      <c r="BO231" s="0">
        <f>AE231-AW231</f>
      </c>
      <c r="BP231" s="0">
        <f>AF231-AX231</f>
      </c>
      <c r="BQ231" s="0">
        <f>AG231-AY231</f>
      </c>
      <c r="BR231" s="0">
        <f>AH231-AZ231</f>
      </c>
      <c r="BS231" s="0">
        <f>AI231-BA231</f>
      </c>
      <c r="BT231" s="0">
        <f>AJ231-BB231</f>
      </c>
      <c r="BU231" s="0">
        <f>AK231-BC231</f>
      </c>
      <c r="BV231" s="0">
        <f>SUM(B231:S231)</f>
      </c>
      <c r="BW231" s="0">
        <f>SUM(T231:AK231)</f>
      </c>
      <c r="BX231" s="0">
        <f>MAX(0,(SUM(Calculator!$E$11:$E$28)+Calculator!$C$6)-BV231+BW231)</f>
      </c>
      <c r="BY231" s="0">
        <f>SUM(BD231:BU231)</f>
      </c>
      <c r="BZ231" s="0">
        <f>BV231-BY230</f>
      </c>
      <c r="CA231" s="0">
        <f>IF(A231&lt;=IF($CD$1=0,999,$CD$1),BY231,NA())</f>
      </c>
      <c r="CB231" s="0">
        <f>IF(A231&lt;=IF($CD$1=0,999,$CD$1),A231,NA())</f>
      </c>
    </row>
    <row r="232">
      <c r="A232" s="0">
        <v>229</v>
      </c>
      <c r="B232" s="0">
        <f>BD231*(1+Calculator!$D$11/100/12)</f>
      </c>
      <c r="C232" s="0">
        <f>BE231*(1+Calculator!$D$12/100/12)</f>
      </c>
      <c r="D232" s="0">
        <f>BF231*(1+Calculator!$D$13/100/12)</f>
      </c>
      <c r="E232" s="0">
        <f>BG231*(1+Calculator!$D$14/100/12)</f>
      </c>
      <c r="F232" s="0">
        <f>BH231*(1+Calculator!$D$15/100/12)</f>
      </c>
      <c r="G232" s="0">
        <f>BI231*(1+Calculator!$D$16/100/12)</f>
      </c>
      <c r="H232" s="0">
        <f>BJ231*(1+Calculator!$D$17/100/12)</f>
      </c>
      <c r="I232" s="0">
        <f>BK231*(1+Calculator!$D$18/100/12)</f>
      </c>
      <c r="J232" s="0">
        <f>BL231*(1+Calculator!$D$19/100/12)</f>
      </c>
      <c r="K232" s="0">
        <f>BM231*(1+Calculator!$D$20/100/12)</f>
      </c>
      <c r="L232" s="0">
        <f>BN231*(1+Calculator!$D$21/100/12)</f>
      </c>
      <c r="M232" s="0">
        <f>BO231*(1+Calculator!$D$22/100/12)</f>
      </c>
      <c r="N232" s="0">
        <f>BP231*(1+Calculator!$D$23/100/12)</f>
      </c>
      <c r="O232" s="0">
        <f>BQ231*(1+Calculator!$D$24/100/12)</f>
      </c>
      <c r="P232" s="0">
        <f>BR231*(1+Calculator!$D$25/100/12)</f>
      </c>
      <c r="Q232" s="0">
        <f>BS231*(1+Calculator!$D$26/100/12)</f>
      </c>
      <c r="R232" s="0">
        <f>BT231*(1+Calculator!$D$27/100/12)</f>
      </c>
      <c r="S232" s="0">
        <f>BU231*(1+Calculator!$D$28/100/12)</f>
      </c>
      <c r="T232" s="0">
        <f>MAX(0,B232-Calculator!$E$11)</f>
      </c>
      <c r="U232" s="0">
        <f>MAX(0,C232-Calculator!$E$12)</f>
      </c>
      <c r="V232" s="0">
        <f>MAX(0,D232-Calculator!$E$13)</f>
      </c>
      <c r="W232" s="0">
        <f>MAX(0,E232-Calculator!$E$14)</f>
      </c>
      <c r="X232" s="0">
        <f>MAX(0,F232-Calculator!$E$15)</f>
      </c>
      <c r="Y232" s="0">
        <f>MAX(0,G232-Calculator!$E$16)</f>
      </c>
      <c r="Z232" s="0">
        <f>MAX(0,H232-Calculator!$E$17)</f>
      </c>
      <c r="AA232" s="0">
        <f>MAX(0,I232-Calculator!$E$18)</f>
      </c>
      <c r="AB232" s="0">
        <f>MAX(0,J232-Calculator!$E$19)</f>
      </c>
      <c r="AC232" s="0">
        <f>MAX(0,K232-Calculator!$E$20)</f>
      </c>
      <c r="AD232" s="0">
        <f>MAX(0,L232-Calculator!$E$21)</f>
      </c>
      <c r="AE232" s="0">
        <f>MAX(0,M232-Calculator!$E$22)</f>
      </c>
      <c r="AF232" s="0">
        <f>MAX(0,N232-Calculator!$E$23)</f>
      </c>
      <c r="AG232" s="0">
        <f>MAX(0,O232-Calculator!$E$24)</f>
      </c>
      <c r="AH232" s="0">
        <f>MAX(0,P232-Calculator!$E$25)</f>
      </c>
      <c r="AI232" s="0">
        <f>MAX(0,Q232-Calculator!$E$26)</f>
      </c>
      <c r="AJ232" s="0">
        <f>MAX(0,R232-Calculator!$E$27)</f>
      </c>
      <c r="AK232" s="0">
        <f>MAX(0,S232-Calculator!$E$28)</f>
      </c>
      <c r="AL232" s="0">
        <f>MAX(0,MIN(T232,BX232-SUMPRODUCT(($T$2:$AK$2&lt;T$2)*($T232:$AK232))))</f>
      </c>
      <c r="AM232" s="0">
        <f>MAX(0,MIN(U232,BX232-SUMPRODUCT(($T$2:$AK$2&lt;U$2)*($T232:$AK232))))</f>
      </c>
      <c r="AN232" s="0">
        <f>MAX(0,MIN(V232,BX232-SUMPRODUCT(($T$2:$AK$2&lt;V$2)*($T232:$AK232))))</f>
      </c>
      <c r="AO232" s="0">
        <f>MAX(0,MIN(W232,BX232-SUMPRODUCT(($T$2:$AK$2&lt;W$2)*($T232:$AK232))))</f>
      </c>
      <c r="AP232" s="0">
        <f>MAX(0,MIN(X232,BX232-SUMPRODUCT(($T$2:$AK$2&lt;X$2)*($T232:$AK232))))</f>
      </c>
      <c r="AQ232" s="0">
        <f>MAX(0,MIN(Y232,BX232-SUMPRODUCT(($T$2:$AK$2&lt;Y$2)*($T232:$AK232))))</f>
      </c>
      <c r="AR232" s="0">
        <f>MAX(0,MIN(Z232,BX232-SUMPRODUCT(($T$2:$AK$2&lt;Z$2)*($T232:$AK232))))</f>
      </c>
      <c r="AS232" s="0">
        <f>MAX(0,MIN(AA232,BX232-SUMPRODUCT(($T$2:$AK$2&lt;AA$2)*($T232:$AK232))))</f>
      </c>
      <c r="AT232" s="0">
        <f>MAX(0,MIN(AB232,BX232-SUMPRODUCT(($T$2:$AK$2&lt;AB$2)*($T232:$AK232))))</f>
      </c>
      <c r="AU232" s="0">
        <f>MAX(0,MIN(AC232,BX232-SUMPRODUCT(($T$2:$AK$2&lt;AC$2)*($T232:$AK232))))</f>
      </c>
      <c r="AV232" s="0">
        <f>MAX(0,MIN(AD232,BX232-SUMPRODUCT(($T$2:$AK$2&lt;AD$2)*($T232:$AK232))))</f>
      </c>
      <c r="AW232" s="0">
        <f>MAX(0,MIN(AE232,BX232-SUMPRODUCT(($T$2:$AK$2&lt;AE$2)*($T232:$AK232))))</f>
      </c>
      <c r="AX232" s="0">
        <f>MAX(0,MIN(AF232,BX232-SUMPRODUCT(($T$2:$AK$2&lt;AF$2)*($T232:$AK232))))</f>
      </c>
      <c r="AY232" s="0">
        <f>MAX(0,MIN(AG232,BX232-SUMPRODUCT(($T$2:$AK$2&lt;AG$2)*($T232:$AK232))))</f>
      </c>
      <c r="AZ232" s="0">
        <f>MAX(0,MIN(AH232,BX232-SUMPRODUCT(($T$2:$AK$2&lt;AH$2)*($T232:$AK232))))</f>
      </c>
      <c r="BA232" s="0">
        <f>MAX(0,MIN(AI232,BX232-SUMPRODUCT(($T$2:$AK$2&lt;AI$2)*($T232:$AK232))))</f>
      </c>
      <c r="BB232" s="0">
        <f>MAX(0,MIN(AJ232,BX232-SUMPRODUCT(($T$2:$AK$2&lt;AJ$2)*($T232:$AK232))))</f>
      </c>
      <c r="BC232" s="0">
        <f>MAX(0,MIN(AK232,BX232-SUMPRODUCT(($T$2:$AK$2&lt;AK$2)*($T232:$AK232))))</f>
      </c>
      <c r="BD232" s="0">
        <f>T232-AL232</f>
      </c>
      <c r="BE232" s="0">
        <f>U232-AM232</f>
      </c>
      <c r="BF232" s="0">
        <f>V232-AN232</f>
      </c>
      <c r="BG232" s="0">
        <f>W232-AO232</f>
      </c>
      <c r="BH232" s="0">
        <f>X232-AP232</f>
      </c>
      <c r="BI232" s="0">
        <f>Y232-AQ232</f>
      </c>
      <c r="BJ232" s="0">
        <f>Z232-AR232</f>
      </c>
      <c r="BK232" s="0">
        <f>AA232-AS232</f>
      </c>
      <c r="BL232" s="0">
        <f>AB232-AT232</f>
      </c>
      <c r="BM232" s="0">
        <f>AC232-AU232</f>
      </c>
      <c r="BN232" s="0">
        <f>AD232-AV232</f>
      </c>
      <c r="BO232" s="0">
        <f>AE232-AW232</f>
      </c>
      <c r="BP232" s="0">
        <f>AF232-AX232</f>
      </c>
      <c r="BQ232" s="0">
        <f>AG232-AY232</f>
      </c>
      <c r="BR232" s="0">
        <f>AH232-AZ232</f>
      </c>
      <c r="BS232" s="0">
        <f>AI232-BA232</f>
      </c>
      <c r="BT232" s="0">
        <f>AJ232-BB232</f>
      </c>
      <c r="BU232" s="0">
        <f>AK232-BC232</f>
      </c>
      <c r="BV232" s="0">
        <f>SUM(B232:S232)</f>
      </c>
      <c r="BW232" s="0">
        <f>SUM(T232:AK232)</f>
      </c>
      <c r="BX232" s="0">
        <f>MAX(0,(SUM(Calculator!$E$11:$E$28)+Calculator!$C$6)-BV232+BW232)</f>
      </c>
      <c r="BY232" s="0">
        <f>SUM(BD232:BU232)</f>
      </c>
      <c r="BZ232" s="0">
        <f>BV232-BY231</f>
      </c>
      <c r="CA232" s="0">
        <f>IF(A232&lt;=IF($CD$1=0,999,$CD$1),BY232,NA())</f>
      </c>
      <c r="CB232" s="0">
        <f>IF(A232&lt;=IF($CD$1=0,999,$CD$1),A232,NA())</f>
      </c>
    </row>
    <row r="233">
      <c r="A233" s="0">
        <v>230</v>
      </c>
      <c r="B233" s="0">
        <f>BD232*(1+Calculator!$D$11/100/12)</f>
      </c>
      <c r="C233" s="0">
        <f>BE232*(1+Calculator!$D$12/100/12)</f>
      </c>
      <c r="D233" s="0">
        <f>BF232*(1+Calculator!$D$13/100/12)</f>
      </c>
      <c r="E233" s="0">
        <f>BG232*(1+Calculator!$D$14/100/12)</f>
      </c>
      <c r="F233" s="0">
        <f>BH232*(1+Calculator!$D$15/100/12)</f>
      </c>
      <c r="G233" s="0">
        <f>BI232*(1+Calculator!$D$16/100/12)</f>
      </c>
      <c r="H233" s="0">
        <f>BJ232*(1+Calculator!$D$17/100/12)</f>
      </c>
      <c r="I233" s="0">
        <f>BK232*(1+Calculator!$D$18/100/12)</f>
      </c>
      <c r="J233" s="0">
        <f>BL232*(1+Calculator!$D$19/100/12)</f>
      </c>
      <c r="K233" s="0">
        <f>BM232*(1+Calculator!$D$20/100/12)</f>
      </c>
      <c r="L233" s="0">
        <f>BN232*(1+Calculator!$D$21/100/12)</f>
      </c>
      <c r="M233" s="0">
        <f>BO232*(1+Calculator!$D$22/100/12)</f>
      </c>
      <c r="N233" s="0">
        <f>BP232*(1+Calculator!$D$23/100/12)</f>
      </c>
      <c r="O233" s="0">
        <f>BQ232*(1+Calculator!$D$24/100/12)</f>
      </c>
      <c r="P233" s="0">
        <f>BR232*(1+Calculator!$D$25/100/12)</f>
      </c>
      <c r="Q233" s="0">
        <f>BS232*(1+Calculator!$D$26/100/12)</f>
      </c>
      <c r="R233" s="0">
        <f>BT232*(1+Calculator!$D$27/100/12)</f>
      </c>
      <c r="S233" s="0">
        <f>BU232*(1+Calculator!$D$28/100/12)</f>
      </c>
      <c r="T233" s="0">
        <f>MAX(0,B233-Calculator!$E$11)</f>
      </c>
      <c r="U233" s="0">
        <f>MAX(0,C233-Calculator!$E$12)</f>
      </c>
      <c r="V233" s="0">
        <f>MAX(0,D233-Calculator!$E$13)</f>
      </c>
      <c r="W233" s="0">
        <f>MAX(0,E233-Calculator!$E$14)</f>
      </c>
      <c r="X233" s="0">
        <f>MAX(0,F233-Calculator!$E$15)</f>
      </c>
      <c r="Y233" s="0">
        <f>MAX(0,G233-Calculator!$E$16)</f>
      </c>
      <c r="Z233" s="0">
        <f>MAX(0,H233-Calculator!$E$17)</f>
      </c>
      <c r="AA233" s="0">
        <f>MAX(0,I233-Calculator!$E$18)</f>
      </c>
      <c r="AB233" s="0">
        <f>MAX(0,J233-Calculator!$E$19)</f>
      </c>
      <c r="AC233" s="0">
        <f>MAX(0,K233-Calculator!$E$20)</f>
      </c>
      <c r="AD233" s="0">
        <f>MAX(0,L233-Calculator!$E$21)</f>
      </c>
      <c r="AE233" s="0">
        <f>MAX(0,M233-Calculator!$E$22)</f>
      </c>
      <c r="AF233" s="0">
        <f>MAX(0,N233-Calculator!$E$23)</f>
      </c>
      <c r="AG233" s="0">
        <f>MAX(0,O233-Calculator!$E$24)</f>
      </c>
      <c r="AH233" s="0">
        <f>MAX(0,P233-Calculator!$E$25)</f>
      </c>
      <c r="AI233" s="0">
        <f>MAX(0,Q233-Calculator!$E$26)</f>
      </c>
      <c r="AJ233" s="0">
        <f>MAX(0,R233-Calculator!$E$27)</f>
      </c>
      <c r="AK233" s="0">
        <f>MAX(0,S233-Calculator!$E$28)</f>
      </c>
      <c r="AL233" s="0">
        <f>MAX(0,MIN(T233,BX233-SUMPRODUCT(($T$2:$AK$2&lt;T$2)*($T233:$AK233))))</f>
      </c>
      <c r="AM233" s="0">
        <f>MAX(0,MIN(U233,BX233-SUMPRODUCT(($T$2:$AK$2&lt;U$2)*($T233:$AK233))))</f>
      </c>
      <c r="AN233" s="0">
        <f>MAX(0,MIN(V233,BX233-SUMPRODUCT(($T$2:$AK$2&lt;V$2)*($T233:$AK233))))</f>
      </c>
      <c r="AO233" s="0">
        <f>MAX(0,MIN(W233,BX233-SUMPRODUCT(($T$2:$AK$2&lt;W$2)*($T233:$AK233))))</f>
      </c>
      <c r="AP233" s="0">
        <f>MAX(0,MIN(X233,BX233-SUMPRODUCT(($T$2:$AK$2&lt;X$2)*($T233:$AK233))))</f>
      </c>
      <c r="AQ233" s="0">
        <f>MAX(0,MIN(Y233,BX233-SUMPRODUCT(($T$2:$AK$2&lt;Y$2)*($T233:$AK233))))</f>
      </c>
      <c r="AR233" s="0">
        <f>MAX(0,MIN(Z233,BX233-SUMPRODUCT(($T$2:$AK$2&lt;Z$2)*($T233:$AK233))))</f>
      </c>
      <c r="AS233" s="0">
        <f>MAX(0,MIN(AA233,BX233-SUMPRODUCT(($T$2:$AK$2&lt;AA$2)*($T233:$AK233))))</f>
      </c>
      <c r="AT233" s="0">
        <f>MAX(0,MIN(AB233,BX233-SUMPRODUCT(($T$2:$AK$2&lt;AB$2)*($T233:$AK233))))</f>
      </c>
      <c r="AU233" s="0">
        <f>MAX(0,MIN(AC233,BX233-SUMPRODUCT(($T$2:$AK$2&lt;AC$2)*($T233:$AK233))))</f>
      </c>
      <c r="AV233" s="0">
        <f>MAX(0,MIN(AD233,BX233-SUMPRODUCT(($T$2:$AK$2&lt;AD$2)*($T233:$AK233))))</f>
      </c>
      <c r="AW233" s="0">
        <f>MAX(0,MIN(AE233,BX233-SUMPRODUCT(($T$2:$AK$2&lt;AE$2)*($T233:$AK233))))</f>
      </c>
      <c r="AX233" s="0">
        <f>MAX(0,MIN(AF233,BX233-SUMPRODUCT(($T$2:$AK$2&lt;AF$2)*($T233:$AK233))))</f>
      </c>
      <c r="AY233" s="0">
        <f>MAX(0,MIN(AG233,BX233-SUMPRODUCT(($T$2:$AK$2&lt;AG$2)*($T233:$AK233))))</f>
      </c>
      <c r="AZ233" s="0">
        <f>MAX(0,MIN(AH233,BX233-SUMPRODUCT(($T$2:$AK$2&lt;AH$2)*($T233:$AK233))))</f>
      </c>
      <c r="BA233" s="0">
        <f>MAX(0,MIN(AI233,BX233-SUMPRODUCT(($T$2:$AK$2&lt;AI$2)*($T233:$AK233))))</f>
      </c>
      <c r="BB233" s="0">
        <f>MAX(0,MIN(AJ233,BX233-SUMPRODUCT(($T$2:$AK$2&lt;AJ$2)*($T233:$AK233))))</f>
      </c>
      <c r="BC233" s="0">
        <f>MAX(0,MIN(AK233,BX233-SUMPRODUCT(($T$2:$AK$2&lt;AK$2)*($T233:$AK233))))</f>
      </c>
      <c r="BD233" s="0">
        <f>T233-AL233</f>
      </c>
      <c r="BE233" s="0">
        <f>U233-AM233</f>
      </c>
      <c r="BF233" s="0">
        <f>V233-AN233</f>
      </c>
      <c r="BG233" s="0">
        <f>W233-AO233</f>
      </c>
      <c r="BH233" s="0">
        <f>X233-AP233</f>
      </c>
      <c r="BI233" s="0">
        <f>Y233-AQ233</f>
      </c>
      <c r="BJ233" s="0">
        <f>Z233-AR233</f>
      </c>
      <c r="BK233" s="0">
        <f>AA233-AS233</f>
      </c>
      <c r="BL233" s="0">
        <f>AB233-AT233</f>
      </c>
      <c r="BM233" s="0">
        <f>AC233-AU233</f>
      </c>
      <c r="BN233" s="0">
        <f>AD233-AV233</f>
      </c>
      <c r="BO233" s="0">
        <f>AE233-AW233</f>
      </c>
      <c r="BP233" s="0">
        <f>AF233-AX233</f>
      </c>
      <c r="BQ233" s="0">
        <f>AG233-AY233</f>
      </c>
      <c r="BR233" s="0">
        <f>AH233-AZ233</f>
      </c>
      <c r="BS233" s="0">
        <f>AI233-BA233</f>
      </c>
      <c r="BT233" s="0">
        <f>AJ233-BB233</f>
      </c>
      <c r="BU233" s="0">
        <f>AK233-BC233</f>
      </c>
      <c r="BV233" s="0">
        <f>SUM(B233:S233)</f>
      </c>
      <c r="BW233" s="0">
        <f>SUM(T233:AK233)</f>
      </c>
      <c r="BX233" s="0">
        <f>MAX(0,(SUM(Calculator!$E$11:$E$28)+Calculator!$C$6)-BV233+BW233)</f>
      </c>
      <c r="BY233" s="0">
        <f>SUM(BD233:BU233)</f>
      </c>
      <c r="BZ233" s="0">
        <f>BV233-BY232</f>
      </c>
      <c r="CA233" s="0">
        <f>IF(A233&lt;=IF($CD$1=0,999,$CD$1),BY233,NA())</f>
      </c>
      <c r="CB233" s="0">
        <f>IF(A233&lt;=IF($CD$1=0,999,$CD$1),A233,NA())</f>
      </c>
    </row>
    <row r="234">
      <c r="A234" s="0">
        <v>231</v>
      </c>
      <c r="B234" s="0">
        <f>BD233*(1+Calculator!$D$11/100/12)</f>
      </c>
      <c r="C234" s="0">
        <f>BE233*(1+Calculator!$D$12/100/12)</f>
      </c>
      <c r="D234" s="0">
        <f>BF233*(1+Calculator!$D$13/100/12)</f>
      </c>
      <c r="E234" s="0">
        <f>BG233*(1+Calculator!$D$14/100/12)</f>
      </c>
      <c r="F234" s="0">
        <f>BH233*(1+Calculator!$D$15/100/12)</f>
      </c>
      <c r="G234" s="0">
        <f>BI233*(1+Calculator!$D$16/100/12)</f>
      </c>
      <c r="H234" s="0">
        <f>BJ233*(1+Calculator!$D$17/100/12)</f>
      </c>
      <c r="I234" s="0">
        <f>BK233*(1+Calculator!$D$18/100/12)</f>
      </c>
      <c r="J234" s="0">
        <f>BL233*(1+Calculator!$D$19/100/12)</f>
      </c>
      <c r="K234" s="0">
        <f>BM233*(1+Calculator!$D$20/100/12)</f>
      </c>
      <c r="L234" s="0">
        <f>BN233*(1+Calculator!$D$21/100/12)</f>
      </c>
      <c r="M234" s="0">
        <f>BO233*(1+Calculator!$D$22/100/12)</f>
      </c>
      <c r="N234" s="0">
        <f>BP233*(1+Calculator!$D$23/100/12)</f>
      </c>
      <c r="O234" s="0">
        <f>BQ233*(1+Calculator!$D$24/100/12)</f>
      </c>
      <c r="P234" s="0">
        <f>BR233*(1+Calculator!$D$25/100/12)</f>
      </c>
      <c r="Q234" s="0">
        <f>BS233*(1+Calculator!$D$26/100/12)</f>
      </c>
      <c r="R234" s="0">
        <f>BT233*(1+Calculator!$D$27/100/12)</f>
      </c>
      <c r="S234" s="0">
        <f>BU233*(1+Calculator!$D$28/100/12)</f>
      </c>
      <c r="T234" s="0">
        <f>MAX(0,B234-Calculator!$E$11)</f>
      </c>
      <c r="U234" s="0">
        <f>MAX(0,C234-Calculator!$E$12)</f>
      </c>
      <c r="V234" s="0">
        <f>MAX(0,D234-Calculator!$E$13)</f>
      </c>
      <c r="W234" s="0">
        <f>MAX(0,E234-Calculator!$E$14)</f>
      </c>
      <c r="X234" s="0">
        <f>MAX(0,F234-Calculator!$E$15)</f>
      </c>
      <c r="Y234" s="0">
        <f>MAX(0,G234-Calculator!$E$16)</f>
      </c>
      <c r="Z234" s="0">
        <f>MAX(0,H234-Calculator!$E$17)</f>
      </c>
      <c r="AA234" s="0">
        <f>MAX(0,I234-Calculator!$E$18)</f>
      </c>
      <c r="AB234" s="0">
        <f>MAX(0,J234-Calculator!$E$19)</f>
      </c>
      <c r="AC234" s="0">
        <f>MAX(0,K234-Calculator!$E$20)</f>
      </c>
      <c r="AD234" s="0">
        <f>MAX(0,L234-Calculator!$E$21)</f>
      </c>
      <c r="AE234" s="0">
        <f>MAX(0,M234-Calculator!$E$22)</f>
      </c>
      <c r="AF234" s="0">
        <f>MAX(0,N234-Calculator!$E$23)</f>
      </c>
      <c r="AG234" s="0">
        <f>MAX(0,O234-Calculator!$E$24)</f>
      </c>
      <c r="AH234" s="0">
        <f>MAX(0,P234-Calculator!$E$25)</f>
      </c>
      <c r="AI234" s="0">
        <f>MAX(0,Q234-Calculator!$E$26)</f>
      </c>
      <c r="AJ234" s="0">
        <f>MAX(0,R234-Calculator!$E$27)</f>
      </c>
      <c r="AK234" s="0">
        <f>MAX(0,S234-Calculator!$E$28)</f>
      </c>
      <c r="AL234" s="0">
        <f>MAX(0,MIN(T234,BX234-SUMPRODUCT(($T$2:$AK$2&lt;T$2)*($T234:$AK234))))</f>
      </c>
      <c r="AM234" s="0">
        <f>MAX(0,MIN(U234,BX234-SUMPRODUCT(($T$2:$AK$2&lt;U$2)*($T234:$AK234))))</f>
      </c>
      <c r="AN234" s="0">
        <f>MAX(0,MIN(V234,BX234-SUMPRODUCT(($T$2:$AK$2&lt;V$2)*($T234:$AK234))))</f>
      </c>
      <c r="AO234" s="0">
        <f>MAX(0,MIN(W234,BX234-SUMPRODUCT(($T$2:$AK$2&lt;W$2)*($T234:$AK234))))</f>
      </c>
      <c r="AP234" s="0">
        <f>MAX(0,MIN(X234,BX234-SUMPRODUCT(($T$2:$AK$2&lt;X$2)*($T234:$AK234))))</f>
      </c>
      <c r="AQ234" s="0">
        <f>MAX(0,MIN(Y234,BX234-SUMPRODUCT(($T$2:$AK$2&lt;Y$2)*($T234:$AK234))))</f>
      </c>
      <c r="AR234" s="0">
        <f>MAX(0,MIN(Z234,BX234-SUMPRODUCT(($T$2:$AK$2&lt;Z$2)*($T234:$AK234))))</f>
      </c>
      <c r="AS234" s="0">
        <f>MAX(0,MIN(AA234,BX234-SUMPRODUCT(($T$2:$AK$2&lt;AA$2)*($T234:$AK234))))</f>
      </c>
      <c r="AT234" s="0">
        <f>MAX(0,MIN(AB234,BX234-SUMPRODUCT(($T$2:$AK$2&lt;AB$2)*($T234:$AK234))))</f>
      </c>
      <c r="AU234" s="0">
        <f>MAX(0,MIN(AC234,BX234-SUMPRODUCT(($T$2:$AK$2&lt;AC$2)*($T234:$AK234))))</f>
      </c>
      <c r="AV234" s="0">
        <f>MAX(0,MIN(AD234,BX234-SUMPRODUCT(($T$2:$AK$2&lt;AD$2)*($T234:$AK234))))</f>
      </c>
      <c r="AW234" s="0">
        <f>MAX(0,MIN(AE234,BX234-SUMPRODUCT(($T$2:$AK$2&lt;AE$2)*($T234:$AK234))))</f>
      </c>
      <c r="AX234" s="0">
        <f>MAX(0,MIN(AF234,BX234-SUMPRODUCT(($T$2:$AK$2&lt;AF$2)*($T234:$AK234))))</f>
      </c>
      <c r="AY234" s="0">
        <f>MAX(0,MIN(AG234,BX234-SUMPRODUCT(($T$2:$AK$2&lt;AG$2)*($T234:$AK234))))</f>
      </c>
      <c r="AZ234" s="0">
        <f>MAX(0,MIN(AH234,BX234-SUMPRODUCT(($T$2:$AK$2&lt;AH$2)*($T234:$AK234))))</f>
      </c>
      <c r="BA234" s="0">
        <f>MAX(0,MIN(AI234,BX234-SUMPRODUCT(($T$2:$AK$2&lt;AI$2)*($T234:$AK234))))</f>
      </c>
      <c r="BB234" s="0">
        <f>MAX(0,MIN(AJ234,BX234-SUMPRODUCT(($T$2:$AK$2&lt;AJ$2)*($T234:$AK234))))</f>
      </c>
      <c r="BC234" s="0">
        <f>MAX(0,MIN(AK234,BX234-SUMPRODUCT(($T$2:$AK$2&lt;AK$2)*($T234:$AK234))))</f>
      </c>
      <c r="BD234" s="0">
        <f>T234-AL234</f>
      </c>
      <c r="BE234" s="0">
        <f>U234-AM234</f>
      </c>
      <c r="BF234" s="0">
        <f>V234-AN234</f>
      </c>
      <c r="BG234" s="0">
        <f>W234-AO234</f>
      </c>
      <c r="BH234" s="0">
        <f>X234-AP234</f>
      </c>
      <c r="BI234" s="0">
        <f>Y234-AQ234</f>
      </c>
      <c r="BJ234" s="0">
        <f>Z234-AR234</f>
      </c>
      <c r="BK234" s="0">
        <f>AA234-AS234</f>
      </c>
      <c r="BL234" s="0">
        <f>AB234-AT234</f>
      </c>
      <c r="BM234" s="0">
        <f>AC234-AU234</f>
      </c>
      <c r="BN234" s="0">
        <f>AD234-AV234</f>
      </c>
      <c r="BO234" s="0">
        <f>AE234-AW234</f>
      </c>
      <c r="BP234" s="0">
        <f>AF234-AX234</f>
      </c>
      <c r="BQ234" s="0">
        <f>AG234-AY234</f>
      </c>
      <c r="BR234" s="0">
        <f>AH234-AZ234</f>
      </c>
      <c r="BS234" s="0">
        <f>AI234-BA234</f>
      </c>
      <c r="BT234" s="0">
        <f>AJ234-BB234</f>
      </c>
      <c r="BU234" s="0">
        <f>AK234-BC234</f>
      </c>
      <c r="BV234" s="0">
        <f>SUM(B234:S234)</f>
      </c>
      <c r="BW234" s="0">
        <f>SUM(T234:AK234)</f>
      </c>
      <c r="BX234" s="0">
        <f>MAX(0,(SUM(Calculator!$E$11:$E$28)+Calculator!$C$6)-BV234+BW234)</f>
      </c>
      <c r="BY234" s="0">
        <f>SUM(BD234:BU234)</f>
      </c>
      <c r="BZ234" s="0">
        <f>BV234-BY233</f>
      </c>
      <c r="CA234" s="0">
        <f>IF(A234&lt;=IF($CD$1=0,999,$CD$1),BY234,NA())</f>
      </c>
      <c r="CB234" s="0">
        <f>IF(A234&lt;=IF($CD$1=0,999,$CD$1),A234,NA())</f>
      </c>
    </row>
    <row r="235">
      <c r="A235" s="0">
        <v>232</v>
      </c>
      <c r="B235" s="0">
        <f>BD234*(1+Calculator!$D$11/100/12)</f>
      </c>
      <c r="C235" s="0">
        <f>BE234*(1+Calculator!$D$12/100/12)</f>
      </c>
      <c r="D235" s="0">
        <f>BF234*(1+Calculator!$D$13/100/12)</f>
      </c>
      <c r="E235" s="0">
        <f>BG234*(1+Calculator!$D$14/100/12)</f>
      </c>
      <c r="F235" s="0">
        <f>BH234*(1+Calculator!$D$15/100/12)</f>
      </c>
      <c r="G235" s="0">
        <f>BI234*(1+Calculator!$D$16/100/12)</f>
      </c>
      <c r="H235" s="0">
        <f>BJ234*(1+Calculator!$D$17/100/12)</f>
      </c>
      <c r="I235" s="0">
        <f>BK234*(1+Calculator!$D$18/100/12)</f>
      </c>
      <c r="J235" s="0">
        <f>BL234*(1+Calculator!$D$19/100/12)</f>
      </c>
      <c r="K235" s="0">
        <f>BM234*(1+Calculator!$D$20/100/12)</f>
      </c>
      <c r="L235" s="0">
        <f>BN234*(1+Calculator!$D$21/100/12)</f>
      </c>
      <c r="M235" s="0">
        <f>BO234*(1+Calculator!$D$22/100/12)</f>
      </c>
      <c r="N235" s="0">
        <f>BP234*(1+Calculator!$D$23/100/12)</f>
      </c>
      <c r="O235" s="0">
        <f>BQ234*(1+Calculator!$D$24/100/12)</f>
      </c>
      <c r="P235" s="0">
        <f>BR234*(1+Calculator!$D$25/100/12)</f>
      </c>
      <c r="Q235" s="0">
        <f>BS234*(1+Calculator!$D$26/100/12)</f>
      </c>
      <c r="R235" s="0">
        <f>BT234*(1+Calculator!$D$27/100/12)</f>
      </c>
      <c r="S235" s="0">
        <f>BU234*(1+Calculator!$D$28/100/12)</f>
      </c>
      <c r="T235" s="0">
        <f>MAX(0,B235-Calculator!$E$11)</f>
      </c>
      <c r="U235" s="0">
        <f>MAX(0,C235-Calculator!$E$12)</f>
      </c>
      <c r="V235" s="0">
        <f>MAX(0,D235-Calculator!$E$13)</f>
      </c>
      <c r="W235" s="0">
        <f>MAX(0,E235-Calculator!$E$14)</f>
      </c>
      <c r="X235" s="0">
        <f>MAX(0,F235-Calculator!$E$15)</f>
      </c>
      <c r="Y235" s="0">
        <f>MAX(0,G235-Calculator!$E$16)</f>
      </c>
      <c r="Z235" s="0">
        <f>MAX(0,H235-Calculator!$E$17)</f>
      </c>
      <c r="AA235" s="0">
        <f>MAX(0,I235-Calculator!$E$18)</f>
      </c>
      <c r="AB235" s="0">
        <f>MAX(0,J235-Calculator!$E$19)</f>
      </c>
      <c r="AC235" s="0">
        <f>MAX(0,K235-Calculator!$E$20)</f>
      </c>
      <c r="AD235" s="0">
        <f>MAX(0,L235-Calculator!$E$21)</f>
      </c>
      <c r="AE235" s="0">
        <f>MAX(0,M235-Calculator!$E$22)</f>
      </c>
      <c r="AF235" s="0">
        <f>MAX(0,N235-Calculator!$E$23)</f>
      </c>
      <c r="AG235" s="0">
        <f>MAX(0,O235-Calculator!$E$24)</f>
      </c>
      <c r="AH235" s="0">
        <f>MAX(0,P235-Calculator!$E$25)</f>
      </c>
      <c r="AI235" s="0">
        <f>MAX(0,Q235-Calculator!$E$26)</f>
      </c>
      <c r="AJ235" s="0">
        <f>MAX(0,R235-Calculator!$E$27)</f>
      </c>
      <c r="AK235" s="0">
        <f>MAX(0,S235-Calculator!$E$28)</f>
      </c>
      <c r="AL235" s="0">
        <f>MAX(0,MIN(T235,BX235-SUMPRODUCT(($T$2:$AK$2&lt;T$2)*($T235:$AK235))))</f>
      </c>
      <c r="AM235" s="0">
        <f>MAX(0,MIN(U235,BX235-SUMPRODUCT(($T$2:$AK$2&lt;U$2)*($T235:$AK235))))</f>
      </c>
      <c r="AN235" s="0">
        <f>MAX(0,MIN(V235,BX235-SUMPRODUCT(($T$2:$AK$2&lt;V$2)*($T235:$AK235))))</f>
      </c>
      <c r="AO235" s="0">
        <f>MAX(0,MIN(W235,BX235-SUMPRODUCT(($T$2:$AK$2&lt;W$2)*($T235:$AK235))))</f>
      </c>
      <c r="AP235" s="0">
        <f>MAX(0,MIN(X235,BX235-SUMPRODUCT(($T$2:$AK$2&lt;X$2)*($T235:$AK235))))</f>
      </c>
      <c r="AQ235" s="0">
        <f>MAX(0,MIN(Y235,BX235-SUMPRODUCT(($T$2:$AK$2&lt;Y$2)*($T235:$AK235))))</f>
      </c>
      <c r="AR235" s="0">
        <f>MAX(0,MIN(Z235,BX235-SUMPRODUCT(($T$2:$AK$2&lt;Z$2)*($T235:$AK235))))</f>
      </c>
      <c r="AS235" s="0">
        <f>MAX(0,MIN(AA235,BX235-SUMPRODUCT(($T$2:$AK$2&lt;AA$2)*($T235:$AK235))))</f>
      </c>
      <c r="AT235" s="0">
        <f>MAX(0,MIN(AB235,BX235-SUMPRODUCT(($T$2:$AK$2&lt;AB$2)*($T235:$AK235))))</f>
      </c>
      <c r="AU235" s="0">
        <f>MAX(0,MIN(AC235,BX235-SUMPRODUCT(($T$2:$AK$2&lt;AC$2)*($T235:$AK235))))</f>
      </c>
      <c r="AV235" s="0">
        <f>MAX(0,MIN(AD235,BX235-SUMPRODUCT(($T$2:$AK$2&lt;AD$2)*($T235:$AK235))))</f>
      </c>
      <c r="AW235" s="0">
        <f>MAX(0,MIN(AE235,BX235-SUMPRODUCT(($T$2:$AK$2&lt;AE$2)*($T235:$AK235))))</f>
      </c>
      <c r="AX235" s="0">
        <f>MAX(0,MIN(AF235,BX235-SUMPRODUCT(($T$2:$AK$2&lt;AF$2)*($T235:$AK235))))</f>
      </c>
      <c r="AY235" s="0">
        <f>MAX(0,MIN(AG235,BX235-SUMPRODUCT(($T$2:$AK$2&lt;AG$2)*($T235:$AK235))))</f>
      </c>
      <c r="AZ235" s="0">
        <f>MAX(0,MIN(AH235,BX235-SUMPRODUCT(($T$2:$AK$2&lt;AH$2)*($T235:$AK235))))</f>
      </c>
      <c r="BA235" s="0">
        <f>MAX(0,MIN(AI235,BX235-SUMPRODUCT(($T$2:$AK$2&lt;AI$2)*($T235:$AK235))))</f>
      </c>
      <c r="BB235" s="0">
        <f>MAX(0,MIN(AJ235,BX235-SUMPRODUCT(($T$2:$AK$2&lt;AJ$2)*($T235:$AK235))))</f>
      </c>
      <c r="BC235" s="0">
        <f>MAX(0,MIN(AK235,BX235-SUMPRODUCT(($T$2:$AK$2&lt;AK$2)*($T235:$AK235))))</f>
      </c>
      <c r="BD235" s="0">
        <f>T235-AL235</f>
      </c>
      <c r="BE235" s="0">
        <f>U235-AM235</f>
      </c>
      <c r="BF235" s="0">
        <f>V235-AN235</f>
      </c>
      <c r="BG235" s="0">
        <f>W235-AO235</f>
      </c>
      <c r="BH235" s="0">
        <f>X235-AP235</f>
      </c>
      <c r="BI235" s="0">
        <f>Y235-AQ235</f>
      </c>
      <c r="BJ235" s="0">
        <f>Z235-AR235</f>
      </c>
      <c r="BK235" s="0">
        <f>AA235-AS235</f>
      </c>
      <c r="BL235" s="0">
        <f>AB235-AT235</f>
      </c>
      <c r="BM235" s="0">
        <f>AC235-AU235</f>
      </c>
      <c r="BN235" s="0">
        <f>AD235-AV235</f>
      </c>
      <c r="BO235" s="0">
        <f>AE235-AW235</f>
      </c>
      <c r="BP235" s="0">
        <f>AF235-AX235</f>
      </c>
      <c r="BQ235" s="0">
        <f>AG235-AY235</f>
      </c>
      <c r="BR235" s="0">
        <f>AH235-AZ235</f>
      </c>
      <c r="BS235" s="0">
        <f>AI235-BA235</f>
      </c>
      <c r="BT235" s="0">
        <f>AJ235-BB235</f>
      </c>
      <c r="BU235" s="0">
        <f>AK235-BC235</f>
      </c>
      <c r="BV235" s="0">
        <f>SUM(B235:S235)</f>
      </c>
      <c r="BW235" s="0">
        <f>SUM(T235:AK235)</f>
      </c>
      <c r="BX235" s="0">
        <f>MAX(0,(SUM(Calculator!$E$11:$E$28)+Calculator!$C$6)-BV235+BW235)</f>
      </c>
      <c r="BY235" s="0">
        <f>SUM(BD235:BU235)</f>
      </c>
      <c r="BZ235" s="0">
        <f>BV235-BY234</f>
      </c>
      <c r="CA235" s="0">
        <f>IF(A235&lt;=IF($CD$1=0,999,$CD$1),BY235,NA())</f>
      </c>
      <c r="CB235" s="0">
        <f>IF(A235&lt;=IF($CD$1=0,999,$CD$1),A235,NA())</f>
      </c>
    </row>
    <row r="236">
      <c r="A236" s="0">
        <v>233</v>
      </c>
      <c r="B236" s="0">
        <f>BD235*(1+Calculator!$D$11/100/12)</f>
      </c>
      <c r="C236" s="0">
        <f>BE235*(1+Calculator!$D$12/100/12)</f>
      </c>
      <c r="D236" s="0">
        <f>BF235*(1+Calculator!$D$13/100/12)</f>
      </c>
      <c r="E236" s="0">
        <f>BG235*(1+Calculator!$D$14/100/12)</f>
      </c>
      <c r="F236" s="0">
        <f>BH235*(1+Calculator!$D$15/100/12)</f>
      </c>
      <c r="G236" s="0">
        <f>BI235*(1+Calculator!$D$16/100/12)</f>
      </c>
      <c r="H236" s="0">
        <f>BJ235*(1+Calculator!$D$17/100/12)</f>
      </c>
      <c r="I236" s="0">
        <f>BK235*(1+Calculator!$D$18/100/12)</f>
      </c>
      <c r="J236" s="0">
        <f>BL235*(1+Calculator!$D$19/100/12)</f>
      </c>
      <c r="K236" s="0">
        <f>BM235*(1+Calculator!$D$20/100/12)</f>
      </c>
      <c r="L236" s="0">
        <f>BN235*(1+Calculator!$D$21/100/12)</f>
      </c>
      <c r="M236" s="0">
        <f>BO235*(1+Calculator!$D$22/100/12)</f>
      </c>
      <c r="N236" s="0">
        <f>BP235*(1+Calculator!$D$23/100/12)</f>
      </c>
      <c r="O236" s="0">
        <f>BQ235*(1+Calculator!$D$24/100/12)</f>
      </c>
      <c r="P236" s="0">
        <f>BR235*(1+Calculator!$D$25/100/12)</f>
      </c>
      <c r="Q236" s="0">
        <f>BS235*(1+Calculator!$D$26/100/12)</f>
      </c>
      <c r="R236" s="0">
        <f>BT235*(1+Calculator!$D$27/100/12)</f>
      </c>
      <c r="S236" s="0">
        <f>BU235*(1+Calculator!$D$28/100/12)</f>
      </c>
      <c r="T236" s="0">
        <f>MAX(0,B236-Calculator!$E$11)</f>
      </c>
      <c r="U236" s="0">
        <f>MAX(0,C236-Calculator!$E$12)</f>
      </c>
      <c r="V236" s="0">
        <f>MAX(0,D236-Calculator!$E$13)</f>
      </c>
      <c r="W236" s="0">
        <f>MAX(0,E236-Calculator!$E$14)</f>
      </c>
      <c r="X236" s="0">
        <f>MAX(0,F236-Calculator!$E$15)</f>
      </c>
      <c r="Y236" s="0">
        <f>MAX(0,G236-Calculator!$E$16)</f>
      </c>
      <c r="Z236" s="0">
        <f>MAX(0,H236-Calculator!$E$17)</f>
      </c>
      <c r="AA236" s="0">
        <f>MAX(0,I236-Calculator!$E$18)</f>
      </c>
      <c r="AB236" s="0">
        <f>MAX(0,J236-Calculator!$E$19)</f>
      </c>
      <c r="AC236" s="0">
        <f>MAX(0,K236-Calculator!$E$20)</f>
      </c>
      <c r="AD236" s="0">
        <f>MAX(0,L236-Calculator!$E$21)</f>
      </c>
      <c r="AE236" s="0">
        <f>MAX(0,M236-Calculator!$E$22)</f>
      </c>
      <c r="AF236" s="0">
        <f>MAX(0,N236-Calculator!$E$23)</f>
      </c>
      <c r="AG236" s="0">
        <f>MAX(0,O236-Calculator!$E$24)</f>
      </c>
      <c r="AH236" s="0">
        <f>MAX(0,P236-Calculator!$E$25)</f>
      </c>
      <c r="AI236" s="0">
        <f>MAX(0,Q236-Calculator!$E$26)</f>
      </c>
      <c r="AJ236" s="0">
        <f>MAX(0,R236-Calculator!$E$27)</f>
      </c>
      <c r="AK236" s="0">
        <f>MAX(0,S236-Calculator!$E$28)</f>
      </c>
      <c r="AL236" s="0">
        <f>MAX(0,MIN(T236,BX236-SUMPRODUCT(($T$2:$AK$2&lt;T$2)*($T236:$AK236))))</f>
      </c>
      <c r="AM236" s="0">
        <f>MAX(0,MIN(U236,BX236-SUMPRODUCT(($T$2:$AK$2&lt;U$2)*($T236:$AK236))))</f>
      </c>
      <c r="AN236" s="0">
        <f>MAX(0,MIN(V236,BX236-SUMPRODUCT(($T$2:$AK$2&lt;V$2)*($T236:$AK236))))</f>
      </c>
      <c r="AO236" s="0">
        <f>MAX(0,MIN(W236,BX236-SUMPRODUCT(($T$2:$AK$2&lt;W$2)*($T236:$AK236))))</f>
      </c>
      <c r="AP236" s="0">
        <f>MAX(0,MIN(X236,BX236-SUMPRODUCT(($T$2:$AK$2&lt;X$2)*($T236:$AK236))))</f>
      </c>
      <c r="AQ236" s="0">
        <f>MAX(0,MIN(Y236,BX236-SUMPRODUCT(($T$2:$AK$2&lt;Y$2)*($T236:$AK236))))</f>
      </c>
      <c r="AR236" s="0">
        <f>MAX(0,MIN(Z236,BX236-SUMPRODUCT(($T$2:$AK$2&lt;Z$2)*($T236:$AK236))))</f>
      </c>
      <c r="AS236" s="0">
        <f>MAX(0,MIN(AA236,BX236-SUMPRODUCT(($T$2:$AK$2&lt;AA$2)*($T236:$AK236))))</f>
      </c>
      <c r="AT236" s="0">
        <f>MAX(0,MIN(AB236,BX236-SUMPRODUCT(($T$2:$AK$2&lt;AB$2)*($T236:$AK236))))</f>
      </c>
      <c r="AU236" s="0">
        <f>MAX(0,MIN(AC236,BX236-SUMPRODUCT(($T$2:$AK$2&lt;AC$2)*($T236:$AK236))))</f>
      </c>
      <c r="AV236" s="0">
        <f>MAX(0,MIN(AD236,BX236-SUMPRODUCT(($T$2:$AK$2&lt;AD$2)*($T236:$AK236))))</f>
      </c>
      <c r="AW236" s="0">
        <f>MAX(0,MIN(AE236,BX236-SUMPRODUCT(($T$2:$AK$2&lt;AE$2)*($T236:$AK236))))</f>
      </c>
      <c r="AX236" s="0">
        <f>MAX(0,MIN(AF236,BX236-SUMPRODUCT(($T$2:$AK$2&lt;AF$2)*($T236:$AK236))))</f>
      </c>
      <c r="AY236" s="0">
        <f>MAX(0,MIN(AG236,BX236-SUMPRODUCT(($T$2:$AK$2&lt;AG$2)*($T236:$AK236))))</f>
      </c>
      <c r="AZ236" s="0">
        <f>MAX(0,MIN(AH236,BX236-SUMPRODUCT(($T$2:$AK$2&lt;AH$2)*($T236:$AK236))))</f>
      </c>
      <c r="BA236" s="0">
        <f>MAX(0,MIN(AI236,BX236-SUMPRODUCT(($T$2:$AK$2&lt;AI$2)*($T236:$AK236))))</f>
      </c>
      <c r="BB236" s="0">
        <f>MAX(0,MIN(AJ236,BX236-SUMPRODUCT(($T$2:$AK$2&lt;AJ$2)*($T236:$AK236))))</f>
      </c>
      <c r="BC236" s="0">
        <f>MAX(0,MIN(AK236,BX236-SUMPRODUCT(($T$2:$AK$2&lt;AK$2)*($T236:$AK236))))</f>
      </c>
      <c r="BD236" s="0">
        <f>T236-AL236</f>
      </c>
      <c r="BE236" s="0">
        <f>U236-AM236</f>
      </c>
      <c r="BF236" s="0">
        <f>V236-AN236</f>
      </c>
      <c r="BG236" s="0">
        <f>W236-AO236</f>
      </c>
      <c r="BH236" s="0">
        <f>X236-AP236</f>
      </c>
      <c r="BI236" s="0">
        <f>Y236-AQ236</f>
      </c>
      <c r="BJ236" s="0">
        <f>Z236-AR236</f>
      </c>
      <c r="BK236" s="0">
        <f>AA236-AS236</f>
      </c>
      <c r="BL236" s="0">
        <f>AB236-AT236</f>
      </c>
      <c r="BM236" s="0">
        <f>AC236-AU236</f>
      </c>
      <c r="BN236" s="0">
        <f>AD236-AV236</f>
      </c>
      <c r="BO236" s="0">
        <f>AE236-AW236</f>
      </c>
      <c r="BP236" s="0">
        <f>AF236-AX236</f>
      </c>
      <c r="BQ236" s="0">
        <f>AG236-AY236</f>
      </c>
      <c r="BR236" s="0">
        <f>AH236-AZ236</f>
      </c>
      <c r="BS236" s="0">
        <f>AI236-BA236</f>
      </c>
      <c r="BT236" s="0">
        <f>AJ236-BB236</f>
      </c>
      <c r="BU236" s="0">
        <f>AK236-BC236</f>
      </c>
      <c r="BV236" s="0">
        <f>SUM(B236:S236)</f>
      </c>
      <c r="BW236" s="0">
        <f>SUM(T236:AK236)</f>
      </c>
      <c r="BX236" s="0">
        <f>MAX(0,(SUM(Calculator!$E$11:$E$28)+Calculator!$C$6)-BV236+BW236)</f>
      </c>
      <c r="BY236" s="0">
        <f>SUM(BD236:BU236)</f>
      </c>
      <c r="BZ236" s="0">
        <f>BV236-BY235</f>
      </c>
      <c r="CA236" s="0">
        <f>IF(A236&lt;=IF($CD$1=0,999,$CD$1),BY236,NA())</f>
      </c>
      <c r="CB236" s="0">
        <f>IF(A236&lt;=IF($CD$1=0,999,$CD$1),A236,NA())</f>
      </c>
    </row>
    <row r="237">
      <c r="A237" s="0">
        <v>234</v>
      </c>
      <c r="B237" s="0">
        <f>BD236*(1+Calculator!$D$11/100/12)</f>
      </c>
      <c r="C237" s="0">
        <f>BE236*(1+Calculator!$D$12/100/12)</f>
      </c>
      <c r="D237" s="0">
        <f>BF236*(1+Calculator!$D$13/100/12)</f>
      </c>
      <c r="E237" s="0">
        <f>BG236*(1+Calculator!$D$14/100/12)</f>
      </c>
      <c r="F237" s="0">
        <f>BH236*(1+Calculator!$D$15/100/12)</f>
      </c>
      <c r="G237" s="0">
        <f>BI236*(1+Calculator!$D$16/100/12)</f>
      </c>
      <c r="H237" s="0">
        <f>BJ236*(1+Calculator!$D$17/100/12)</f>
      </c>
      <c r="I237" s="0">
        <f>BK236*(1+Calculator!$D$18/100/12)</f>
      </c>
      <c r="J237" s="0">
        <f>BL236*(1+Calculator!$D$19/100/12)</f>
      </c>
      <c r="K237" s="0">
        <f>BM236*(1+Calculator!$D$20/100/12)</f>
      </c>
      <c r="L237" s="0">
        <f>BN236*(1+Calculator!$D$21/100/12)</f>
      </c>
      <c r="M237" s="0">
        <f>BO236*(1+Calculator!$D$22/100/12)</f>
      </c>
      <c r="N237" s="0">
        <f>BP236*(1+Calculator!$D$23/100/12)</f>
      </c>
      <c r="O237" s="0">
        <f>BQ236*(1+Calculator!$D$24/100/12)</f>
      </c>
      <c r="P237" s="0">
        <f>BR236*(1+Calculator!$D$25/100/12)</f>
      </c>
      <c r="Q237" s="0">
        <f>BS236*(1+Calculator!$D$26/100/12)</f>
      </c>
      <c r="R237" s="0">
        <f>BT236*(1+Calculator!$D$27/100/12)</f>
      </c>
      <c r="S237" s="0">
        <f>BU236*(1+Calculator!$D$28/100/12)</f>
      </c>
      <c r="T237" s="0">
        <f>MAX(0,B237-Calculator!$E$11)</f>
      </c>
      <c r="U237" s="0">
        <f>MAX(0,C237-Calculator!$E$12)</f>
      </c>
      <c r="V237" s="0">
        <f>MAX(0,D237-Calculator!$E$13)</f>
      </c>
      <c r="W237" s="0">
        <f>MAX(0,E237-Calculator!$E$14)</f>
      </c>
      <c r="X237" s="0">
        <f>MAX(0,F237-Calculator!$E$15)</f>
      </c>
      <c r="Y237" s="0">
        <f>MAX(0,G237-Calculator!$E$16)</f>
      </c>
      <c r="Z237" s="0">
        <f>MAX(0,H237-Calculator!$E$17)</f>
      </c>
      <c r="AA237" s="0">
        <f>MAX(0,I237-Calculator!$E$18)</f>
      </c>
      <c r="AB237" s="0">
        <f>MAX(0,J237-Calculator!$E$19)</f>
      </c>
      <c r="AC237" s="0">
        <f>MAX(0,K237-Calculator!$E$20)</f>
      </c>
      <c r="AD237" s="0">
        <f>MAX(0,L237-Calculator!$E$21)</f>
      </c>
      <c r="AE237" s="0">
        <f>MAX(0,M237-Calculator!$E$22)</f>
      </c>
      <c r="AF237" s="0">
        <f>MAX(0,N237-Calculator!$E$23)</f>
      </c>
      <c r="AG237" s="0">
        <f>MAX(0,O237-Calculator!$E$24)</f>
      </c>
      <c r="AH237" s="0">
        <f>MAX(0,P237-Calculator!$E$25)</f>
      </c>
      <c r="AI237" s="0">
        <f>MAX(0,Q237-Calculator!$E$26)</f>
      </c>
      <c r="AJ237" s="0">
        <f>MAX(0,R237-Calculator!$E$27)</f>
      </c>
      <c r="AK237" s="0">
        <f>MAX(0,S237-Calculator!$E$28)</f>
      </c>
      <c r="AL237" s="0">
        <f>MAX(0,MIN(T237,BX237-SUMPRODUCT(($T$2:$AK$2&lt;T$2)*($T237:$AK237))))</f>
      </c>
      <c r="AM237" s="0">
        <f>MAX(0,MIN(U237,BX237-SUMPRODUCT(($T$2:$AK$2&lt;U$2)*($T237:$AK237))))</f>
      </c>
      <c r="AN237" s="0">
        <f>MAX(0,MIN(V237,BX237-SUMPRODUCT(($T$2:$AK$2&lt;V$2)*($T237:$AK237))))</f>
      </c>
      <c r="AO237" s="0">
        <f>MAX(0,MIN(W237,BX237-SUMPRODUCT(($T$2:$AK$2&lt;W$2)*($T237:$AK237))))</f>
      </c>
      <c r="AP237" s="0">
        <f>MAX(0,MIN(X237,BX237-SUMPRODUCT(($T$2:$AK$2&lt;X$2)*($T237:$AK237))))</f>
      </c>
      <c r="AQ237" s="0">
        <f>MAX(0,MIN(Y237,BX237-SUMPRODUCT(($T$2:$AK$2&lt;Y$2)*($T237:$AK237))))</f>
      </c>
      <c r="AR237" s="0">
        <f>MAX(0,MIN(Z237,BX237-SUMPRODUCT(($T$2:$AK$2&lt;Z$2)*($T237:$AK237))))</f>
      </c>
      <c r="AS237" s="0">
        <f>MAX(0,MIN(AA237,BX237-SUMPRODUCT(($T$2:$AK$2&lt;AA$2)*($T237:$AK237))))</f>
      </c>
      <c r="AT237" s="0">
        <f>MAX(0,MIN(AB237,BX237-SUMPRODUCT(($T$2:$AK$2&lt;AB$2)*($T237:$AK237))))</f>
      </c>
      <c r="AU237" s="0">
        <f>MAX(0,MIN(AC237,BX237-SUMPRODUCT(($T$2:$AK$2&lt;AC$2)*($T237:$AK237))))</f>
      </c>
      <c r="AV237" s="0">
        <f>MAX(0,MIN(AD237,BX237-SUMPRODUCT(($T$2:$AK$2&lt;AD$2)*($T237:$AK237))))</f>
      </c>
      <c r="AW237" s="0">
        <f>MAX(0,MIN(AE237,BX237-SUMPRODUCT(($T$2:$AK$2&lt;AE$2)*($T237:$AK237))))</f>
      </c>
      <c r="AX237" s="0">
        <f>MAX(0,MIN(AF237,BX237-SUMPRODUCT(($T$2:$AK$2&lt;AF$2)*($T237:$AK237))))</f>
      </c>
      <c r="AY237" s="0">
        <f>MAX(0,MIN(AG237,BX237-SUMPRODUCT(($T$2:$AK$2&lt;AG$2)*($T237:$AK237))))</f>
      </c>
      <c r="AZ237" s="0">
        <f>MAX(0,MIN(AH237,BX237-SUMPRODUCT(($T$2:$AK$2&lt;AH$2)*($T237:$AK237))))</f>
      </c>
      <c r="BA237" s="0">
        <f>MAX(0,MIN(AI237,BX237-SUMPRODUCT(($T$2:$AK$2&lt;AI$2)*($T237:$AK237))))</f>
      </c>
      <c r="BB237" s="0">
        <f>MAX(0,MIN(AJ237,BX237-SUMPRODUCT(($T$2:$AK$2&lt;AJ$2)*($T237:$AK237))))</f>
      </c>
      <c r="BC237" s="0">
        <f>MAX(0,MIN(AK237,BX237-SUMPRODUCT(($T$2:$AK$2&lt;AK$2)*($T237:$AK237))))</f>
      </c>
      <c r="BD237" s="0">
        <f>T237-AL237</f>
      </c>
      <c r="BE237" s="0">
        <f>U237-AM237</f>
      </c>
      <c r="BF237" s="0">
        <f>V237-AN237</f>
      </c>
      <c r="BG237" s="0">
        <f>W237-AO237</f>
      </c>
      <c r="BH237" s="0">
        <f>X237-AP237</f>
      </c>
      <c r="BI237" s="0">
        <f>Y237-AQ237</f>
      </c>
      <c r="BJ237" s="0">
        <f>Z237-AR237</f>
      </c>
      <c r="BK237" s="0">
        <f>AA237-AS237</f>
      </c>
      <c r="BL237" s="0">
        <f>AB237-AT237</f>
      </c>
      <c r="BM237" s="0">
        <f>AC237-AU237</f>
      </c>
      <c r="BN237" s="0">
        <f>AD237-AV237</f>
      </c>
      <c r="BO237" s="0">
        <f>AE237-AW237</f>
      </c>
      <c r="BP237" s="0">
        <f>AF237-AX237</f>
      </c>
      <c r="BQ237" s="0">
        <f>AG237-AY237</f>
      </c>
      <c r="BR237" s="0">
        <f>AH237-AZ237</f>
      </c>
      <c r="BS237" s="0">
        <f>AI237-BA237</f>
      </c>
      <c r="BT237" s="0">
        <f>AJ237-BB237</f>
      </c>
      <c r="BU237" s="0">
        <f>AK237-BC237</f>
      </c>
      <c r="BV237" s="0">
        <f>SUM(B237:S237)</f>
      </c>
      <c r="BW237" s="0">
        <f>SUM(T237:AK237)</f>
      </c>
      <c r="BX237" s="0">
        <f>MAX(0,(SUM(Calculator!$E$11:$E$28)+Calculator!$C$6)-BV237+BW237)</f>
      </c>
      <c r="BY237" s="0">
        <f>SUM(BD237:BU237)</f>
      </c>
      <c r="BZ237" s="0">
        <f>BV237-BY236</f>
      </c>
      <c r="CA237" s="0">
        <f>IF(A237&lt;=IF($CD$1=0,999,$CD$1),BY237,NA())</f>
      </c>
      <c r="CB237" s="0">
        <f>IF(A237&lt;=IF($CD$1=0,999,$CD$1),A237,NA())</f>
      </c>
    </row>
    <row r="238">
      <c r="A238" s="0">
        <v>235</v>
      </c>
      <c r="B238" s="0">
        <f>BD237*(1+Calculator!$D$11/100/12)</f>
      </c>
      <c r="C238" s="0">
        <f>BE237*(1+Calculator!$D$12/100/12)</f>
      </c>
      <c r="D238" s="0">
        <f>BF237*(1+Calculator!$D$13/100/12)</f>
      </c>
      <c r="E238" s="0">
        <f>BG237*(1+Calculator!$D$14/100/12)</f>
      </c>
      <c r="F238" s="0">
        <f>BH237*(1+Calculator!$D$15/100/12)</f>
      </c>
      <c r="G238" s="0">
        <f>BI237*(1+Calculator!$D$16/100/12)</f>
      </c>
      <c r="H238" s="0">
        <f>BJ237*(1+Calculator!$D$17/100/12)</f>
      </c>
      <c r="I238" s="0">
        <f>BK237*(1+Calculator!$D$18/100/12)</f>
      </c>
      <c r="J238" s="0">
        <f>BL237*(1+Calculator!$D$19/100/12)</f>
      </c>
      <c r="K238" s="0">
        <f>BM237*(1+Calculator!$D$20/100/12)</f>
      </c>
      <c r="L238" s="0">
        <f>BN237*(1+Calculator!$D$21/100/12)</f>
      </c>
      <c r="M238" s="0">
        <f>BO237*(1+Calculator!$D$22/100/12)</f>
      </c>
      <c r="N238" s="0">
        <f>BP237*(1+Calculator!$D$23/100/12)</f>
      </c>
      <c r="O238" s="0">
        <f>BQ237*(1+Calculator!$D$24/100/12)</f>
      </c>
      <c r="P238" s="0">
        <f>BR237*(1+Calculator!$D$25/100/12)</f>
      </c>
      <c r="Q238" s="0">
        <f>BS237*(1+Calculator!$D$26/100/12)</f>
      </c>
      <c r="R238" s="0">
        <f>BT237*(1+Calculator!$D$27/100/12)</f>
      </c>
      <c r="S238" s="0">
        <f>BU237*(1+Calculator!$D$28/100/12)</f>
      </c>
      <c r="T238" s="0">
        <f>MAX(0,B238-Calculator!$E$11)</f>
      </c>
      <c r="U238" s="0">
        <f>MAX(0,C238-Calculator!$E$12)</f>
      </c>
      <c r="V238" s="0">
        <f>MAX(0,D238-Calculator!$E$13)</f>
      </c>
      <c r="W238" s="0">
        <f>MAX(0,E238-Calculator!$E$14)</f>
      </c>
      <c r="X238" s="0">
        <f>MAX(0,F238-Calculator!$E$15)</f>
      </c>
      <c r="Y238" s="0">
        <f>MAX(0,G238-Calculator!$E$16)</f>
      </c>
      <c r="Z238" s="0">
        <f>MAX(0,H238-Calculator!$E$17)</f>
      </c>
      <c r="AA238" s="0">
        <f>MAX(0,I238-Calculator!$E$18)</f>
      </c>
      <c r="AB238" s="0">
        <f>MAX(0,J238-Calculator!$E$19)</f>
      </c>
      <c r="AC238" s="0">
        <f>MAX(0,K238-Calculator!$E$20)</f>
      </c>
      <c r="AD238" s="0">
        <f>MAX(0,L238-Calculator!$E$21)</f>
      </c>
      <c r="AE238" s="0">
        <f>MAX(0,M238-Calculator!$E$22)</f>
      </c>
      <c r="AF238" s="0">
        <f>MAX(0,N238-Calculator!$E$23)</f>
      </c>
      <c r="AG238" s="0">
        <f>MAX(0,O238-Calculator!$E$24)</f>
      </c>
      <c r="AH238" s="0">
        <f>MAX(0,P238-Calculator!$E$25)</f>
      </c>
      <c r="AI238" s="0">
        <f>MAX(0,Q238-Calculator!$E$26)</f>
      </c>
      <c r="AJ238" s="0">
        <f>MAX(0,R238-Calculator!$E$27)</f>
      </c>
      <c r="AK238" s="0">
        <f>MAX(0,S238-Calculator!$E$28)</f>
      </c>
      <c r="AL238" s="0">
        <f>MAX(0,MIN(T238,BX238-SUMPRODUCT(($T$2:$AK$2&lt;T$2)*($T238:$AK238))))</f>
      </c>
      <c r="AM238" s="0">
        <f>MAX(0,MIN(U238,BX238-SUMPRODUCT(($T$2:$AK$2&lt;U$2)*($T238:$AK238))))</f>
      </c>
      <c r="AN238" s="0">
        <f>MAX(0,MIN(V238,BX238-SUMPRODUCT(($T$2:$AK$2&lt;V$2)*($T238:$AK238))))</f>
      </c>
      <c r="AO238" s="0">
        <f>MAX(0,MIN(W238,BX238-SUMPRODUCT(($T$2:$AK$2&lt;W$2)*($T238:$AK238))))</f>
      </c>
      <c r="AP238" s="0">
        <f>MAX(0,MIN(X238,BX238-SUMPRODUCT(($T$2:$AK$2&lt;X$2)*($T238:$AK238))))</f>
      </c>
      <c r="AQ238" s="0">
        <f>MAX(0,MIN(Y238,BX238-SUMPRODUCT(($T$2:$AK$2&lt;Y$2)*($T238:$AK238))))</f>
      </c>
      <c r="AR238" s="0">
        <f>MAX(0,MIN(Z238,BX238-SUMPRODUCT(($T$2:$AK$2&lt;Z$2)*($T238:$AK238))))</f>
      </c>
      <c r="AS238" s="0">
        <f>MAX(0,MIN(AA238,BX238-SUMPRODUCT(($T$2:$AK$2&lt;AA$2)*($T238:$AK238))))</f>
      </c>
      <c r="AT238" s="0">
        <f>MAX(0,MIN(AB238,BX238-SUMPRODUCT(($T$2:$AK$2&lt;AB$2)*($T238:$AK238))))</f>
      </c>
      <c r="AU238" s="0">
        <f>MAX(0,MIN(AC238,BX238-SUMPRODUCT(($T$2:$AK$2&lt;AC$2)*($T238:$AK238))))</f>
      </c>
      <c r="AV238" s="0">
        <f>MAX(0,MIN(AD238,BX238-SUMPRODUCT(($T$2:$AK$2&lt;AD$2)*($T238:$AK238))))</f>
      </c>
      <c r="AW238" s="0">
        <f>MAX(0,MIN(AE238,BX238-SUMPRODUCT(($T$2:$AK$2&lt;AE$2)*($T238:$AK238))))</f>
      </c>
      <c r="AX238" s="0">
        <f>MAX(0,MIN(AF238,BX238-SUMPRODUCT(($T$2:$AK$2&lt;AF$2)*($T238:$AK238))))</f>
      </c>
      <c r="AY238" s="0">
        <f>MAX(0,MIN(AG238,BX238-SUMPRODUCT(($T$2:$AK$2&lt;AG$2)*($T238:$AK238))))</f>
      </c>
      <c r="AZ238" s="0">
        <f>MAX(0,MIN(AH238,BX238-SUMPRODUCT(($T$2:$AK$2&lt;AH$2)*($T238:$AK238))))</f>
      </c>
      <c r="BA238" s="0">
        <f>MAX(0,MIN(AI238,BX238-SUMPRODUCT(($T$2:$AK$2&lt;AI$2)*($T238:$AK238))))</f>
      </c>
      <c r="BB238" s="0">
        <f>MAX(0,MIN(AJ238,BX238-SUMPRODUCT(($T$2:$AK$2&lt;AJ$2)*($T238:$AK238))))</f>
      </c>
      <c r="BC238" s="0">
        <f>MAX(0,MIN(AK238,BX238-SUMPRODUCT(($T$2:$AK$2&lt;AK$2)*($T238:$AK238))))</f>
      </c>
      <c r="BD238" s="0">
        <f>T238-AL238</f>
      </c>
      <c r="BE238" s="0">
        <f>U238-AM238</f>
      </c>
      <c r="BF238" s="0">
        <f>V238-AN238</f>
      </c>
      <c r="BG238" s="0">
        <f>W238-AO238</f>
      </c>
      <c r="BH238" s="0">
        <f>X238-AP238</f>
      </c>
      <c r="BI238" s="0">
        <f>Y238-AQ238</f>
      </c>
      <c r="BJ238" s="0">
        <f>Z238-AR238</f>
      </c>
      <c r="BK238" s="0">
        <f>AA238-AS238</f>
      </c>
      <c r="BL238" s="0">
        <f>AB238-AT238</f>
      </c>
      <c r="BM238" s="0">
        <f>AC238-AU238</f>
      </c>
      <c r="BN238" s="0">
        <f>AD238-AV238</f>
      </c>
      <c r="BO238" s="0">
        <f>AE238-AW238</f>
      </c>
      <c r="BP238" s="0">
        <f>AF238-AX238</f>
      </c>
      <c r="BQ238" s="0">
        <f>AG238-AY238</f>
      </c>
      <c r="BR238" s="0">
        <f>AH238-AZ238</f>
      </c>
      <c r="BS238" s="0">
        <f>AI238-BA238</f>
      </c>
      <c r="BT238" s="0">
        <f>AJ238-BB238</f>
      </c>
      <c r="BU238" s="0">
        <f>AK238-BC238</f>
      </c>
      <c r="BV238" s="0">
        <f>SUM(B238:S238)</f>
      </c>
      <c r="BW238" s="0">
        <f>SUM(T238:AK238)</f>
      </c>
      <c r="BX238" s="0">
        <f>MAX(0,(SUM(Calculator!$E$11:$E$28)+Calculator!$C$6)-BV238+BW238)</f>
      </c>
      <c r="BY238" s="0">
        <f>SUM(BD238:BU238)</f>
      </c>
      <c r="BZ238" s="0">
        <f>BV238-BY237</f>
      </c>
      <c r="CA238" s="0">
        <f>IF(A238&lt;=IF($CD$1=0,999,$CD$1),BY238,NA())</f>
      </c>
      <c r="CB238" s="0">
        <f>IF(A238&lt;=IF($CD$1=0,999,$CD$1),A238,NA())</f>
      </c>
    </row>
    <row r="239">
      <c r="A239" s="0">
        <v>236</v>
      </c>
      <c r="B239" s="0">
        <f>BD238*(1+Calculator!$D$11/100/12)</f>
      </c>
      <c r="C239" s="0">
        <f>BE238*(1+Calculator!$D$12/100/12)</f>
      </c>
      <c r="D239" s="0">
        <f>BF238*(1+Calculator!$D$13/100/12)</f>
      </c>
      <c r="E239" s="0">
        <f>BG238*(1+Calculator!$D$14/100/12)</f>
      </c>
      <c r="F239" s="0">
        <f>BH238*(1+Calculator!$D$15/100/12)</f>
      </c>
      <c r="G239" s="0">
        <f>BI238*(1+Calculator!$D$16/100/12)</f>
      </c>
      <c r="H239" s="0">
        <f>BJ238*(1+Calculator!$D$17/100/12)</f>
      </c>
      <c r="I239" s="0">
        <f>BK238*(1+Calculator!$D$18/100/12)</f>
      </c>
      <c r="J239" s="0">
        <f>BL238*(1+Calculator!$D$19/100/12)</f>
      </c>
      <c r="K239" s="0">
        <f>BM238*(1+Calculator!$D$20/100/12)</f>
      </c>
      <c r="L239" s="0">
        <f>BN238*(1+Calculator!$D$21/100/12)</f>
      </c>
      <c r="M239" s="0">
        <f>BO238*(1+Calculator!$D$22/100/12)</f>
      </c>
      <c r="N239" s="0">
        <f>BP238*(1+Calculator!$D$23/100/12)</f>
      </c>
      <c r="O239" s="0">
        <f>BQ238*(1+Calculator!$D$24/100/12)</f>
      </c>
      <c r="P239" s="0">
        <f>BR238*(1+Calculator!$D$25/100/12)</f>
      </c>
      <c r="Q239" s="0">
        <f>BS238*(1+Calculator!$D$26/100/12)</f>
      </c>
      <c r="R239" s="0">
        <f>BT238*(1+Calculator!$D$27/100/12)</f>
      </c>
      <c r="S239" s="0">
        <f>BU238*(1+Calculator!$D$28/100/12)</f>
      </c>
      <c r="T239" s="0">
        <f>MAX(0,B239-Calculator!$E$11)</f>
      </c>
      <c r="U239" s="0">
        <f>MAX(0,C239-Calculator!$E$12)</f>
      </c>
      <c r="V239" s="0">
        <f>MAX(0,D239-Calculator!$E$13)</f>
      </c>
      <c r="W239" s="0">
        <f>MAX(0,E239-Calculator!$E$14)</f>
      </c>
      <c r="X239" s="0">
        <f>MAX(0,F239-Calculator!$E$15)</f>
      </c>
      <c r="Y239" s="0">
        <f>MAX(0,G239-Calculator!$E$16)</f>
      </c>
      <c r="Z239" s="0">
        <f>MAX(0,H239-Calculator!$E$17)</f>
      </c>
      <c r="AA239" s="0">
        <f>MAX(0,I239-Calculator!$E$18)</f>
      </c>
      <c r="AB239" s="0">
        <f>MAX(0,J239-Calculator!$E$19)</f>
      </c>
      <c r="AC239" s="0">
        <f>MAX(0,K239-Calculator!$E$20)</f>
      </c>
      <c r="AD239" s="0">
        <f>MAX(0,L239-Calculator!$E$21)</f>
      </c>
      <c r="AE239" s="0">
        <f>MAX(0,M239-Calculator!$E$22)</f>
      </c>
      <c r="AF239" s="0">
        <f>MAX(0,N239-Calculator!$E$23)</f>
      </c>
      <c r="AG239" s="0">
        <f>MAX(0,O239-Calculator!$E$24)</f>
      </c>
      <c r="AH239" s="0">
        <f>MAX(0,P239-Calculator!$E$25)</f>
      </c>
      <c r="AI239" s="0">
        <f>MAX(0,Q239-Calculator!$E$26)</f>
      </c>
      <c r="AJ239" s="0">
        <f>MAX(0,R239-Calculator!$E$27)</f>
      </c>
      <c r="AK239" s="0">
        <f>MAX(0,S239-Calculator!$E$28)</f>
      </c>
      <c r="AL239" s="0">
        <f>MAX(0,MIN(T239,BX239-SUMPRODUCT(($T$2:$AK$2&lt;T$2)*($T239:$AK239))))</f>
      </c>
      <c r="AM239" s="0">
        <f>MAX(0,MIN(U239,BX239-SUMPRODUCT(($T$2:$AK$2&lt;U$2)*($T239:$AK239))))</f>
      </c>
      <c r="AN239" s="0">
        <f>MAX(0,MIN(V239,BX239-SUMPRODUCT(($T$2:$AK$2&lt;V$2)*($T239:$AK239))))</f>
      </c>
      <c r="AO239" s="0">
        <f>MAX(0,MIN(W239,BX239-SUMPRODUCT(($T$2:$AK$2&lt;W$2)*($T239:$AK239))))</f>
      </c>
      <c r="AP239" s="0">
        <f>MAX(0,MIN(X239,BX239-SUMPRODUCT(($T$2:$AK$2&lt;X$2)*($T239:$AK239))))</f>
      </c>
      <c r="AQ239" s="0">
        <f>MAX(0,MIN(Y239,BX239-SUMPRODUCT(($T$2:$AK$2&lt;Y$2)*($T239:$AK239))))</f>
      </c>
      <c r="AR239" s="0">
        <f>MAX(0,MIN(Z239,BX239-SUMPRODUCT(($T$2:$AK$2&lt;Z$2)*($T239:$AK239))))</f>
      </c>
      <c r="AS239" s="0">
        <f>MAX(0,MIN(AA239,BX239-SUMPRODUCT(($T$2:$AK$2&lt;AA$2)*($T239:$AK239))))</f>
      </c>
      <c r="AT239" s="0">
        <f>MAX(0,MIN(AB239,BX239-SUMPRODUCT(($T$2:$AK$2&lt;AB$2)*($T239:$AK239))))</f>
      </c>
      <c r="AU239" s="0">
        <f>MAX(0,MIN(AC239,BX239-SUMPRODUCT(($T$2:$AK$2&lt;AC$2)*($T239:$AK239))))</f>
      </c>
      <c r="AV239" s="0">
        <f>MAX(0,MIN(AD239,BX239-SUMPRODUCT(($T$2:$AK$2&lt;AD$2)*($T239:$AK239))))</f>
      </c>
      <c r="AW239" s="0">
        <f>MAX(0,MIN(AE239,BX239-SUMPRODUCT(($T$2:$AK$2&lt;AE$2)*($T239:$AK239))))</f>
      </c>
      <c r="AX239" s="0">
        <f>MAX(0,MIN(AF239,BX239-SUMPRODUCT(($T$2:$AK$2&lt;AF$2)*($T239:$AK239))))</f>
      </c>
      <c r="AY239" s="0">
        <f>MAX(0,MIN(AG239,BX239-SUMPRODUCT(($T$2:$AK$2&lt;AG$2)*($T239:$AK239))))</f>
      </c>
      <c r="AZ239" s="0">
        <f>MAX(0,MIN(AH239,BX239-SUMPRODUCT(($T$2:$AK$2&lt;AH$2)*($T239:$AK239))))</f>
      </c>
      <c r="BA239" s="0">
        <f>MAX(0,MIN(AI239,BX239-SUMPRODUCT(($T$2:$AK$2&lt;AI$2)*($T239:$AK239))))</f>
      </c>
      <c r="BB239" s="0">
        <f>MAX(0,MIN(AJ239,BX239-SUMPRODUCT(($T$2:$AK$2&lt;AJ$2)*($T239:$AK239))))</f>
      </c>
      <c r="BC239" s="0">
        <f>MAX(0,MIN(AK239,BX239-SUMPRODUCT(($T$2:$AK$2&lt;AK$2)*($T239:$AK239))))</f>
      </c>
      <c r="BD239" s="0">
        <f>T239-AL239</f>
      </c>
      <c r="BE239" s="0">
        <f>U239-AM239</f>
      </c>
      <c r="BF239" s="0">
        <f>V239-AN239</f>
      </c>
      <c r="BG239" s="0">
        <f>W239-AO239</f>
      </c>
      <c r="BH239" s="0">
        <f>X239-AP239</f>
      </c>
      <c r="BI239" s="0">
        <f>Y239-AQ239</f>
      </c>
      <c r="BJ239" s="0">
        <f>Z239-AR239</f>
      </c>
      <c r="BK239" s="0">
        <f>AA239-AS239</f>
      </c>
      <c r="BL239" s="0">
        <f>AB239-AT239</f>
      </c>
      <c r="BM239" s="0">
        <f>AC239-AU239</f>
      </c>
      <c r="BN239" s="0">
        <f>AD239-AV239</f>
      </c>
      <c r="BO239" s="0">
        <f>AE239-AW239</f>
      </c>
      <c r="BP239" s="0">
        <f>AF239-AX239</f>
      </c>
      <c r="BQ239" s="0">
        <f>AG239-AY239</f>
      </c>
      <c r="BR239" s="0">
        <f>AH239-AZ239</f>
      </c>
      <c r="BS239" s="0">
        <f>AI239-BA239</f>
      </c>
      <c r="BT239" s="0">
        <f>AJ239-BB239</f>
      </c>
      <c r="BU239" s="0">
        <f>AK239-BC239</f>
      </c>
      <c r="BV239" s="0">
        <f>SUM(B239:S239)</f>
      </c>
      <c r="BW239" s="0">
        <f>SUM(T239:AK239)</f>
      </c>
      <c r="BX239" s="0">
        <f>MAX(0,(SUM(Calculator!$E$11:$E$28)+Calculator!$C$6)-BV239+BW239)</f>
      </c>
      <c r="BY239" s="0">
        <f>SUM(BD239:BU239)</f>
      </c>
      <c r="BZ239" s="0">
        <f>BV239-BY238</f>
      </c>
      <c r="CA239" s="0">
        <f>IF(A239&lt;=IF($CD$1=0,999,$CD$1),BY239,NA())</f>
      </c>
      <c r="CB239" s="0">
        <f>IF(A239&lt;=IF($CD$1=0,999,$CD$1),A239,NA())</f>
      </c>
    </row>
    <row r="240">
      <c r="A240" s="0">
        <v>237</v>
      </c>
      <c r="B240" s="0">
        <f>BD239*(1+Calculator!$D$11/100/12)</f>
      </c>
      <c r="C240" s="0">
        <f>BE239*(1+Calculator!$D$12/100/12)</f>
      </c>
      <c r="D240" s="0">
        <f>BF239*(1+Calculator!$D$13/100/12)</f>
      </c>
      <c r="E240" s="0">
        <f>BG239*(1+Calculator!$D$14/100/12)</f>
      </c>
      <c r="F240" s="0">
        <f>BH239*(1+Calculator!$D$15/100/12)</f>
      </c>
      <c r="G240" s="0">
        <f>BI239*(1+Calculator!$D$16/100/12)</f>
      </c>
      <c r="H240" s="0">
        <f>BJ239*(1+Calculator!$D$17/100/12)</f>
      </c>
      <c r="I240" s="0">
        <f>BK239*(1+Calculator!$D$18/100/12)</f>
      </c>
      <c r="J240" s="0">
        <f>BL239*(1+Calculator!$D$19/100/12)</f>
      </c>
      <c r="K240" s="0">
        <f>BM239*(1+Calculator!$D$20/100/12)</f>
      </c>
      <c r="L240" s="0">
        <f>BN239*(1+Calculator!$D$21/100/12)</f>
      </c>
      <c r="M240" s="0">
        <f>BO239*(1+Calculator!$D$22/100/12)</f>
      </c>
      <c r="N240" s="0">
        <f>BP239*(1+Calculator!$D$23/100/12)</f>
      </c>
      <c r="O240" s="0">
        <f>BQ239*(1+Calculator!$D$24/100/12)</f>
      </c>
      <c r="P240" s="0">
        <f>BR239*(1+Calculator!$D$25/100/12)</f>
      </c>
      <c r="Q240" s="0">
        <f>BS239*(1+Calculator!$D$26/100/12)</f>
      </c>
      <c r="R240" s="0">
        <f>BT239*(1+Calculator!$D$27/100/12)</f>
      </c>
      <c r="S240" s="0">
        <f>BU239*(1+Calculator!$D$28/100/12)</f>
      </c>
      <c r="T240" s="0">
        <f>MAX(0,B240-Calculator!$E$11)</f>
      </c>
      <c r="U240" s="0">
        <f>MAX(0,C240-Calculator!$E$12)</f>
      </c>
      <c r="V240" s="0">
        <f>MAX(0,D240-Calculator!$E$13)</f>
      </c>
      <c r="W240" s="0">
        <f>MAX(0,E240-Calculator!$E$14)</f>
      </c>
      <c r="X240" s="0">
        <f>MAX(0,F240-Calculator!$E$15)</f>
      </c>
      <c r="Y240" s="0">
        <f>MAX(0,G240-Calculator!$E$16)</f>
      </c>
      <c r="Z240" s="0">
        <f>MAX(0,H240-Calculator!$E$17)</f>
      </c>
      <c r="AA240" s="0">
        <f>MAX(0,I240-Calculator!$E$18)</f>
      </c>
      <c r="AB240" s="0">
        <f>MAX(0,J240-Calculator!$E$19)</f>
      </c>
      <c r="AC240" s="0">
        <f>MAX(0,K240-Calculator!$E$20)</f>
      </c>
      <c r="AD240" s="0">
        <f>MAX(0,L240-Calculator!$E$21)</f>
      </c>
      <c r="AE240" s="0">
        <f>MAX(0,M240-Calculator!$E$22)</f>
      </c>
      <c r="AF240" s="0">
        <f>MAX(0,N240-Calculator!$E$23)</f>
      </c>
      <c r="AG240" s="0">
        <f>MAX(0,O240-Calculator!$E$24)</f>
      </c>
      <c r="AH240" s="0">
        <f>MAX(0,P240-Calculator!$E$25)</f>
      </c>
      <c r="AI240" s="0">
        <f>MAX(0,Q240-Calculator!$E$26)</f>
      </c>
      <c r="AJ240" s="0">
        <f>MAX(0,R240-Calculator!$E$27)</f>
      </c>
      <c r="AK240" s="0">
        <f>MAX(0,S240-Calculator!$E$28)</f>
      </c>
      <c r="AL240" s="0">
        <f>MAX(0,MIN(T240,BX240-SUMPRODUCT(($T$2:$AK$2&lt;T$2)*($T240:$AK240))))</f>
      </c>
      <c r="AM240" s="0">
        <f>MAX(0,MIN(U240,BX240-SUMPRODUCT(($T$2:$AK$2&lt;U$2)*($T240:$AK240))))</f>
      </c>
      <c r="AN240" s="0">
        <f>MAX(0,MIN(V240,BX240-SUMPRODUCT(($T$2:$AK$2&lt;V$2)*($T240:$AK240))))</f>
      </c>
      <c r="AO240" s="0">
        <f>MAX(0,MIN(W240,BX240-SUMPRODUCT(($T$2:$AK$2&lt;W$2)*($T240:$AK240))))</f>
      </c>
      <c r="AP240" s="0">
        <f>MAX(0,MIN(X240,BX240-SUMPRODUCT(($T$2:$AK$2&lt;X$2)*($T240:$AK240))))</f>
      </c>
      <c r="AQ240" s="0">
        <f>MAX(0,MIN(Y240,BX240-SUMPRODUCT(($T$2:$AK$2&lt;Y$2)*($T240:$AK240))))</f>
      </c>
      <c r="AR240" s="0">
        <f>MAX(0,MIN(Z240,BX240-SUMPRODUCT(($T$2:$AK$2&lt;Z$2)*($T240:$AK240))))</f>
      </c>
      <c r="AS240" s="0">
        <f>MAX(0,MIN(AA240,BX240-SUMPRODUCT(($T$2:$AK$2&lt;AA$2)*($T240:$AK240))))</f>
      </c>
      <c r="AT240" s="0">
        <f>MAX(0,MIN(AB240,BX240-SUMPRODUCT(($T$2:$AK$2&lt;AB$2)*($T240:$AK240))))</f>
      </c>
      <c r="AU240" s="0">
        <f>MAX(0,MIN(AC240,BX240-SUMPRODUCT(($T$2:$AK$2&lt;AC$2)*($T240:$AK240))))</f>
      </c>
      <c r="AV240" s="0">
        <f>MAX(0,MIN(AD240,BX240-SUMPRODUCT(($T$2:$AK$2&lt;AD$2)*($T240:$AK240))))</f>
      </c>
      <c r="AW240" s="0">
        <f>MAX(0,MIN(AE240,BX240-SUMPRODUCT(($T$2:$AK$2&lt;AE$2)*($T240:$AK240))))</f>
      </c>
      <c r="AX240" s="0">
        <f>MAX(0,MIN(AF240,BX240-SUMPRODUCT(($T$2:$AK$2&lt;AF$2)*($T240:$AK240))))</f>
      </c>
      <c r="AY240" s="0">
        <f>MAX(0,MIN(AG240,BX240-SUMPRODUCT(($T$2:$AK$2&lt;AG$2)*($T240:$AK240))))</f>
      </c>
      <c r="AZ240" s="0">
        <f>MAX(0,MIN(AH240,BX240-SUMPRODUCT(($T$2:$AK$2&lt;AH$2)*($T240:$AK240))))</f>
      </c>
      <c r="BA240" s="0">
        <f>MAX(0,MIN(AI240,BX240-SUMPRODUCT(($T$2:$AK$2&lt;AI$2)*($T240:$AK240))))</f>
      </c>
      <c r="BB240" s="0">
        <f>MAX(0,MIN(AJ240,BX240-SUMPRODUCT(($T$2:$AK$2&lt;AJ$2)*($T240:$AK240))))</f>
      </c>
      <c r="BC240" s="0">
        <f>MAX(0,MIN(AK240,BX240-SUMPRODUCT(($T$2:$AK$2&lt;AK$2)*($T240:$AK240))))</f>
      </c>
      <c r="BD240" s="0">
        <f>T240-AL240</f>
      </c>
      <c r="BE240" s="0">
        <f>U240-AM240</f>
      </c>
      <c r="BF240" s="0">
        <f>V240-AN240</f>
      </c>
      <c r="BG240" s="0">
        <f>W240-AO240</f>
      </c>
      <c r="BH240" s="0">
        <f>X240-AP240</f>
      </c>
      <c r="BI240" s="0">
        <f>Y240-AQ240</f>
      </c>
      <c r="BJ240" s="0">
        <f>Z240-AR240</f>
      </c>
      <c r="BK240" s="0">
        <f>AA240-AS240</f>
      </c>
      <c r="BL240" s="0">
        <f>AB240-AT240</f>
      </c>
      <c r="BM240" s="0">
        <f>AC240-AU240</f>
      </c>
      <c r="BN240" s="0">
        <f>AD240-AV240</f>
      </c>
      <c r="BO240" s="0">
        <f>AE240-AW240</f>
      </c>
      <c r="BP240" s="0">
        <f>AF240-AX240</f>
      </c>
      <c r="BQ240" s="0">
        <f>AG240-AY240</f>
      </c>
      <c r="BR240" s="0">
        <f>AH240-AZ240</f>
      </c>
      <c r="BS240" s="0">
        <f>AI240-BA240</f>
      </c>
      <c r="BT240" s="0">
        <f>AJ240-BB240</f>
      </c>
      <c r="BU240" s="0">
        <f>AK240-BC240</f>
      </c>
      <c r="BV240" s="0">
        <f>SUM(B240:S240)</f>
      </c>
      <c r="BW240" s="0">
        <f>SUM(T240:AK240)</f>
      </c>
      <c r="BX240" s="0">
        <f>MAX(0,(SUM(Calculator!$E$11:$E$28)+Calculator!$C$6)-BV240+BW240)</f>
      </c>
      <c r="BY240" s="0">
        <f>SUM(BD240:BU240)</f>
      </c>
      <c r="BZ240" s="0">
        <f>BV240-BY239</f>
      </c>
      <c r="CA240" s="0">
        <f>IF(A240&lt;=IF($CD$1=0,999,$CD$1),BY240,NA())</f>
      </c>
      <c r="CB240" s="0">
        <f>IF(A240&lt;=IF($CD$1=0,999,$CD$1),A240,NA())</f>
      </c>
    </row>
    <row r="241">
      <c r="A241" s="0">
        <v>238</v>
      </c>
      <c r="B241" s="0">
        <f>BD240*(1+Calculator!$D$11/100/12)</f>
      </c>
      <c r="C241" s="0">
        <f>BE240*(1+Calculator!$D$12/100/12)</f>
      </c>
      <c r="D241" s="0">
        <f>BF240*(1+Calculator!$D$13/100/12)</f>
      </c>
      <c r="E241" s="0">
        <f>BG240*(1+Calculator!$D$14/100/12)</f>
      </c>
      <c r="F241" s="0">
        <f>BH240*(1+Calculator!$D$15/100/12)</f>
      </c>
      <c r="G241" s="0">
        <f>BI240*(1+Calculator!$D$16/100/12)</f>
      </c>
      <c r="H241" s="0">
        <f>BJ240*(1+Calculator!$D$17/100/12)</f>
      </c>
      <c r="I241" s="0">
        <f>BK240*(1+Calculator!$D$18/100/12)</f>
      </c>
      <c r="J241" s="0">
        <f>BL240*(1+Calculator!$D$19/100/12)</f>
      </c>
      <c r="K241" s="0">
        <f>BM240*(1+Calculator!$D$20/100/12)</f>
      </c>
      <c r="L241" s="0">
        <f>BN240*(1+Calculator!$D$21/100/12)</f>
      </c>
      <c r="M241" s="0">
        <f>BO240*(1+Calculator!$D$22/100/12)</f>
      </c>
      <c r="N241" s="0">
        <f>BP240*(1+Calculator!$D$23/100/12)</f>
      </c>
      <c r="O241" s="0">
        <f>BQ240*(1+Calculator!$D$24/100/12)</f>
      </c>
      <c r="P241" s="0">
        <f>BR240*(1+Calculator!$D$25/100/12)</f>
      </c>
      <c r="Q241" s="0">
        <f>BS240*(1+Calculator!$D$26/100/12)</f>
      </c>
      <c r="R241" s="0">
        <f>BT240*(1+Calculator!$D$27/100/12)</f>
      </c>
      <c r="S241" s="0">
        <f>BU240*(1+Calculator!$D$28/100/12)</f>
      </c>
      <c r="T241" s="0">
        <f>MAX(0,B241-Calculator!$E$11)</f>
      </c>
      <c r="U241" s="0">
        <f>MAX(0,C241-Calculator!$E$12)</f>
      </c>
      <c r="V241" s="0">
        <f>MAX(0,D241-Calculator!$E$13)</f>
      </c>
      <c r="W241" s="0">
        <f>MAX(0,E241-Calculator!$E$14)</f>
      </c>
      <c r="X241" s="0">
        <f>MAX(0,F241-Calculator!$E$15)</f>
      </c>
      <c r="Y241" s="0">
        <f>MAX(0,G241-Calculator!$E$16)</f>
      </c>
      <c r="Z241" s="0">
        <f>MAX(0,H241-Calculator!$E$17)</f>
      </c>
      <c r="AA241" s="0">
        <f>MAX(0,I241-Calculator!$E$18)</f>
      </c>
      <c r="AB241" s="0">
        <f>MAX(0,J241-Calculator!$E$19)</f>
      </c>
      <c r="AC241" s="0">
        <f>MAX(0,K241-Calculator!$E$20)</f>
      </c>
      <c r="AD241" s="0">
        <f>MAX(0,L241-Calculator!$E$21)</f>
      </c>
      <c r="AE241" s="0">
        <f>MAX(0,M241-Calculator!$E$22)</f>
      </c>
      <c r="AF241" s="0">
        <f>MAX(0,N241-Calculator!$E$23)</f>
      </c>
      <c r="AG241" s="0">
        <f>MAX(0,O241-Calculator!$E$24)</f>
      </c>
      <c r="AH241" s="0">
        <f>MAX(0,P241-Calculator!$E$25)</f>
      </c>
      <c r="AI241" s="0">
        <f>MAX(0,Q241-Calculator!$E$26)</f>
      </c>
      <c r="AJ241" s="0">
        <f>MAX(0,R241-Calculator!$E$27)</f>
      </c>
      <c r="AK241" s="0">
        <f>MAX(0,S241-Calculator!$E$28)</f>
      </c>
      <c r="AL241" s="0">
        <f>MAX(0,MIN(T241,BX241-SUMPRODUCT(($T$2:$AK$2&lt;T$2)*($T241:$AK241))))</f>
      </c>
      <c r="AM241" s="0">
        <f>MAX(0,MIN(U241,BX241-SUMPRODUCT(($T$2:$AK$2&lt;U$2)*($T241:$AK241))))</f>
      </c>
      <c r="AN241" s="0">
        <f>MAX(0,MIN(V241,BX241-SUMPRODUCT(($T$2:$AK$2&lt;V$2)*($T241:$AK241))))</f>
      </c>
      <c r="AO241" s="0">
        <f>MAX(0,MIN(W241,BX241-SUMPRODUCT(($T$2:$AK$2&lt;W$2)*($T241:$AK241))))</f>
      </c>
      <c r="AP241" s="0">
        <f>MAX(0,MIN(X241,BX241-SUMPRODUCT(($T$2:$AK$2&lt;X$2)*($T241:$AK241))))</f>
      </c>
      <c r="AQ241" s="0">
        <f>MAX(0,MIN(Y241,BX241-SUMPRODUCT(($T$2:$AK$2&lt;Y$2)*($T241:$AK241))))</f>
      </c>
      <c r="AR241" s="0">
        <f>MAX(0,MIN(Z241,BX241-SUMPRODUCT(($T$2:$AK$2&lt;Z$2)*($T241:$AK241))))</f>
      </c>
      <c r="AS241" s="0">
        <f>MAX(0,MIN(AA241,BX241-SUMPRODUCT(($T$2:$AK$2&lt;AA$2)*($T241:$AK241))))</f>
      </c>
      <c r="AT241" s="0">
        <f>MAX(0,MIN(AB241,BX241-SUMPRODUCT(($T$2:$AK$2&lt;AB$2)*($T241:$AK241))))</f>
      </c>
      <c r="AU241" s="0">
        <f>MAX(0,MIN(AC241,BX241-SUMPRODUCT(($T$2:$AK$2&lt;AC$2)*($T241:$AK241))))</f>
      </c>
      <c r="AV241" s="0">
        <f>MAX(0,MIN(AD241,BX241-SUMPRODUCT(($T$2:$AK$2&lt;AD$2)*($T241:$AK241))))</f>
      </c>
      <c r="AW241" s="0">
        <f>MAX(0,MIN(AE241,BX241-SUMPRODUCT(($T$2:$AK$2&lt;AE$2)*($T241:$AK241))))</f>
      </c>
      <c r="AX241" s="0">
        <f>MAX(0,MIN(AF241,BX241-SUMPRODUCT(($T$2:$AK$2&lt;AF$2)*($T241:$AK241))))</f>
      </c>
      <c r="AY241" s="0">
        <f>MAX(0,MIN(AG241,BX241-SUMPRODUCT(($T$2:$AK$2&lt;AG$2)*($T241:$AK241))))</f>
      </c>
      <c r="AZ241" s="0">
        <f>MAX(0,MIN(AH241,BX241-SUMPRODUCT(($T$2:$AK$2&lt;AH$2)*($T241:$AK241))))</f>
      </c>
      <c r="BA241" s="0">
        <f>MAX(0,MIN(AI241,BX241-SUMPRODUCT(($T$2:$AK$2&lt;AI$2)*($T241:$AK241))))</f>
      </c>
      <c r="BB241" s="0">
        <f>MAX(0,MIN(AJ241,BX241-SUMPRODUCT(($T$2:$AK$2&lt;AJ$2)*($T241:$AK241))))</f>
      </c>
      <c r="BC241" s="0">
        <f>MAX(0,MIN(AK241,BX241-SUMPRODUCT(($T$2:$AK$2&lt;AK$2)*($T241:$AK241))))</f>
      </c>
      <c r="BD241" s="0">
        <f>T241-AL241</f>
      </c>
      <c r="BE241" s="0">
        <f>U241-AM241</f>
      </c>
      <c r="BF241" s="0">
        <f>V241-AN241</f>
      </c>
      <c r="BG241" s="0">
        <f>W241-AO241</f>
      </c>
      <c r="BH241" s="0">
        <f>X241-AP241</f>
      </c>
      <c r="BI241" s="0">
        <f>Y241-AQ241</f>
      </c>
      <c r="BJ241" s="0">
        <f>Z241-AR241</f>
      </c>
      <c r="BK241" s="0">
        <f>AA241-AS241</f>
      </c>
      <c r="BL241" s="0">
        <f>AB241-AT241</f>
      </c>
      <c r="BM241" s="0">
        <f>AC241-AU241</f>
      </c>
      <c r="BN241" s="0">
        <f>AD241-AV241</f>
      </c>
      <c r="BO241" s="0">
        <f>AE241-AW241</f>
      </c>
      <c r="BP241" s="0">
        <f>AF241-AX241</f>
      </c>
      <c r="BQ241" s="0">
        <f>AG241-AY241</f>
      </c>
      <c r="BR241" s="0">
        <f>AH241-AZ241</f>
      </c>
      <c r="BS241" s="0">
        <f>AI241-BA241</f>
      </c>
      <c r="BT241" s="0">
        <f>AJ241-BB241</f>
      </c>
      <c r="BU241" s="0">
        <f>AK241-BC241</f>
      </c>
      <c r="BV241" s="0">
        <f>SUM(B241:S241)</f>
      </c>
      <c r="BW241" s="0">
        <f>SUM(T241:AK241)</f>
      </c>
      <c r="BX241" s="0">
        <f>MAX(0,(SUM(Calculator!$E$11:$E$28)+Calculator!$C$6)-BV241+BW241)</f>
      </c>
      <c r="BY241" s="0">
        <f>SUM(BD241:BU241)</f>
      </c>
      <c r="BZ241" s="0">
        <f>BV241-BY240</f>
      </c>
      <c r="CA241" s="0">
        <f>IF(A241&lt;=IF($CD$1=0,999,$CD$1),BY241,NA())</f>
      </c>
      <c r="CB241" s="0">
        <f>IF(A241&lt;=IF($CD$1=0,999,$CD$1),A241,NA())</f>
      </c>
    </row>
    <row r="242">
      <c r="A242" s="0">
        <v>239</v>
      </c>
      <c r="B242" s="0">
        <f>BD241*(1+Calculator!$D$11/100/12)</f>
      </c>
      <c r="C242" s="0">
        <f>BE241*(1+Calculator!$D$12/100/12)</f>
      </c>
      <c r="D242" s="0">
        <f>BF241*(1+Calculator!$D$13/100/12)</f>
      </c>
      <c r="E242" s="0">
        <f>BG241*(1+Calculator!$D$14/100/12)</f>
      </c>
      <c r="F242" s="0">
        <f>BH241*(1+Calculator!$D$15/100/12)</f>
      </c>
      <c r="G242" s="0">
        <f>BI241*(1+Calculator!$D$16/100/12)</f>
      </c>
      <c r="H242" s="0">
        <f>BJ241*(1+Calculator!$D$17/100/12)</f>
      </c>
      <c r="I242" s="0">
        <f>BK241*(1+Calculator!$D$18/100/12)</f>
      </c>
      <c r="J242" s="0">
        <f>BL241*(1+Calculator!$D$19/100/12)</f>
      </c>
      <c r="K242" s="0">
        <f>BM241*(1+Calculator!$D$20/100/12)</f>
      </c>
      <c r="L242" s="0">
        <f>BN241*(1+Calculator!$D$21/100/12)</f>
      </c>
      <c r="M242" s="0">
        <f>BO241*(1+Calculator!$D$22/100/12)</f>
      </c>
      <c r="N242" s="0">
        <f>BP241*(1+Calculator!$D$23/100/12)</f>
      </c>
      <c r="O242" s="0">
        <f>BQ241*(1+Calculator!$D$24/100/12)</f>
      </c>
      <c r="P242" s="0">
        <f>BR241*(1+Calculator!$D$25/100/12)</f>
      </c>
      <c r="Q242" s="0">
        <f>BS241*(1+Calculator!$D$26/100/12)</f>
      </c>
      <c r="R242" s="0">
        <f>BT241*(1+Calculator!$D$27/100/12)</f>
      </c>
      <c r="S242" s="0">
        <f>BU241*(1+Calculator!$D$28/100/12)</f>
      </c>
      <c r="T242" s="0">
        <f>MAX(0,B242-Calculator!$E$11)</f>
      </c>
      <c r="U242" s="0">
        <f>MAX(0,C242-Calculator!$E$12)</f>
      </c>
      <c r="V242" s="0">
        <f>MAX(0,D242-Calculator!$E$13)</f>
      </c>
      <c r="W242" s="0">
        <f>MAX(0,E242-Calculator!$E$14)</f>
      </c>
      <c r="X242" s="0">
        <f>MAX(0,F242-Calculator!$E$15)</f>
      </c>
      <c r="Y242" s="0">
        <f>MAX(0,G242-Calculator!$E$16)</f>
      </c>
      <c r="Z242" s="0">
        <f>MAX(0,H242-Calculator!$E$17)</f>
      </c>
      <c r="AA242" s="0">
        <f>MAX(0,I242-Calculator!$E$18)</f>
      </c>
      <c r="AB242" s="0">
        <f>MAX(0,J242-Calculator!$E$19)</f>
      </c>
      <c r="AC242" s="0">
        <f>MAX(0,K242-Calculator!$E$20)</f>
      </c>
      <c r="AD242" s="0">
        <f>MAX(0,L242-Calculator!$E$21)</f>
      </c>
      <c r="AE242" s="0">
        <f>MAX(0,M242-Calculator!$E$22)</f>
      </c>
      <c r="AF242" s="0">
        <f>MAX(0,N242-Calculator!$E$23)</f>
      </c>
      <c r="AG242" s="0">
        <f>MAX(0,O242-Calculator!$E$24)</f>
      </c>
      <c r="AH242" s="0">
        <f>MAX(0,P242-Calculator!$E$25)</f>
      </c>
      <c r="AI242" s="0">
        <f>MAX(0,Q242-Calculator!$E$26)</f>
      </c>
      <c r="AJ242" s="0">
        <f>MAX(0,R242-Calculator!$E$27)</f>
      </c>
      <c r="AK242" s="0">
        <f>MAX(0,S242-Calculator!$E$28)</f>
      </c>
      <c r="AL242" s="0">
        <f>MAX(0,MIN(T242,BX242-SUMPRODUCT(($T$2:$AK$2&lt;T$2)*($T242:$AK242))))</f>
      </c>
      <c r="AM242" s="0">
        <f>MAX(0,MIN(U242,BX242-SUMPRODUCT(($T$2:$AK$2&lt;U$2)*($T242:$AK242))))</f>
      </c>
      <c r="AN242" s="0">
        <f>MAX(0,MIN(V242,BX242-SUMPRODUCT(($T$2:$AK$2&lt;V$2)*($T242:$AK242))))</f>
      </c>
      <c r="AO242" s="0">
        <f>MAX(0,MIN(W242,BX242-SUMPRODUCT(($T$2:$AK$2&lt;W$2)*($T242:$AK242))))</f>
      </c>
      <c r="AP242" s="0">
        <f>MAX(0,MIN(X242,BX242-SUMPRODUCT(($T$2:$AK$2&lt;X$2)*($T242:$AK242))))</f>
      </c>
      <c r="AQ242" s="0">
        <f>MAX(0,MIN(Y242,BX242-SUMPRODUCT(($T$2:$AK$2&lt;Y$2)*($T242:$AK242))))</f>
      </c>
      <c r="AR242" s="0">
        <f>MAX(0,MIN(Z242,BX242-SUMPRODUCT(($T$2:$AK$2&lt;Z$2)*($T242:$AK242))))</f>
      </c>
      <c r="AS242" s="0">
        <f>MAX(0,MIN(AA242,BX242-SUMPRODUCT(($T$2:$AK$2&lt;AA$2)*($T242:$AK242))))</f>
      </c>
      <c r="AT242" s="0">
        <f>MAX(0,MIN(AB242,BX242-SUMPRODUCT(($T$2:$AK$2&lt;AB$2)*($T242:$AK242))))</f>
      </c>
      <c r="AU242" s="0">
        <f>MAX(0,MIN(AC242,BX242-SUMPRODUCT(($T$2:$AK$2&lt;AC$2)*($T242:$AK242))))</f>
      </c>
      <c r="AV242" s="0">
        <f>MAX(0,MIN(AD242,BX242-SUMPRODUCT(($T$2:$AK$2&lt;AD$2)*($T242:$AK242))))</f>
      </c>
      <c r="AW242" s="0">
        <f>MAX(0,MIN(AE242,BX242-SUMPRODUCT(($T$2:$AK$2&lt;AE$2)*($T242:$AK242))))</f>
      </c>
      <c r="AX242" s="0">
        <f>MAX(0,MIN(AF242,BX242-SUMPRODUCT(($T$2:$AK$2&lt;AF$2)*($T242:$AK242))))</f>
      </c>
      <c r="AY242" s="0">
        <f>MAX(0,MIN(AG242,BX242-SUMPRODUCT(($T$2:$AK$2&lt;AG$2)*($T242:$AK242))))</f>
      </c>
      <c r="AZ242" s="0">
        <f>MAX(0,MIN(AH242,BX242-SUMPRODUCT(($T$2:$AK$2&lt;AH$2)*($T242:$AK242))))</f>
      </c>
      <c r="BA242" s="0">
        <f>MAX(0,MIN(AI242,BX242-SUMPRODUCT(($T$2:$AK$2&lt;AI$2)*($T242:$AK242))))</f>
      </c>
      <c r="BB242" s="0">
        <f>MAX(0,MIN(AJ242,BX242-SUMPRODUCT(($T$2:$AK$2&lt;AJ$2)*($T242:$AK242))))</f>
      </c>
      <c r="BC242" s="0">
        <f>MAX(0,MIN(AK242,BX242-SUMPRODUCT(($T$2:$AK$2&lt;AK$2)*($T242:$AK242))))</f>
      </c>
      <c r="BD242" s="0">
        <f>T242-AL242</f>
      </c>
      <c r="BE242" s="0">
        <f>U242-AM242</f>
      </c>
      <c r="BF242" s="0">
        <f>V242-AN242</f>
      </c>
      <c r="BG242" s="0">
        <f>W242-AO242</f>
      </c>
      <c r="BH242" s="0">
        <f>X242-AP242</f>
      </c>
      <c r="BI242" s="0">
        <f>Y242-AQ242</f>
      </c>
      <c r="BJ242" s="0">
        <f>Z242-AR242</f>
      </c>
      <c r="BK242" s="0">
        <f>AA242-AS242</f>
      </c>
      <c r="BL242" s="0">
        <f>AB242-AT242</f>
      </c>
      <c r="BM242" s="0">
        <f>AC242-AU242</f>
      </c>
      <c r="BN242" s="0">
        <f>AD242-AV242</f>
      </c>
      <c r="BO242" s="0">
        <f>AE242-AW242</f>
      </c>
      <c r="BP242" s="0">
        <f>AF242-AX242</f>
      </c>
      <c r="BQ242" s="0">
        <f>AG242-AY242</f>
      </c>
      <c r="BR242" s="0">
        <f>AH242-AZ242</f>
      </c>
      <c r="BS242" s="0">
        <f>AI242-BA242</f>
      </c>
      <c r="BT242" s="0">
        <f>AJ242-BB242</f>
      </c>
      <c r="BU242" s="0">
        <f>AK242-BC242</f>
      </c>
      <c r="BV242" s="0">
        <f>SUM(B242:S242)</f>
      </c>
      <c r="BW242" s="0">
        <f>SUM(T242:AK242)</f>
      </c>
      <c r="BX242" s="0">
        <f>MAX(0,(SUM(Calculator!$E$11:$E$28)+Calculator!$C$6)-BV242+BW242)</f>
      </c>
      <c r="BY242" s="0">
        <f>SUM(BD242:BU242)</f>
      </c>
      <c r="BZ242" s="0">
        <f>BV242-BY241</f>
      </c>
      <c r="CA242" s="0">
        <f>IF(A242&lt;=IF($CD$1=0,999,$CD$1),BY242,NA())</f>
      </c>
      <c r="CB242" s="0">
        <f>IF(A242&lt;=IF($CD$1=0,999,$CD$1),A242,NA())</f>
      </c>
    </row>
    <row r="243">
      <c r="A243" s="0">
        <v>240</v>
      </c>
      <c r="B243" s="0">
        <f>BD242*(1+Calculator!$D$11/100/12)</f>
      </c>
      <c r="C243" s="0">
        <f>BE242*(1+Calculator!$D$12/100/12)</f>
      </c>
      <c r="D243" s="0">
        <f>BF242*(1+Calculator!$D$13/100/12)</f>
      </c>
      <c r="E243" s="0">
        <f>BG242*(1+Calculator!$D$14/100/12)</f>
      </c>
      <c r="F243" s="0">
        <f>BH242*(1+Calculator!$D$15/100/12)</f>
      </c>
      <c r="G243" s="0">
        <f>BI242*(1+Calculator!$D$16/100/12)</f>
      </c>
      <c r="H243" s="0">
        <f>BJ242*(1+Calculator!$D$17/100/12)</f>
      </c>
      <c r="I243" s="0">
        <f>BK242*(1+Calculator!$D$18/100/12)</f>
      </c>
      <c r="J243" s="0">
        <f>BL242*(1+Calculator!$D$19/100/12)</f>
      </c>
      <c r="K243" s="0">
        <f>BM242*(1+Calculator!$D$20/100/12)</f>
      </c>
      <c r="L243" s="0">
        <f>BN242*(1+Calculator!$D$21/100/12)</f>
      </c>
      <c r="M243" s="0">
        <f>BO242*(1+Calculator!$D$22/100/12)</f>
      </c>
      <c r="N243" s="0">
        <f>BP242*(1+Calculator!$D$23/100/12)</f>
      </c>
      <c r="O243" s="0">
        <f>BQ242*(1+Calculator!$D$24/100/12)</f>
      </c>
      <c r="P243" s="0">
        <f>BR242*(1+Calculator!$D$25/100/12)</f>
      </c>
      <c r="Q243" s="0">
        <f>BS242*(1+Calculator!$D$26/100/12)</f>
      </c>
      <c r="R243" s="0">
        <f>BT242*(1+Calculator!$D$27/100/12)</f>
      </c>
      <c r="S243" s="0">
        <f>BU242*(1+Calculator!$D$28/100/12)</f>
      </c>
      <c r="T243" s="0">
        <f>MAX(0,B243-Calculator!$E$11)</f>
      </c>
      <c r="U243" s="0">
        <f>MAX(0,C243-Calculator!$E$12)</f>
      </c>
      <c r="V243" s="0">
        <f>MAX(0,D243-Calculator!$E$13)</f>
      </c>
      <c r="W243" s="0">
        <f>MAX(0,E243-Calculator!$E$14)</f>
      </c>
      <c r="X243" s="0">
        <f>MAX(0,F243-Calculator!$E$15)</f>
      </c>
      <c r="Y243" s="0">
        <f>MAX(0,G243-Calculator!$E$16)</f>
      </c>
      <c r="Z243" s="0">
        <f>MAX(0,H243-Calculator!$E$17)</f>
      </c>
      <c r="AA243" s="0">
        <f>MAX(0,I243-Calculator!$E$18)</f>
      </c>
      <c r="AB243" s="0">
        <f>MAX(0,J243-Calculator!$E$19)</f>
      </c>
      <c r="AC243" s="0">
        <f>MAX(0,K243-Calculator!$E$20)</f>
      </c>
      <c r="AD243" s="0">
        <f>MAX(0,L243-Calculator!$E$21)</f>
      </c>
      <c r="AE243" s="0">
        <f>MAX(0,M243-Calculator!$E$22)</f>
      </c>
      <c r="AF243" s="0">
        <f>MAX(0,N243-Calculator!$E$23)</f>
      </c>
      <c r="AG243" s="0">
        <f>MAX(0,O243-Calculator!$E$24)</f>
      </c>
      <c r="AH243" s="0">
        <f>MAX(0,P243-Calculator!$E$25)</f>
      </c>
      <c r="AI243" s="0">
        <f>MAX(0,Q243-Calculator!$E$26)</f>
      </c>
      <c r="AJ243" s="0">
        <f>MAX(0,R243-Calculator!$E$27)</f>
      </c>
      <c r="AK243" s="0">
        <f>MAX(0,S243-Calculator!$E$28)</f>
      </c>
      <c r="AL243" s="0">
        <f>MAX(0,MIN(T243,BX243-SUMPRODUCT(($T$2:$AK$2&lt;T$2)*($T243:$AK243))))</f>
      </c>
      <c r="AM243" s="0">
        <f>MAX(0,MIN(U243,BX243-SUMPRODUCT(($T$2:$AK$2&lt;U$2)*($T243:$AK243))))</f>
      </c>
      <c r="AN243" s="0">
        <f>MAX(0,MIN(V243,BX243-SUMPRODUCT(($T$2:$AK$2&lt;V$2)*($T243:$AK243))))</f>
      </c>
      <c r="AO243" s="0">
        <f>MAX(0,MIN(W243,BX243-SUMPRODUCT(($T$2:$AK$2&lt;W$2)*($T243:$AK243))))</f>
      </c>
      <c r="AP243" s="0">
        <f>MAX(0,MIN(X243,BX243-SUMPRODUCT(($T$2:$AK$2&lt;X$2)*($T243:$AK243))))</f>
      </c>
      <c r="AQ243" s="0">
        <f>MAX(0,MIN(Y243,BX243-SUMPRODUCT(($T$2:$AK$2&lt;Y$2)*($T243:$AK243))))</f>
      </c>
      <c r="AR243" s="0">
        <f>MAX(0,MIN(Z243,BX243-SUMPRODUCT(($T$2:$AK$2&lt;Z$2)*($T243:$AK243))))</f>
      </c>
      <c r="AS243" s="0">
        <f>MAX(0,MIN(AA243,BX243-SUMPRODUCT(($T$2:$AK$2&lt;AA$2)*($T243:$AK243))))</f>
      </c>
      <c r="AT243" s="0">
        <f>MAX(0,MIN(AB243,BX243-SUMPRODUCT(($T$2:$AK$2&lt;AB$2)*($T243:$AK243))))</f>
      </c>
      <c r="AU243" s="0">
        <f>MAX(0,MIN(AC243,BX243-SUMPRODUCT(($T$2:$AK$2&lt;AC$2)*($T243:$AK243))))</f>
      </c>
      <c r="AV243" s="0">
        <f>MAX(0,MIN(AD243,BX243-SUMPRODUCT(($T$2:$AK$2&lt;AD$2)*($T243:$AK243))))</f>
      </c>
      <c r="AW243" s="0">
        <f>MAX(0,MIN(AE243,BX243-SUMPRODUCT(($T$2:$AK$2&lt;AE$2)*($T243:$AK243))))</f>
      </c>
      <c r="AX243" s="0">
        <f>MAX(0,MIN(AF243,BX243-SUMPRODUCT(($T$2:$AK$2&lt;AF$2)*($T243:$AK243))))</f>
      </c>
      <c r="AY243" s="0">
        <f>MAX(0,MIN(AG243,BX243-SUMPRODUCT(($T$2:$AK$2&lt;AG$2)*($T243:$AK243))))</f>
      </c>
      <c r="AZ243" s="0">
        <f>MAX(0,MIN(AH243,BX243-SUMPRODUCT(($T$2:$AK$2&lt;AH$2)*($T243:$AK243))))</f>
      </c>
      <c r="BA243" s="0">
        <f>MAX(0,MIN(AI243,BX243-SUMPRODUCT(($T$2:$AK$2&lt;AI$2)*($T243:$AK243))))</f>
      </c>
      <c r="BB243" s="0">
        <f>MAX(0,MIN(AJ243,BX243-SUMPRODUCT(($T$2:$AK$2&lt;AJ$2)*($T243:$AK243))))</f>
      </c>
      <c r="BC243" s="0">
        <f>MAX(0,MIN(AK243,BX243-SUMPRODUCT(($T$2:$AK$2&lt;AK$2)*($T243:$AK243))))</f>
      </c>
      <c r="BD243" s="0">
        <f>T243-AL243</f>
      </c>
      <c r="BE243" s="0">
        <f>U243-AM243</f>
      </c>
      <c r="BF243" s="0">
        <f>V243-AN243</f>
      </c>
      <c r="BG243" s="0">
        <f>W243-AO243</f>
      </c>
      <c r="BH243" s="0">
        <f>X243-AP243</f>
      </c>
      <c r="BI243" s="0">
        <f>Y243-AQ243</f>
      </c>
      <c r="BJ243" s="0">
        <f>Z243-AR243</f>
      </c>
      <c r="BK243" s="0">
        <f>AA243-AS243</f>
      </c>
      <c r="BL243" s="0">
        <f>AB243-AT243</f>
      </c>
      <c r="BM243" s="0">
        <f>AC243-AU243</f>
      </c>
      <c r="BN243" s="0">
        <f>AD243-AV243</f>
      </c>
      <c r="BO243" s="0">
        <f>AE243-AW243</f>
      </c>
      <c r="BP243" s="0">
        <f>AF243-AX243</f>
      </c>
      <c r="BQ243" s="0">
        <f>AG243-AY243</f>
      </c>
      <c r="BR243" s="0">
        <f>AH243-AZ243</f>
      </c>
      <c r="BS243" s="0">
        <f>AI243-BA243</f>
      </c>
      <c r="BT243" s="0">
        <f>AJ243-BB243</f>
      </c>
      <c r="BU243" s="0">
        <f>AK243-BC243</f>
      </c>
      <c r="BV243" s="0">
        <f>SUM(B243:S243)</f>
      </c>
      <c r="BW243" s="0">
        <f>SUM(T243:AK243)</f>
      </c>
      <c r="BX243" s="0">
        <f>MAX(0,(SUM(Calculator!$E$11:$E$28)+Calculator!$C$6)-BV243+BW243)</f>
      </c>
      <c r="BY243" s="0">
        <f>SUM(BD243:BU243)</f>
      </c>
      <c r="BZ243" s="0">
        <f>BV243-BY242</f>
      </c>
      <c r="CA243" s="0">
        <f>IF(A243&lt;=IF($CD$1=0,999,$CD$1),BY243,NA())</f>
      </c>
      <c r="CB243" s="0">
        <f>IF(A243&lt;=IF($CD$1=0,999,$CD$1),A243,NA())</f>
      </c>
    </row>
    <row r="244">
      <c r="A244" s="0">
        <v>241</v>
      </c>
      <c r="B244" s="0">
        <f>BD243*(1+Calculator!$D$11/100/12)</f>
      </c>
      <c r="C244" s="0">
        <f>BE243*(1+Calculator!$D$12/100/12)</f>
      </c>
      <c r="D244" s="0">
        <f>BF243*(1+Calculator!$D$13/100/12)</f>
      </c>
      <c r="E244" s="0">
        <f>BG243*(1+Calculator!$D$14/100/12)</f>
      </c>
      <c r="F244" s="0">
        <f>BH243*(1+Calculator!$D$15/100/12)</f>
      </c>
      <c r="G244" s="0">
        <f>BI243*(1+Calculator!$D$16/100/12)</f>
      </c>
      <c r="H244" s="0">
        <f>BJ243*(1+Calculator!$D$17/100/12)</f>
      </c>
      <c r="I244" s="0">
        <f>BK243*(1+Calculator!$D$18/100/12)</f>
      </c>
      <c r="J244" s="0">
        <f>BL243*(1+Calculator!$D$19/100/12)</f>
      </c>
      <c r="K244" s="0">
        <f>BM243*(1+Calculator!$D$20/100/12)</f>
      </c>
      <c r="L244" s="0">
        <f>BN243*(1+Calculator!$D$21/100/12)</f>
      </c>
      <c r="M244" s="0">
        <f>BO243*(1+Calculator!$D$22/100/12)</f>
      </c>
      <c r="N244" s="0">
        <f>BP243*(1+Calculator!$D$23/100/12)</f>
      </c>
      <c r="O244" s="0">
        <f>BQ243*(1+Calculator!$D$24/100/12)</f>
      </c>
      <c r="P244" s="0">
        <f>BR243*(1+Calculator!$D$25/100/12)</f>
      </c>
      <c r="Q244" s="0">
        <f>BS243*(1+Calculator!$D$26/100/12)</f>
      </c>
      <c r="R244" s="0">
        <f>BT243*(1+Calculator!$D$27/100/12)</f>
      </c>
      <c r="S244" s="0">
        <f>BU243*(1+Calculator!$D$28/100/12)</f>
      </c>
      <c r="T244" s="0">
        <f>MAX(0,B244-Calculator!$E$11)</f>
      </c>
      <c r="U244" s="0">
        <f>MAX(0,C244-Calculator!$E$12)</f>
      </c>
      <c r="V244" s="0">
        <f>MAX(0,D244-Calculator!$E$13)</f>
      </c>
      <c r="W244" s="0">
        <f>MAX(0,E244-Calculator!$E$14)</f>
      </c>
      <c r="X244" s="0">
        <f>MAX(0,F244-Calculator!$E$15)</f>
      </c>
      <c r="Y244" s="0">
        <f>MAX(0,G244-Calculator!$E$16)</f>
      </c>
      <c r="Z244" s="0">
        <f>MAX(0,H244-Calculator!$E$17)</f>
      </c>
      <c r="AA244" s="0">
        <f>MAX(0,I244-Calculator!$E$18)</f>
      </c>
      <c r="AB244" s="0">
        <f>MAX(0,J244-Calculator!$E$19)</f>
      </c>
      <c r="AC244" s="0">
        <f>MAX(0,K244-Calculator!$E$20)</f>
      </c>
      <c r="AD244" s="0">
        <f>MAX(0,L244-Calculator!$E$21)</f>
      </c>
      <c r="AE244" s="0">
        <f>MAX(0,M244-Calculator!$E$22)</f>
      </c>
      <c r="AF244" s="0">
        <f>MAX(0,N244-Calculator!$E$23)</f>
      </c>
      <c r="AG244" s="0">
        <f>MAX(0,O244-Calculator!$E$24)</f>
      </c>
      <c r="AH244" s="0">
        <f>MAX(0,P244-Calculator!$E$25)</f>
      </c>
      <c r="AI244" s="0">
        <f>MAX(0,Q244-Calculator!$E$26)</f>
      </c>
      <c r="AJ244" s="0">
        <f>MAX(0,R244-Calculator!$E$27)</f>
      </c>
      <c r="AK244" s="0">
        <f>MAX(0,S244-Calculator!$E$28)</f>
      </c>
      <c r="AL244" s="0">
        <f>MAX(0,MIN(T244,BX244-SUMPRODUCT(($T$2:$AK$2&lt;T$2)*($T244:$AK244))))</f>
      </c>
      <c r="AM244" s="0">
        <f>MAX(0,MIN(U244,BX244-SUMPRODUCT(($T$2:$AK$2&lt;U$2)*($T244:$AK244))))</f>
      </c>
      <c r="AN244" s="0">
        <f>MAX(0,MIN(V244,BX244-SUMPRODUCT(($T$2:$AK$2&lt;V$2)*($T244:$AK244))))</f>
      </c>
      <c r="AO244" s="0">
        <f>MAX(0,MIN(W244,BX244-SUMPRODUCT(($T$2:$AK$2&lt;W$2)*($T244:$AK244))))</f>
      </c>
      <c r="AP244" s="0">
        <f>MAX(0,MIN(X244,BX244-SUMPRODUCT(($T$2:$AK$2&lt;X$2)*($T244:$AK244))))</f>
      </c>
      <c r="AQ244" s="0">
        <f>MAX(0,MIN(Y244,BX244-SUMPRODUCT(($T$2:$AK$2&lt;Y$2)*($T244:$AK244))))</f>
      </c>
      <c r="AR244" s="0">
        <f>MAX(0,MIN(Z244,BX244-SUMPRODUCT(($T$2:$AK$2&lt;Z$2)*($T244:$AK244))))</f>
      </c>
      <c r="AS244" s="0">
        <f>MAX(0,MIN(AA244,BX244-SUMPRODUCT(($T$2:$AK$2&lt;AA$2)*($T244:$AK244))))</f>
      </c>
      <c r="AT244" s="0">
        <f>MAX(0,MIN(AB244,BX244-SUMPRODUCT(($T$2:$AK$2&lt;AB$2)*($T244:$AK244))))</f>
      </c>
      <c r="AU244" s="0">
        <f>MAX(0,MIN(AC244,BX244-SUMPRODUCT(($T$2:$AK$2&lt;AC$2)*($T244:$AK244))))</f>
      </c>
      <c r="AV244" s="0">
        <f>MAX(0,MIN(AD244,BX244-SUMPRODUCT(($T$2:$AK$2&lt;AD$2)*($T244:$AK244))))</f>
      </c>
      <c r="AW244" s="0">
        <f>MAX(0,MIN(AE244,BX244-SUMPRODUCT(($T$2:$AK$2&lt;AE$2)*($T244:$AK244))))</f>
      </c>
      <c r="AX244" s="0">
        <f>MAX(0,MIN(AF244,BX244-SUMPRODUCT(($T$2:$AK$2&lt;AF$2)*($T244:$AK244))))</f>
      </c>
      <c r="AY244" s="0">
        <f>MAX(0,MIN(AG244,BX244-SUMPRODUCT(($T$2:$AK$2&lt;AG$2)*($T244:$AK244))))</f>
      </c>
      <c r="AZ244" s="0">
        <f>MAX(0,MIN(AH244,BX244-SUMPRODUCT(($T$2:$AK$2&lt;AH$2)*($T244:$AK244))))</f>
      </c>
      <c r="BA244" s="0">
        <f>MAX(0,MIN(AI244,BX244-SUMPRODUCT(($T$2:$AK$2&lt;AI$2)*($T244:$AK244))))</f>
      </c>
      <c r="BB244" s="0">
        <f>MAX(0,MIN(AJ244,BX244-SUMPRODUCT(($T$2:$AK$2&lt;AJ$2)*($T244:$AK244))))</f>
      </c>
      <c r="BC244" s="0">
        <f>MAX(0,MIN(AK244,BX244-SUMPRODUCT(($T$2:$AK$2&lt;AK$2)*($T244:$AK244))))</f>
      </c>
      <c r="BD244" s="0">
        <f>T244-AL244</f>
      </c>
      <c r="BE244" s="0">
        <f>U244-AM244</f>
      </c>
      <c r="BF244" s="0">
        <f>V244-AN244</f>
      </c>
      <c r="BG244" s="0">
        <f>W244-AO244</f>
      </c>
      <c r="BH244" s="0">
        <f>X244-AP244</f>
      </c>
      <c r="BI244" s="0">
        <f>Y244-AQ244</f>
      </c>
      <c r="BJ244" s="0">
        <f>Z244-AR244</f>
      </c>
      <c r="BK244" s="0">
        <f>AA244-AS244</f>
      </c>
      <c r="BL244" s="0">
        <f>AB244-AT244</f>
      </c>
      <c r="BM244" s="0">
        <f>AC244-AU244</f>
      </c>
      <c r="BN244" s="0">
        <f>AD244-AV244</f>
      </c>
      <c r="BO244" s="0">
        <f>AE244-AW244</f>
      </c>
      <c r="BP244" s="0">
        <f>AF244-AX244</f>
      </c>
      <c r="BQ244" s="0">
        <f>AG244-AY244</f>
      </c>
      <c r="BR244" s="0">
        <f>AH244-AZ244</f>
      </c>
      <c r="BS244" s="0">
        <f>AI244-BA244</f>
      </c>
      <c r="BT244" s="0">
        <f>AJ244-BB244</f>
      </c>
      <c r="BU244" s="0">
        <f>AK244-BC244</f>
      </c>
      <c r="BV244" s="0">
        <f>SUM(B244:S244)</f>
      </c>
      <c r="BW244" s="0">
        <f>SUM(T244:AK244)</f>
      </c>
      <c r="BX244" s="0">
        <f>MAX(0,(SUM(Calculator!$E$11:$E$28)+Calculator!$C$6)-BV244+BW244)</f>
      </c>
      <c r="BY244" s="0">
        <f>SUM(BD244:BU244)</f>
      </c>
      <c r="BZ244" s="0">
        <f>BV244-BY243</f>
      </c>
      <c r="CA244" s="0">
        <f>IF(A244&lt;=IF($CD$1=0,999,$CD$1),BY244,NA())</f>
      </c>
      <c r="CB244" s="0">
        <f>IF(A244&lt;=IF($CD$1=0,999,$CD$1),A244,NA())</f>
      </c>
    </row>
    <row r="245">
      <c r="A245" s="0">
        <v>242</v>
      </c>
      <c r="B245" s="0">
        <f>BD244*(1+Calculator!$D$11/100/12)</f>
      </c>
      <c r="C245" s="0">
        <f>BE244*(1+Calculator!$D$12/100/12)</f>
      </c>
      <c r="D245" s="0">
        <f>BF244*(1+Calculator!$D$13/100/12)</f>
      </c>
      <c r="E245" s="0">
        <f>BG244*(1+Calculator!$D$14/100/12)</f>
      </c>
      <c r="F245" s="0">
        <f>BH244*(1+Calculator!$D$15/100/12)</f>
      </c>
      <c r="G245" s="0">
        <f>BI244*(1+Calculator!$D$16/100/12)</f>
      </c>
      <c r="H245" s="0">
        <f>BJ244*(1+Calculator!$D$17/100/12)</f>
      </c>
      <c r="I245" s="0">
        <f>BK244*(1+Calculator!$D$18/100/12)</f>
      </c>
      <c r="J245" s="0">
        <f>BL244*(1+Calculator!$D$19/100/12)</f>
      </c>
      <c r="K245" s="0">
        <f>BM244*(1+Calculator!$D$20/100/12)</f>
      </c>
      <c r="L245" s="0">
        <f>BN244*(1+Calculator!$D$21/100/12)</f>
      </c>
      <c r="M245" s="0">
        <f>BO244*(1+Calculator!$D$22/100/12)</f>
      </c>
      <c r="N245" s="0">
        <f>BP244*(1+Calculator!$D$23/100/12)</f>
      </c>
      <c r="O245" s="0">
        <f>BQ244*(1+Calculator!$D$24/100/12)</f>
      </c>
      <c r="P245" s="0">
        <f>BR244*(1+Calculator!$D$25/100/12)</f>
      </c>
      <c r="Q245" s="0">
        <f>BS244*(1+Calculator!$D$26/100/12)</f>
      </c>
      <c r="R245" s="0">
        <f>BT244*(1+Calculator!$D$27/100/12)</f>
      </c>
      <c r="S245" s="0">
        <f>BU244*(1+Calculator!$D$28/100/12)</f>
      </c>
      <c r="T245" s="0">
        <f>MAX(0,B245-Calculator!$E$11)</f>
      </c>
      <c r="U245" s="0">
        <f>MAX(0,C245-Calculator!$E$12)</f>
      </c>
      <c r="V245" s="0">
        <f>MAX(0,D245-Calculator!$E$13)</f>
      </c>
      <c r="W245" s="0">
        <f>MAX(0,E245-Calculator!$E$14)</f>
      </c>
      <c r="X245" s="0">
        <f>MAX(0,F245-Calculator!$E$15)</f>
      </c>
      <c r="Y245" s="0">
        <f>MAX(0,G245-Calculator!$E$16)</f>
      </c>
      <c r="Z245" s="0">
        <f>MAX(0,H245-Calculator!$E$17)</f>
      </c>
      <c r="AA245" s="0">
        <f>MAX(0,I245-Calculator!$E$18)</f>
      </c>
      <c r="AB245" s="0">
        <f>MAX(0,J245-Calculator!$E$19)</f>
      </c>
      <c r="AC245" s="0">
        <f>MAX(0,K245-Calculator!$E$20)</f>
      </c>
      <c r="AD245" s="0">
        <f>MAX(0,L245-Calculator!$E$21)</f>
      </c>
      <c r="AE245" s="0">
        <f>MAX(0,M245-Calculator!$E$22)</f>
      </c>
      <c r="AF245" s="0">
        <f>MAX(0,N245-Calculator!$E$23)</f>
      </c>
      <c r="AG245" s="0">
        <f>MAX(0,O245-Calculator!$E$24)</f>
      </c>
      <c r="AH245" s="0">
        <f>MAX(0,P245-Calculator!$E$25)</f>
      </c>
      <c r="AI245" s="0">
        <f>MAX(0,Q245-Calculator!$E$26)</f>
      </c>
      <c r="AJ245" s="0">
        <f>MAX(0,R245-Calculator!$E$27)</f>
      </c>
      <c r="AK245" s="0">
        <f>MAX(0,S245-Calculator!$E$28)</f>
      </c>
      <c r="AL245" s="0">
        <f>MAX(0,MIN(T245,BX245-SUMPRODUCT(($T$2:$AK$2&lt;T$2)*($T245:$AK245))))</f>
      </c>
      <c r="AM245" s="0">
        <f>MAX(0,MIN(U245,BX245-SUMPRODUCT(($T$2:$AK$2&lt;U$2)*($T245:$AK245))))</f>
      </c>
      <c r="AN245" s="0">
        <f>MAX(0,MIN(V245,BX245-SUMPRODUCT(($T$2:$AK$2&lt;V$2)*($T245:$AK245))))</f>
      </c>
      <c r="AO245" s="0">
        <f>MAX(0,MIN(W245,BX245-SUMPRODUCT(($T$2:$AK$2&lt;W$2)*($T245:$AK245))))</f>
      </c>
      <c r="AP245" s="0">
        <f>MAX(0,MIN(X245,BX245-SUMPRODUCT(($T$2:$AK$2&lt;X$2)*($T245:$AK245))))</f>
      </c>
      <c r="AQ245" s="0">
        <f>MAX(0,MIN(Y245,BX245-SUMPRODUCT(($T$2:$AK$2&lt;Y$2)*($T245:$AK245))))</f>
      </c>
      <c r="AR245" s="0">
        <f>MAX(0,MIN(Z245,BX245-SUMPRODUCT(($T$2:$AK$2&lt;Z$2)*($T245:$AK245))))</f>
      </c>
      <c r="AS245" s="0">
        <f>MAX(0,MIN(AA245,BX245-SUMPRODUCT(($T$2:$AK$2&lt;AA$2)*($T245:$AK245))))</f>
      </c>
      <c r="AT245" s="0">
        <f>MAX(0,MIN(AB245,BX245-SUMPRODUCT(($T$2:$AK$2&lt;AB$2)*($T245:$AK245))))</f>
      </c>
      <c r="AU245" s="0">
        <f>MAX(0,MIN(AC245,BX245-SUMPRODUCT(($T$2:$AK$2&lt;AC$2)*($T245:$AK245))))</f>
      </c>
      <c r="AV245" s="0">
        <f>MAX(0,MIN(AD245,BX245-SUMPRODUCT(($T$2:$AK$2&lt;AD$2)*($T245:$AK245))))</f>
      </c>
      <c r="AW245" s="0">
        <f>MAX(0,MIN(AE245,BX245-SUMPRODUCT(($T$2:$AK$2&lt;AE$2)*($T245:$AK245))))</f>
      </c>
      <c r="AX245" s="0">
        <f>MAX(0,MIN(AF245,BX245-SUMPRODUCT(($T$2:$AK$2&lt;AF$2)*($T245:$AK245))))</f>
      </c>
      <c r="AY245" s="0">
        <f>MAX(0,MIN(AG245,BX245-SUMPRODUCT(($T$2:$AK$2&lt;AG$2)*($T245:$AK245))))</f>
      </c>
      <c r="AZ245" s="0">
        <f>MAX(0,MIN(AH245,BX245-SUMPRODUCT(($T$2:$AK$2&lt;AH$2)*($T245:$AK245))))</f>
      </c>
      <c r="BA245" s="0">
        <f>MAX(0,MIN(AI245,BX245-SUMPRODUCT(($T$2:$AK$2&lt;AI$2)*($T245:$AK245))))</f>
      </c>
      <c r="BB245" s="0">
        <f>MAX(0,MIN(AJ245,BX245-SUMPRODUCT(($T$2:$AK$2&lt;AJ$2)*($T245:$AK245))))</f>
      </c>
      <c r="BC245" s="0">
        <f>MAX(0,MIN(AK245,BX245-SUMPRODUCT(($T$2:$AK$2&lt;AK$2)*($T245:$AK245))))</f>
      </c>
      <c r="BD245" s="0">
        <f>T245-AL245</f>
      </c>
      <c r="BE245" s="0">
        <f>U245-AM245</f>
      </c>
      <c r="BF245" s="0">
        <f>V245-AN245</f>
      </c>
      <c r="BG245" s="0">
        <f>W245-AO245</f>
      </c>
      <c r="BH245" s="0">
        <f>X245-AP245</f>
      </c>
      <c r="BI245" s="0">
        <f>Y245-AQ245</f>
      </c>
      <c r="BJ245" s="0">
        <f>Z245-AR245</f>
      </c>
      <c r="BK245" s="0">
        <f>AA245-AS245</f>
      </c>
      <c r="BL245" s="0">
        <f>AB245-AT245</f>
      </c>
      <c r="BM245" s="0">
        <f>AC245-AU245</f>
      </c>
      <c r="BN245" s="0">
        <f>AD245-AV245</f>
      </c>
      <c r="BO245" s="0">
        <f>AE245-AW245</f>
      </c>
      <c r="BP245" s="0">
        <f>AF245-AX245</f>
      </c>
      <c r="BQ245" s="0">
        <f>AG245-AY245</f>
      </c>
      <c r="BR245" s="0">
        <f>AH245-AZ245</f>
      </c>
      <c r="BS245" s="0">
        <f>AI245-BA245</f>
      </c>
      <c r="BT245" s="0">
        <f>AJ245-BB245</f>
      </c>
      <c r="BU245" s="0">
        <f>AK245-BC245</f>
      </c>
      <c r="BV245" s="0">
        <f>SUM(B245:S245)</f>
      </c>
      <c r="BW245" s="0">
        <f>SUM(T245:AK245)</f>
      </c>
      <c r="BX245" s="0">
        <f>MAX(0,(SUM(Calculator!$E$11:$E$28)+Calculator!$C$6)-BV245+BW245)</f>
      </c>
      <c r="BY245" s="0">
        <f>SUM(BD245:BU245)</f>
      </c>
      <c r="BZ245" s="0">
        <f>BV245-BY244</f>
      </c>
      <c r="CA245" s="0">
        <f>IF(A245&lt;=IF($CD$1=0,999,$CD$1),BY245,NA())</f>
      </c>
      <c r="CB245" s="0">
        <f>IF(A245&lt;=IF($CD$1=0,999,$CD$1),A245,NA())</f>
      </c>
    </row>
    <row r="246">
      <c r="A246" s="0">
        <v>243</v>
      </c>
      <c r="B246" s="0">
        <f>BD245*(1+Calculator!$D$11/100/12)</f>
      </c>
      <c r="C246" s="0">
        <f>BE245*(1+Calculator!$D$12/100/12)</f>
      </c>
      <c r="D246" s="0">
        <f>BF245*(1+Calculator!$D$13/100/12)</f>
      </c>
      <c r="E246" s="0">
        <f>BG245*(1+Calculator!$D$14/100/12)</f>
      </c>
      <c r="F246" s="0">
        <f>BH245*(1+Calculator!$D$15/100/12)</f>
      </c>
      <c r="G246" s="0">
        <f>BI245*(1+Calculator!$D$16/100/12)</f>
      </c>
      <c r="H246" s="0">
        <f>BJ245*(1+Calculator!$D$17/100/12)</f>
      </c>
      <c r="I246" s="0">
        <f>BK245*(1+Calculator!$D$18/100/12)</f>
      </c>
      <c r="J246" s="0">
        <f>BL245*(1+Calculator!$D$19/100/12)</f>
      </c>
      <c r="K246" s="0">
        <f>BM245*(1+Calculator!$D$20/100/12)</f>
      </c>
      <c r="L246" s="0">
        <f>BN245*(1+Calculator!$D$21/100/12)</f>
      </c>
      <c r="M246" s="0">
        <f>BO245*(1+Calculator!$D$22/100/12)</f>
      </c>
      <c r="N246" s="0">
        <f>BP245*(1+Calculator!$D$23/100/12)</f>
      </c>
      <c r="O246" s="0">
        <f>BQ245*(1+Calculator!$D$24/100/12)</f>
      </c>
      <c r="P246" s="0">
        <f>BR245*(1+Calculator!$D$25/100/12)</f>
      </c>
      <c r="Q246" s="0">
        <f>BS245*(1+Calculator!$D$26/100/12)</f>
      </c>
      <c r="R246" s="0">
        <f>BT245*(1+Calculator!$D$27/100/12)</f>
      </c>
      <c r="S246" s="0">
        <f>BU245*(1+Calculator!$D$28/100/12)</f>
      </c>
      <c r="T246" s="0">
        <f>MAX(0,B246-Calculator!$E$11)</f>
      </c>
      <c r="U246" s="0">
        <f>MAX(0,C246-Calculator!$E$12)</f>
      </c>
      <c r="V246" s="0">
        <f>MAX(0,D246-Calculator!$E$13)</f>
      </c>
      <c r="W246" s="0">
        <f>MAX(0,E246-Calculator!$E$14)</f>
      </c>
      <c r="X246" s="0">
        <f>MAX(0,F246-Calculator!$E$15)</f>
      </c>
      <c r="Y246" s="0">
        <f>MAX(0,G246-Calculator!$E$16)</f>
      </c>
      <c r="Z246" s="0">
        <f>MAX(0,H246-Calculator!$E$17)</f>
      </c>
      <c r="AA246" s="0">
        <f>MAX(0,I246-Calculator!$E$18)</f>
      </c>
      <c r="AB246" s="0">
        <f>MAX(0,J246-Calculator!$E$19)</f>
      </c>
      <c r="AC246" s="0">
        <f>MAX(0,K246-Calculator!$E$20)</f>
      </c>
      <c r="AD246" s="0">
        <f>MAX(0,L246-Calculator!$E$21)</f>
      </c>
      <c r="AE246" s="0">
        <f>MAX(0,M246-Calculator!$E$22)</f>
      </c>
      <c r="AF246" s="0">
        <f>MAX(0,N246-Calculator!$E$23)</f>
      </c>
      <c r="AG246" s="0">
        <f>MAX(0,O246-Calculator!$E$24)</f>
      </c>
      <c r="AH246" s="0">
        <f>MAX(0,P246-Calculator!$E$25)</f>
      </c>
      <c r="AI246" s="0">
        <f>MAX(0,Q246-Calculator!$E$26)</f>
      </c>
      <c r="AJ246" s="0">
        <f>MAX(0,R246-Calculator!$E$27)</f>
      </c>
      <c r="AK246" s="0">
        <f>MAX(0,S246-Calculator!$E$28)</f>
      </c>
      <c r="AL246" s="0">
        <f>MAX(0,MIN(T246,BX246-SUMPRODUCT(($T$2:$AK$2&lt;T$2)*($T246:$AK246))))</f>
      </c>
      <c r="AM246" s="0">
        <f>MAX(0,MIN(U246,BX246-SUMPRODUCT(($T$2:$AK$2&lt;U$2)*($T246:$AK246))))</f>
      </c>
      <c r="AN246" s="0">
        <f>MAX(0,MIN(V246,BX246-SUMPRODUCT(($T$2:$AK$2&lt;V$2)*($T246:$AK246))))</f>
      </c>
      <c r="AO246" s="0">
        <f>MAX(0,MIN(W246,BX246-SUMPRODUCT(($T$2:$AK$2&lt;W$2)*($T246:$AK246))))</f>
      </c>
      <c r="AP246" s="0">
        <f>MAX(0,MIN(X246,BX246-SUMPRODUCT(($T$2:$AK$2&lt;X$2)*($T246:$AK246))))</f>
      </c>
      <c r="AQ246" s="0">
        <f>MAX(0,MIN(Y246,BX246-SUMPRODUCT(($T$2:$AK$2&lt;Y$2)*($T246:$AK246))))</f>
      </c>
      <c r="AR246" s="0">
        <f>MAX(0,MIN(Z246,BX246-SUMPRODUCT(($T$2:$AK$2&lt;Z$2)*($T246:$AK246))))</f>
      </c>
      <c r="AS246" s="0">
        <f>MAX(0,MIN(AA246,BX246-SUMPRODUCT(($T$2:$AK$2&lt;AA$2)*($T246:$AK246))))</f>
      </c>
      <c r="AT246" s="0">
        <f>MAX(0,MIN(AB246,BX246-SUMPRODUCT(($T$2:$AK$2&lt;AB$2)*($T246:$AK246))))</f>
      </c>
      <c r="AU246" s="0">
        <f>MAX(0,MIN(AC246,BX246-SUMPRODUCT(($T$2:$AK$2&lt;AC$2)*($T246:$AK246))))</f>
      </c>
      <c r="AV246" s="0">
        <f>MAX(0,MIN(AD246,BX246-SUMPRODUCT(($T$2:$AK$2&lt;AD$2)*($T246:$AK246))))</f>
      </c>
      <c r="AW246" s="0">
        <f>MAX(0,MIN(AE246,BX246-SUMPRODUCT(($T$2:$AK$2&lt;AE$2)*($T246:$AK246))))</f>
      </c>
      <c r="AX246" s="0">
        <f>MAX(0,MIN(AF246,BX246-SUMPRODUCT(($T$2:$AK$2&lt;AF$2)*($T246:$AK246))))</f>
      </c>
      <c r="AY246" s="0">
        <f>MAX(0,MIN(AG246,BX246-SUMPRODUCT(($T$2:$AK$2&lt;AG$2)*($T246:$AK246))))</f>
      </c>
      <c r="AZ246" s="0">
        <f>MAX(0,MIN(AH246,BX246-SUMPRODUCT(($T$2:$AK$2&lt;AH$2)*($T246:$AK246))))</f>
      </c>
      <c r="BA246" s="0">
        <f>MAX(0,MIN(AI246,BX246-SUMPRODUCT(($T$2:$AK$2&lt;AI$2)*($T246:$AK246))))</f>
      </c>
      <c r="BB246" s="0">
        <f>MAX(0,MIN(AJ246,BX246-SUMPRODUCT(($T$2:$AK$2&lt;AJ$2)*($T246:$AK246))))</f>
      </c>
      <c r="BC246" s="0">
        <f>MAX(0,MIN(AK246,BX246-SUMPRODUCT(($T$2:$AK$2&lt;AK$2)*($T246:$AK246))))</f>
      </c>
      <c r="BD246" s="0">
        <f>T246-AL246</f>
      </c>
      <c r="BE246" s="0">
        <f>U246-AM246</f>
      </c>
      <c r="BF246" s="0">
        <f>V246-AN246</f>
      </c>
      <c r="BG246" s="0">
        <f>W246-AO246</f>
      </c>
      <c r="BH246" s="0">
        <f>X246-AP246</f>
      </c>
      <c r="BI246" s="0">
        <f>Y246-AQ246</f>
      </c>
      <c r="BJ246" s="0">
        <f>Z246-AR246</f>
      </c>
      <c r="BK246" s="0">
        <f>AA246-AS246</f>
      </c>
      <c r="BL246" s="0">
        <f>AB246-AT246</f>
      </c>
      <c r="BM246" s="0">
        <f>AC246-AU246</f>
      </c>
      <c r="BN246" s="0">
        <f>AD246-AV246</f>
      </c>
      <c r="BO246" s="0">
        <f>AE246-AW246</f>
      </c>
      <c r="BP246" s="0">
        <f>AF246-AX246</f>
      </c>
      <c r="BQ246" s="0">
        <f>AG246-AY246</f>
      </c>
      <c r="BR246" s="0">
        <f>AH246-AZ246</f>
      </c>
      <c r="BS246" s="0">
        <f>AI246-BA246</f>
      </c>
      <c r="BT246" s="0">
        <f>AJ246-BB246</f>
      </c>
      <c r="BU246" s="0">
        <f>AK246-BC246</f>
      </c>
      <c r="BV246" s="0">
        <f>SUM(B246:S246)</f>
      </c>
      <c r="BW246" s="0">
        <f>SUM(T246:AK246)</f>
      </c>
      <c r="BX246" s="0">
        <f>MAX(0,(SUM(Calculator!$E$11:$E$28)+Calculator!$C$6)-BV246+BW246)</f>
      </c>
      <c r="BY246" s="0">
        <f>SUM(BD246:BU246)</f>
      </c>
      <c r="BZ246" s="0">
        <f>BV246-BY245</f>
      </c>
      <c r="CA246" s="0">
        <f>IF(A246&lt;=IF($CD$1=0,999,$CD$1),BY246,NA())</f>
      </c>
      <c r="CB246" s="0">
        <f>IF(A246&lt;=IF($CD$1=0,999,$CD$1),A246,NA())</f>
      </c>
    </row>
    <row r="247">
      <c r="A247" s="0">
        <v>244</v>
      </c>
      <c r="B247" s="0">
        <f>BD246*(1+Calculator!$D$11/100/12)</f>
      </c>
      <c r="C247" s="0">
        <f>BE246*(1+Calculator!$D$12/100/12)</f>
      </c>
      <c r="D247" s="0">
        <f>BF246*(1+Calculator!$D$13/100/12)</f>
      </c>
      <c r="E247" s="0">
        <f>BG246*(1+Calculator!$D$14/100/12)</f>
      </c>
      <c r="F247" s="0">
        <f>BH246*(1+Calculator!$D$15/100/12)</f>
      </c>
      <c r="G247" s="0">
        <f>BI246*(1+Calculator!$D$16/100/12)</f>
      </c>
      <c r="H247" s="0">
        <f>BJ246*(1+Calculator!$D$17/100/12)</f>
      </c>
      <c r="I247" s="0">
        <f>BK246*(1+Calculator!$D$18/100/12)</f>
      </c>
      <c r="J247" s="0">
        <f>BL246*(1+Calculator!$D$19/100/12)</f>
      </c>
      <c r="K247" s="0">
        <f>BM246*(1+Calculator!$D$20/100/12)</f>
      </c>
      <c r="L247" s="0">
        <f>BN246*(1+Calculator!$D$21/100/12)</f>
      </c>
      <c r="M247" s="0">
        <f>BO246*(1+Calculator!$D$22/100/12)</f>
      </c>
      <c r="N247" s="0">
        <f>BP246*(1+Calculator!$D$23/100/12)</f>
      </c>
      <c r="O247" s="0">
        <f>BQ246*(1+Calculator!$D$24/100/12)</f>
      </c>
      <c r="P247" s="0">
        <f>BR246*(1+Calculator!$D$25/100/12)</f>
      </c>
      <c r="Q247" s="0">
        <f>BS246*(1+Calculator!$D$26/100/12)</f>
      </c>
      <c r="R247" s="0">
        <f>BT246*(1+Calculator!$D$27/100/12)</f>
      </c>
      <c r="S247" s="0">
        <f>BU246*(1+Calculator!$D$28/100/12)</f>
      </c>
      <c r="T247" s="0">
        <f>MAX(0,B247-Calculator!$E$11)</f>
      </c>
      <c r="U247" s="0">
        <f>MAX(0,C247-Calculator!$E$12)</f>
      </c>
      <c r="V247" s="0">
        <f>MAX(0,D247-Calculator!$E$13)</f>
      </c>
      <c r="W247" s="0">
        <f>MAX(0,E247-Calculator!$E$14)</f>
      </c>
      <c r="X247" s="0">
        <f>MAX(0,F247-Calculator!$E$15)</f>
      </c>
      <c r="Y247" s="0">
        <f>MAX(0,G247-Calculator!$E$16)</f>
      </c>
      <c r="Z247" s="0">
        <f>MAX(0,H247-Calculator!$E$17)</f>
      </c>
      <c r="AA247" s="0">
        <f>MAX(0,I247-Calculator!$E$18)</f>
      </c>
      <c r="AB247" s="0">
        <f>MAX(0,J247-Calculator!$E$19)</f>
      </c>
      <c r="AC247" s="0">
        <f>MAX(0,K247-Calculator!$E$20)</f>
      </c>
      <c r="AD247" s="0">
        <f>MAX(0,L247-Calculator!$E$21)</f>
      </c>
      <c r="AE247" s="0">
        <f>MAX(0,M247-Calculator!$E$22)</f>
      </c>
      <c r="AF247" s="0">
        <f>MAX(0,N247-Calculator!$E$23)</f>
      </c>
      <c r="AG247" s="0">
        <f>MAX(0,O247-Calculator!$E$24)</f>
      </c>
      <c r="AH247" s="0">
        <f>MAX(0,P247-Calculator!$E$25)</f>
      </c>
      <c r="AI247" s="0">
        <f>MAX(0,Q247-Calculator!$E$26)</f>
      </c>
      <c r="AJ247" s="0">
        <f>MAX(0,R247-Calculator!$E$27)</f>
      </c>
      <c r="AK247" s="0">
        <f>MAX(0,S247-Calculator!$E$28)</f>
      </c>
      <c r="AL247" s="0">
        <f>MAX(0,MIN(T247,BX247-SUMPRODUCT(($T$2:$AK$2&lt;T$2)*($T247:$AK247))))</f>
      </c>
      <c r="AM247" s="0">
        <f>MAX(0,MIN(U247,BX247-SUMPRODUCT(($T$2:$AK$2&lt;U$2)*($T247:$AK247))))</f>
      </c>
      <c r="AN247" s="0">
        <f>MAX(0,MIN(V247,BX247-SUMPRODUCT(($T$2:$AK$2&lt;V$2)*($T247:$AK247))))</f>
      </c>
      <c r="AO247" s="0">
        <f>MAX(0,MIN(W247,BX247-SUMPRODUCT(($T$2:$AK$2&lt;W$2)*($T247:$AK247))))</f>
      </c>
      <c r="AP247" s="0">
        <f>MAX(0,MIN(X247,BX247-SUMPRODUCT(($T$2:$AK$2&lt;X$2)*($T247:$AK247))))</f>
      </c>
      <c r="AQ247" s="0">
        <f>MAX(0,MIN(Y247,BX247-SUMPRODUCT(($T$2:$AK$2&lt;Y$2)*($T247:$AK247))))</f>
      </c>
      <c r="AR247" s="0">
        <f>MAX(0,MIN(Z247,BX247-SUMPRODUCT(($T$2:$AK$2&lt;Z$2)*($T247:$AK247))))</f>
      </c>
      <c r="AS247" s="0">
        <f>MAX(0,MIN(AA247,BX247-SUMPRODUCT(($T$2:$AK$2&lt;AA$2)*($T247:$AK247))))</f>
      </c>
      <c r="AT247" s="0">
        <f>MAX(0,MIN(AB247,BX247-SUMPRODUCT(($T$2:$AK$2&lt;AB$2)*($T247:$AK247))))</f>
      </c>
      <c r="AU247" s="0">
        <f>MAX(0,MIN(AC247,BX247-SUMPRODUCT(($T$2:$AK$2&lt;AC$2)*($T247:$AK247))))</f>
      </c>
      <c r="AV247" s="0">
        <f>MAX(0,MIN(AD247,BX247-SUMPRODUCT(($T$2:$AK$2&lt;AD$2)*($T247:$AK247))))</f>
      </c>
      <c r="AW247" s="0">
        <f>MAX(0,MIN(AE247,BX247-SUMPRODUCT(($T$2:$AK$2&lt;AE$2)*($T247:$AK247))))</f>
      </c>
      <c r="AX247" s="0">
        <f>MAX(0,MIN(AF247,BX247-SUMPRODUCT(($T$2:$AK$2&lt;AF$2)*($T247:$AK247))))</f>
      </c>
      <c r="AY247" s="0">
        <f>MAX(0,MIN(AG247,BX247-SUMPRODUCT(($T$2:$AK$2&lt;AG$2)*($T247:$AK247))))</f>
      </c>
      <c r="AZ247" s="0">
        <f>MAX(0,MIN(AH247,BX247-SUMPRODUCT(($T$2:$AK$2&lt;AH$2)*($T247:$AK247))))</f>
      </c>
      <c r="BA247" s="0">
        <f>MAX(0,MIN(AI247,BX247-SUMPRODUCT(($T$2:$AK$2&lt;AI$2)*($T247:$AK247))))</f>
      </c>
      <c r="BB247" s="0">
        <f>MAX(0,MIN(AJ247,BX247-SUMPRODUCT(($T$2:$AK$2&lt;AJ$2)*($T247:$AK247))))</f>
      </c>
      <c r="BC247" s="0">
        <f>MAX(0,MIN(AK247,BX247-SUMPRODUCT(($T$2:$AK$2&lt;AK$2)*($T247:$AK247))))</f>
      </c>
      <c r="BD247" s="0">
        <f>T247-AL247</f>
      </c>
      <c r="BE247" s="0">
        <f>U247-AM247</f>
      </c>
      <c r="BF247" s="0">
        <f>V247-AN247</f>
      </c>
      <c r="BG247" s="0">
        <f>W247-AO247</f>
      </c>
      <c r="BH247" s="0">
        <f>X247-AP247</f>
      </c>
      <c r="BI247" s="0">
        <f>Y247-AQ247</f>
      </c>
      <c r="BJ247" s="0">
        <f>Z247-AR247</f>
      </c>
      <c r="BK247" s="0">
        <f>AA247-AS247</f>
      </c>
      <c r="BL247" s="0">
        <f>AB247-AT247</f>
      </c>
      <c r="BM247" s="0">
        <f>AC247-AU247</f>
      </c>
      <c r="BN247" s="0">
        <f>AD247-AV247</f>
      </c>
      <c r="BO247" s="0">
        <f>AE247-AW247</f>
      </c>
      <c r="BP247" s="0">
        <f>AF247-AX247</f>
      </c>
      <c r="BQ247" s="0">
        <f>AG247-AY247</f>
      </c>
      <c r="BR247" s="0">
        <f>AH247-AZ247</f>
      </c>
      <c r="BS247" s="0">
        <f>AI247-BA247</f>
      </c>
      <c r="BT247" s="0">
        <f>AJ247-BB247</f>
      </c>
      <c r="BU247" s="0">
        <f>AK247-BC247</f>
      </c>
      <c r="BV247" s="0">
        <f>SUM(B247:S247)</f>
      </c>
      <c r="BW247" s="0">
        <f>SUM(T247:AK247)</f>
      </c>
      <c r="BX247" s="0">
        <f>MAX(0,(SUM(Calculator!$E$11:$E$28)+Calculator!$C$6)-BV247+BW247)</f>
      </c>
      <c r="BY247" s="0">
        <f>SUM(BD247:BU247)</f>
      </c>
      <c r="BZ247" s="0">
        <f>BV247-BY246</f>
      </c>
      <c r="CA247" s="0">
        <f>IF(A247&lt;=IF($CD$1=0,999,$CD$1),BY247,NA())</f>
      </c>
      <c r="CB247" s="0">
        <f>IF(A247&lt;=IF($CD$1=0,999,$CD$1),A247,NA())</f>
      </c>
    </row>
    <row r="248">
      <c r="A248" s="0">
        <v>245</v>
      </c>
      <c r="B248" s="0">
        <f>BD247*(1+Calculator!$D$11/100/12)</f>
      </c>
      <c r="C248" s="0">
        <f>BE247*(1+Calculator!$D$12/100/12)</f>
      </c>
      <c r="D248" s="0">
        <f>BF247*(1+Calculator!$D$13/100/12)</f>
      </c>
      <c r="E248" s="0">
        <f>BG247*(1+Calculator!$D$14/100/12)</f>
      </c>
      <c r="F248" s="0">
        <f>BH247*(1+Calculator!$D$15/100/12)</f>
      </c>
      <c r="G248" s="0">
        <f>BI247*(1+Calculator!$D$16/100/12)</f>
      </c>
      <c r="H248" s="0">
        <f>BJ247*(1+Calculator!$D$17/100/12)</f>
      </c>
      <c r="I248" s="0">
        <f>BK247*(1+Calculator!$D$18/100/12)</f>
      </c>
      <c r="J248" s="0">
        <f>BL247*(1+Calculator!$D$19/100/12)</f>
      </c>
      <c r="K248" s="0">
        <f>BM247*(1+Calculator!$D$20/100/12)</f>
      </c>
      <c r="L248" s="0">
        <f>BN247*(1+Calculator!$D$21/100/12)</f>
      </c>
      <c r="M248" s="0">
        <f>BO247*(1+Calculator!$D$22/100/12)</f>
      </c>
      <c r="N248" s="0">
        <f>BP247*(1+Calculator!$D$23/100/12)</f>
      </c>
      <c r="O248" s="0">
        <f>BQ247*(1+Calculator!$D$24/100/12)</f>
      </c>
      <c r="P248" s="0">
        <f>BR247*(1+Calculator!$D$25/100/12)</f>
      </c>
      <c r="Q248" s="0">
        <f>BS247*(1+Calculator!$D$26/100/12)</f>
      </c>
      <c r="R248" s="0">
        <f>BT247*(1+Calculator!$D$27/100/12)</f>
      </c>
      <c r="S248" s="0">
        <f>BU247*(1+Calculator!$D$28/100/12)</f>
      </c>
      <c r="T248" s="0">
        <f>MAX(0,B248-Calculator!$E$11)</f>
      </c>
      <c r="U248" s="0">
        <f>MAX(0,C248-Calculator!$E$12)</f>
      </c>
      <c r="V248" s="0">
        <f>MAX(0,D248-Calculator!$E$13)</f>
      </c>
      <c r="W248" s="0">
        <f>MAX(0,E248-Calculator!$E$14)</f>
      </c>
      <c r="X248" s="0">
        <f>MAX(0,F248-Calculator!$E$15)</f>
      </c>
      <c r="Y248" s="0">
        <f>MAX(0,G248-Calculator!$E$16)</f>
      </c>
      <c r="Z248" s="0">
        <f>MAX(0,H248-Calculator!$E$17)</f>
      </c>
      <c r="AA248" s="0">
        <f>MAX(0,I248-Calculator!$E$18)</f>
      </c>
      <c r="AB248" s="0">
        <f>MAX(0,J248-Calculator!$E$19)</f>
      </c>
      <c r="AC248" s="0">
        <f>MAX(0,K248-Calculator!$E$20)</f>
      </c>
      <c r="AD248" s="0">
        <f>MAX(0,L248-Calculator!$E$21)</f>
      </c>
      <c r="AE248" s="0">
        <f>MAX(0,M248-Calculator!$E$22)</f>
      </c>
      <c r="AF248" s="0">
        <f>MAX(0,N248-Calculator!$E$23)</f>
      </c>
      <c r="AG248" s="0">
        <f>MAX(0,O248-Calculator!$E$24)</f>
      </c>
      <c r="AH248" s="0">
        <f>MAX(0,P248-Calculator!$E$25)</f>
      </c>
      <c r="AI248" s="0">
        <f>MAX(0,Q248-Calculator!$E$26)</f>
      </c>
      <c r="AJ248" s="0">
        <f>MAX(0,R248-Calculator!$E$27)</f>
      </c>
      <c r="AK248" s="0">
        <f>MAX(0,S248-Calculator!$E$28)</f>
      </c>
      <c r="AL248" s="0">
        <f>MAX(0,MIN(T248,BX248-SUMPRODUCT(($T$2:$AK$2&lt;T$2)*($T248:$AK248))))</f>
      </c>
      <c r="AM248" s="0">
        <f>MAX(0,MIN(U248,BX248-SUMPRODUCT(($T$2:$AK$2&lt;U$2)*($T248:$AK248))))</f>
      </c>
      <c r="AN248" s="0">
        <f>MAX(0,MIN(V248,BX248-SUMPRODUCT(($T$2:$AK$2&lt;V$2)*($T248:$AK248))))</f>
      </c>
      <c r="AO248" s="0">
        <f>MAX(0,MIN(W248,BX248-SUMPRODUCT(($T$2:$AK$2&lt;W$2)*($T248:$AK248))))</f>
      </c>
      <c r="AP248" s="0">
        <f>MAX(0,MIN(X248,BX248-SUMPRODUCT(($T$2:$AK$2&lt;X$2)*($T248:$AK248))))</f>
      </c>
      <c r="AQ248" s="0">
        <f>MAX(0,MIN(Y248,BX248-SUMPRODUCT(($T$2:$AK$2&lt;Y$2)*($T248:$AK248))))</f>
      </c>
      <c r="AR248" s="0">
        <f>MAX(0,MIN(Z248,BX248-SUMPRODUCT(($T$2:$AK$2&lt;Z$2)*($T248:$AK248))))</f>
      </c>
      <c r="AS248" s="0">
        <f>MAX(0,MIN(AA248,BX248-SUMPRODUCT(($T$2:$AK$2&lt;AA$2)*($T248:$AK248))))</f>
      </c>
      <c r="AT248" s="0">
        <f>MAX(0,MIN(AB248,BX248-SUMPRODUCT(($T$2:$AK$2&lt;AB$2)*($T248:$AK248))))</f>
      </c>
      <c r="AU248" s="0">
        <f>MAX(0,MIN(AC248,BX248-SUMPRODUCT(($T$2:$AK$2&lt;AC$2)*($T248:$AK248))))</f>
      </c>
      <c r="AV248" s="0">
        <f>MAX(0,MIN(AD248,BX248-SUMPRODUCT(($T$2:$AK$2&lt;AD$2)*($T248:$AK248))))</f>
      </c>
      <c r="AW248" s="0">
        <f>MAX(0,MIN(AE248,BX248-SUMPRODUCT(($T$2:$AK$2&lt;AE$2)*($T248:$AK248))))</f>
      </c>
      <c r="AX248" s="0">
        <f>MAX(0,MIN(AF248,BX248-SUMPRODUCT(($T$2:$AK$2&lt;AF$2)*($T248:$AK248))))</f>
      </c>
      <c r="AY248" s="0">
        <f>MAX(0,MIN(AG248,BX248-SUMPRODUCT(($T$2:$AK$2&lt;AG$2)*($T248:$AK248))))</f>
      </c>
      <c r="AZ248" s="0">
        <f>MAX(0,MIN(AH248,BX248-SUMPRODUCT(($T$2:$AK$2&lt;AH$2)*($T248:$AK248))))</f>
      </c>
      <c r="BA248" s="0">
        <f>MAX(0,MIN(AI248,BX248-SUMPRODUCT(($T$2:$AK$2&lt;AI$2)*($T248:$AK248))))</f>
      </c>
      <c r="BB248" s="0">
        <f>MAX(0,MIN(AJ248,BX248-SUMPRODUCT(($T$2:$AK$2&lt;AJ$2)*($T248:$AK248))))</f>
      </c>
      <c r="BC248" s="0">
        <f>MAX(0,MIN(AK248,BX248-SUMPRODUCT(($T$2:$AK$2&lt;AK$2)*($T248:$AK248))))</f>
      </c>
      <c r="BD248" s="0">
        <f>T248-AL248</f>
      </c>
      <c r="BE248" s="0">
        <f>U248-AM248</f>
      </c>
      <c r="BF248" s="0">
        <f>V248-AN248</f>
      </c>
      <c r="BG248" s="0">
        <f>W248-AO248</f>
      </c>
      <c r="BH248" s="0">
        <f>X248-AP248</f>
      </c>
      <c r="BI248" s="0">
        <f>Y248-AQ248</f>
      </c>
      <c r="BJ248" s="0">
        <f>Z248-AR248</f>
      </c>
      <c r="BK248" s="0">
        <f>AA248-AS248</f>
      </c>
      <c r="BL248" s="0">
        <f>AB248-AT248</f>
      </c>
      <c r="BM248" s="0">
        <f>AC248-AU248</f>
      </c>
      <c r="BN248" s="0">
        <f>AD248-AV248</f>
      </c>
      <c r="BO248" s="0">
        <f>AE248-AW248</f>
      </c>
      <c r="BP248" s="0">
        <f>AF248-AX248</f>
      </c>
      <c r="BQ248" s="0">
        <f>AG248-AY248</f>
      </c>
      <c r="BR248" s="0">
        <f>AH248-AZ248</f>
      </c>
      <c r="BS248" s="0">
        <f>AI248-BA248</f>
      </c>
      <c r="BT248" s="0">
        <f>AJ248-BB248</f>
      </c>
      <c r="BU248" s="0">
        <f>AK248-BC248</f>
      </c>
      <c r="BV248" s="0">
        <f>SUM(B248:S248)</f>
      </c>
      <c r="BW248" s="0">
        <f>SUM(T248:AK248)</f>
      </c>
      <c r="BX248" s="0">
        <f>MAX(0,(SUM(Calculator!$E$11:$E$28)+Calculator!$C$6)-BV248+BW248)</f>
      </c>
      <c r="BY248" s="0">
        <f>SUM(BD248:BU248)</f>
      </c>
      <c r="BZ248" s="0">
        <f>BV248-BY247</f>
      </c>
      <c r="CA248" s="0">
        <f>IF(A248&lt;=IF($CD$1=0,999,$CD$1),BY248,NA())</f>
      </c>
      <c r="CB248" s="0">
        <f>IF(A248&lt;=IF($CD$1=0,999,$CD$1),A248,NA())</f>
      </c>
    </row>
    <row r="249">
      <c r="A249" s="0">
        <v>246</v>
      </c>
      <c r="B249" s="0">
        <f>BD248*(1+Calculator!$D$11/100/12)</f>
      </c>
      <c r="C249" s="0">
        <f>BE248*(1+Calculator!$D$12/100/12)</f>
      </c>
      <c r="D249" s="0">
        <f>BF248*(1+Calculator!$D$13/100/12)</f>
      </c>
      <c r="E249" s="0">
        <f>BG248*(1+Calculator!$D$14/100/12)</f>
      </c>
      <c r="F249" s="0">
        <f>BH248*(1+Calculator!$D$15/100/12)</f>
      </c>
      <c r="G249" s="0">
        <f>BI248*(1+Calculator!$D$16/100/12)</f>
      </c>
      <c r="H249" s="0">
        <f>BJ248*(1+Calculator!$D$17/100/12)</f>
      </c>
      <c r="I249" s="0">
        <f>BK248*(1+Calculator!$D$18/100/12)</f>
      </c>
      <c r="J249" s="0">
        <f>BL248*(1+Calculator!$D$19/100/12)</f>
      </c>
      <c r="K249" s="0">
        <f>BM248*(1+Calculator!$D$20/100/12)</f>
      </c>
      <c r="L249" s="0">
        <f>BN248*(1+Calculator!$D$21/100/12)</f>
      </c>
      <c r="M249" s="0">
        <f>BO248*(1+Calculator!$D$22/100/12)</f>
      </c>
      <c r="N249" s="0">
        <f>BP248*(1+Calculator!$D$23/100/12)</f>
      </c>
      <c r="O249" s="0">
        <f>BQ248*(1+Calculator!$D$24/100/12)</f>
      </c>
      <c r="P249" s="0">
        <f>BR248*(1+Calculator!$D$25/100/12)</f>
      </c>
      <c r="Q249" s="0">
        <f>BS248*(1+Calculator!$D$26/100/12)</f>
      </c>
      <c r="R249" s="0">
        <f>BT248*(1+Calculator!$D$27/100/12)</f>
      </c>
      <c r="S249" s="0">
        <f>BU248*(1+Calculator!$D$28/100/12)</f>
      </c>
      <c r="T249" s="0">
        <f>MAX(0,B249-Calculator!$E$11)</f>
      </c>
      <c r="U249" s="0">
        <f>MAX(0,C249-Calculator!$E$12)</f>
      </c>
      <c r="V249" s="0">
        <f>MAX(0,D249-Calculator!$E$13)</f>
      </c>
      <c r="W249" s="0">
        <f>MAX(0,E249-Calculator!$E$14)</f>
      </c>
      <c r="X249" s="0">
        <f>MAX(0,F249-Calculator!$E$15)</f>
      </c>
      <c r="Y249" s="0">
        <f>MAX(0,G249-Calculator!$E$16)</f>
      </c>
      <c r="Z249" s="0">
        <f>MAX(0,H249-Calculator!$E$17)</f>
      </c>
      <c r="AA249" s="0">
        <f>MAX(0,I249-Calculator!$E$18)</f>
      </c>
      <c r="AB249" s="0">
        <f>MAX(0,J249-Calculator!$E$19)</f>
      </c>
      <c r="AC249" s="0">
        <f>MAX(0,K249-Calculator!$E$20)</f>
      </c>
      <c r="AD249" s="0">
        <f>MAX(0,L249-Calculator!$E$21)</f>
      </c>
      <c r="AE249" s="0">
        <f>MAX(0,M249-Calculator!$E$22)</f>
      </c>
      <c r="AF249" s="0">
        <f>MAX(0,N249-Calculator!$E$23)</f>
      </c>
      <c r="AG249" s="0">
        <f>MAX(0,O249-Calculator!$E$24)</f>
      </c>
      <c r="AH249" s="0">
        <f>MAX(0,P249-Calculator!$E$25)</f>
      </c>
      <c r="AI249" s="0">
        <f>MAX(0,Q249-Calculator!$E$26)</f>
      </c>
      <c r="AJ249" s="0">
        <f>MAX(0,R249-Calculator!$E$27)</f>
      </c>
      <c r="AK249" s="0">
        <f>MAX(0,S249-Calculator!$E$28)</f>
      </c>
      <c r="AL249" s="0">
        <f>MAX(0,MIN(T249,BX249-SUMPRODUCT(($T$2:$AK$2&lt;T$2)*($T249:$AK249))))</f>
      </c>
      <c r="AM249" s="0">
        <f>MAX(0,MIN(U249,BX249-SUMPRODUCT(($T$2:$AK$2&lt;U$2)*($T249:$AK249))))</f>
      </c>
      <c r="AN249" s="0">
        <f>MAX(0,MIN(V249,BX249-SUMPRODUCT(($T$2:$AK$2&lt;V$2)*($T249:$AK249))))</f>
      </c>
      <c r="AO249" s="0">
        <f>MAX(0,MIN(W249,BX249-SUMPRODUCT(($T$2:$AK$2&lt;W$2)*($T249:$AK249))))</f>
      </c>
      <c r="AP249" s="0">
        <f>MAX(0,MIN(X249,BX249-SUMPRODUCT(($T$2:$AK$2&lt;X$2)*($T249:$AK249))))</f>
      </c>
      <c r="AQ249" s="0">
        <f>MAX(0,MIN(Y249,BX249-SUMPRODUCT(($T$2:$AK$2&lt;Y$2)*($T249:$AK249))))</f>
      </c>
      <c r="AR249" s="0">
        <f>MAX(0,MIN(Z249,BX249-SUMPRODUCT(($T$2:$AK$2&lt;Z$2)*($T249:$AK249))))</f>
      </c>
      <c r="AS249" s="0">
        <f>MAX(0,MIN(AA249,BX249-SUMPRODUCT(($T$2:$AK$2&lt;AA$2)*($T249:$AK249))))</f>
      </c>
      <c r="AT249" s="0">
        <f>MAX(0,MIN(AB249,BX249-SUMPRODUCT(($T$2:$AK$2&lt;AB$2)*($T249:$AK249))))</f>
      </c>
      <c r="AU249" s="0">
        <f>MAX(0,MIN(AC249,BX249-SUMPRODUCT(($T$2:$AK$2&lt;AC$2)*($T249:$AK249))))</f>
      </c>
      <c r="AV249" s="0">
        <f>MAX(0,MIN(AD249,BX249-SUMPRODUCT(($T$2:$AK$2&lt;AD$2)*($T249:$AK249))))</f>
      </c>
      <c r="AW249" s="0">
        <f>MAX(0,MIN(AE249,BX249-SUMPRODUCT(($T$2:$AK$2&lt;AE$2)*($T249:$AK249))))</f>
      </c>
      <c r="AX249" s="0">
        <f>MAX(0,MIN(AF249,BX249-SUMPRODUCT(($T$2:$AK$2&lt;AF$2)*($T249:$AK249))))</f>
      </c>
      <c r="AY249" s="0">
        <f>MAX(0,MIN(AG249,BX249-SUMPRODUCT(($T$2:$AK$2&lt;AG$2)*($T249:$AK249))))</f>
      </c>
      <c r="AZ249" s="0">
        <f>MAX(0,MIN(AH249,BX249-SUMPRODUCT(($T$2:$AK$2&lt;AH$2)*($T249:$AK249))))</f>
      </c>
      <c r="BA249" s="0">
        <f>MAX(0,MIN(AI249,BX249-SUMPRODUCT(($T$2:$AK$2&lt;AI$2)*($T249:$AK249))))</f>
      </c>
      <c r="BB249" s="0">
        <f>MAX(0,MIN(AJ249,BX249-SUMPRODUCT(($T$2:$AK$2&lt;AJ$2)*($T249:$AK249))))</f>
      </c>
      <c r="BC249" s="0">
        <f>MAX(0,MIN(AK249,BX249-SUMPRODUCT(($T$2:$AK$2&lt;AK$2)*($T249:$AK249))))</f>
      </c>
      <c r="BD249" s="0">
        <f>T249-AL249</f>
      </c>
      <c r="BE249" s="0">
        <f>U249-AM249</f>
      </c>
      <c r="BF249" s="0">
        <f>V249-AN249</f>
      </c>
      <c r="BG249" s="0">
        <f>W249-AO249</f>
      </c>
      <c r="BH249" s="0">
        <f>X249-AP249</f>
      </c>
      <c r="BI249" s="0">
        <f>Y249-AQ249</f>
      </c>
      <c r="BJ249" s="0">
        <f>Z249-AR249</f>
      </c>
      <c r="BK249" s="0">
        <f>AA249-AS249</f>
      </c>
      <c r="BL249" s="0">
        <f>AB249-AT249</f>
      </c>
      <c r="BM249" s="0">
        <f>AC249-AU249</f>
      </c>
      <c r="BN249" s="0">
        <f>AD249-AV249</f>
      </c>
      <c r="BO249" s="0">
        <f>AE249-AW249</f>
      </c>
      <c r="BP249" s="0">
        <f>AF249-AX249</f>
      </c>
      <c r="BQ249" s="0">
        <f>AG249-AY249</f>
      </c>
      <c r="BR249" s="0">
        <f>AH249-AZ249</f>
      </c>
      <c r="BS249" s="0">
        <f>AI249-BA249</f>
      </c>
      <c r="BT249" s="0">
        <f>AJ249-BB249</f>
      </c>
      <c r="BU249" s="0">
        <f>AK249-BC249</f>
      </c>
      <c r="BV249" s="0">
        <f>SUM(B249:S249)</f>
      </c>
      <c r="BW249" s="0">
        <f>SUM(T249:AK249)</f>
      </c>
      <c r="BX249" s="0">
        <f>MAX(0,(SUM(Calculator!$E$11:$E$28)+Calculator!$C$6)-BV249+BW249)</f>
      </c>
      <c r="BY249" s="0">
        <f>SUM(BD249:BU249)</f>
      </c>
      <c r="BZ249" s="0">
        <f>BV249-BY248</f>
      </c>
      <c r="CA249" s="0">
        <f>IF(A249&lt;=IF($CD$1=0,999,$CD$1),BY249,NA())</f>
      </c>
      <c r="CB249" s="0">
        <f>IF(A249&lt;=IF($CD$1=0,999,$CD$1),A249,NA())</f>
      </c>
    </row>
    <row r="250">
      <c r="A250" s="0">
        <v>247</v>
      </c>
      <c r="B250" s="0">
        <f>BD249*(1+Calculator!$D$11/100/12)</f>
      </c>
      <c r="C250" s="0">
        <f>BE249*(1+Calculator!$D$12/100/12)</f>
      </c>
      <c r="D250" s="0">
        <f>BF249*(1+Calculator!$D$13/100/12)</f>
      </c>
      <c r="E250" s="0">
        <f>BG249*(1+Calculator!$D$14/100/12)</f>
      </c>
      <c r="F250" s="0">
        <f>BH249*(1+Calculator!$D$15/100/12)</f>
      </c>
      <c r="G250" s="0">
        <f>BI249*(1+Calculator!$D$16/100/12)</f>
      </c>
      <c r="H250" s="0">
        <f>BJ249*(1+Calculator!$D$17/100/12)</f>
      </c>
      <c r="I250" s="0">
        <f>BK249*(1+Calculator!$D$18/100/12)</f>
      </c>
      <c r="J250" s="0">
        <f>BL249*(1+Calculator!$D$19/100/12)</f>
      </c>
      <c r="K250" s="0">
        <f>BM249*(1+Calculator!$D$20/100/12)</f>
      </c>
      <c r="L250" s="0">
        <f>BN249*(1+Calculator!$D$21/100/12)</f>
      </c>
      <c r="M250" s="0">
        <f>BO249*(1+Calculator!$D$22/100/12)</f>
      </c>
      <c r="N250" s="0">
        <f>BP249*(1+Calculator!$D$23/100/12)</f>
      </c>
      <c r="O250" s="0">
        <f>BQ249*(1+Calculator!$D$24/100/12)</f>
      </c>
      <c r="P250" s="0">
        <f>BR249*(1+Calculator!$D$25/100/12)</f>
      </c>
      <c r="Q250" s="0">
        <f>BS249*(1+Calculator!$D$26/100/12)</f>
      </c>
      <c r="R250" s="0">
        <f>BT249*(1+Calculator!$D$27/100/12)</f>
      </c>
      <c r="S250" s="0">
        <f>BU249*(1+Calculator!$D$28/100/12)</f>
      </c>
      <c r="T250" s="0">
        <f>MAX(0,B250-Calculator!$E$11)</f>
      </c>
      <c r="U250" s="0">
        <f>MAX(0,C250-Calculator!$E$12)</f>
      </c>
      <c r="V250" s="0">
        <f>MAX(0,D250-Calculator!$E$13)</f>
      </c>
      <c r="W250" s="0">
        <f>MAX(0,E250-Calculator!$E$14)</f>
      </c>
      <c r="X250" s="0">
        <f>MAX(0,F250-Calculator!$E$15)</f>
      </c>
      <c r="Y250" s="0">
        <f>MAX(0,G250-Calculator!$E$16)</f>
      </c>
      <c r="Z250" s="0">
        <f>MAX(0,H250-Calculator!$E$17)</f>
      </c>
      <c r="AA250" s="0">
        <f>MAX(0,I250-Calculator!$E$18)</f>
      </c>
      <c r="AB250" s="0">
        <f>MAX(0,J250-Calculator!$E$19)</f>
      </c>
      <c r="AC250" s="0">
        <f>MAX(0,K250-Calculator!$E$20)</f>
      </c>
      <c r="AD250" s="0">
        <f>MAX(0,L250-Calculator!$E$21)</f>
      </c>
      <c r="AE250" s="0">
        <f>MAX(0,M250-Calculator!$E$22)</f>
      </c>
      <c r="AF250" s="0">
        <f>MAX(0,N250-Calculator!$E$23)</f>
      </c>
      <c r="AG250" s="0">
        <f>MAX(0,O250-Calculator!$E$24)</f>
      </c>
      <c r="AH250" s="0">
        <f>MAX(0,P250-Calculator!$E$25)</f>
      </c>
      <c r="AI250" s="0">
        <f>MAX(0,Q250-Calculator!$E$26)</f>
      </c>
      <c r="AJ250" s="0">
        <f>MAX(0,R250-Calculator!$E$27)</f>
      </c>
      <c r="AK250" s="0">
        <f>MAX(0,S250-Calculator!$E$28)</f>
      </c>
      <c r="AL250" s="0">
        <f>MAX(0,MIN(T250,BX250-SUMPRODUCT(($T$2:$AK$2&lt;T$2)*($T250:$AK250))))</f>
      </c>
      <c r="AM250" s="0">
        <f>MAX(0,MIN(U250,BX250-SUMPRODUCT(($T$2:$AK$2&lt;U$2)*($T250:$AK250))))</f>
      </c>
      <c r="AN250" s="0">
        <f>MAX(0,MIN(V250,BX250-SUMPRODUCT(($T$2:$AK$2&lt;V$2)*($T250:$AK250))))</f>
      </c>
      <c r="AO250" s="0">
        <f>MAX(0,MIN(W250,BX250-SUMPRODUCT(($T$2:$AK$2&lt;W$2)*($T250:$AK250))))</f>
      </c>
      <c r="AP250" s="0">
        <f>MAX(0,MIN(X250,BX250-SUMPRODUCT(($T$2:$AK$2&lt;X$2)*($T250:$AK250))))</f>
      </c>
      <c r="AQ250" s="0">
        <f>MAX(0,MIN(Y250,BX250-SUMPRODUCT(($T$2:$AK$2&lt;Y$2)*($T250:$AK250))))</f>
      </c>
      <c r="AR250" s="0">
        <f>MAX(0,MIN(Z250,BX250-SUMPRODUCT(($T$2:$AK$2&lt;Z$2)*($T250:$AK250))))</f>
      </c>
      <c r="AS250" s="0">
        <f>MAX(0,MIN(AA250,BX250-SUMPRODUCT(($T$2:$AK$2&lt;AA$2)*($T250:$AK250))))</f>
      </c>
      <c r="AT250" s="0">
        <f>MAX(0,MIN(AB250,BX250-SUMPRODUCT(($T$2:$AK$2&lt;AB$2)*($T250:$AK250))))</f>
      </c>
      <c r="AU250" s="0">
        <f>MAX(0,MIN(AC250,BX250-SUMPRODUCT(($T$2:$AK$2&lt;AC$2)*($T250:$AK250))))</f>
      </c>
      <c r="AV250" s="0">
        <f>MAX(0,MIN(AD250,BX250-SUMPRODUCT(($T$2:$AK$2&lt;AD$2)*($T250:$AK250))))</f>
      </c>
      <c r="AW250" s="0">
        <f>MAX(0,MIN(AE250,BX250-SUMPRODUCT(($T$2:$AK$2&lt;AE$2)*($T250:$AK250))))</f>
      </c>
      <c r="AX250" s="0">
        <f>MAX(0,MIN(AF250,BX250-SUMPRODUCT(($T$2:$AK$2&lt;AF$2)*($T250:$AK250))))</f>
      </c>
      <c r="AY250" s="0">
        <f>MAX(0,MIN(AG250,BX250-SUMPRODUCT(($T$2:$AK$2&lt;AG$2)*($T250:$AK250))))</f>
      </c>
      <c r="AZ250" s="0">
        <f>MAX(0,MIN(AH250,BX250-SUMPRODUCT(($T$2:$AK$2&lt;AH$2)*($T250:$AK250))))</f>
      </c>
      <c r="BA250" s="0">
        <f>MAX(0,MIN(AI250,BX250-SUMPRODUCT(($T$2:$AK$2&lt;AI$2)*($T250:$AK250))))</f>
      </c>
      <c r="BB250" s="0">
        <f>MAX(0,MIN(AJ250,BX250-SUMPRODUCT(($T$2:$AK$2&lt;AJ$2)*($T250:$AK250))))</f>
      </c>
      <c r="BC250" s="0">
        <f>MAX(0,MIN(AK250,BX250-SUMPRODUCT(($T$2:$AK$2&lt;AK$2)*($T250:$AK250))))</f>
      </c>
      <c r="BD250" s="0">
        <f>T250-AL250</f>
      </c>
      <c r="BE250" s="0">
        <f>U250-AM250</f>
      </c>
      <c r="BF250" s="0">
        <f>V250-AN250</f>
      </c>
      <c r="BG250" s="0">
        <f>W250-AO250</f>
      </c>
      <c r="BH250" s="0">
        <f>X250-AP250</f>
      </c>
      <c r="BI250" s="0">
        <f>Y250-AQ250</f>
      </c>
      <c r="BJ250" s="0">
        <f>Z250-AR250</f>
      </c>
      <c r="BK250" s="0">
        <f>AA250-AS250</f>
      </c>
      <c r="BL250" s="0">
        <f>AB250-AT250</f>
      </c>
      <c r="BM250" s="0">
        <f>AC250-AU250</f>
      </c>
      <c r="BN250" s="0">
        <f>AD250-AV250</f>
      </c>
      <c r="BO250" s="0">
        <f>AE250-AW250</f>
      </c>
      <c r="BP250" s="0">
        <f>AF250-AX250</f>
      </c>
      <c r="BQ250" s="0">
        <f>AG250-AY250</f>
      </c>
      <c r="BR250" s="0">
        <f>AH250-AZ250</f>
      </c>
      <c r="BS250" s="0">
        <f>AI250-BA250</f>
      </c>
      <c r="BT250" s="0">
        <f>AJ250-BB250</f>
      </c>
      <c r="BU250" s="0">
        <f>AK250-BC250</f>
      </c>
      <c r="BV250" s="0">
        <f>SUM(B250:S250)</f>
      </c>
      <c r="BW250" s="0">
        <f>SUM(T250:AK250)</f>
      </c>
      <c r="BX250" s="0">
        <f>MAX(0,(SUM(Calculator!$E$11:$E$28)+Calculator!$C$6)-BV250+BW250)</f>
      </c>
      <c r="BY250" s="0">
        <f>SUM(BD250:BU250)</f>
      </c>
      <c r="BZ250" s="0">
        <f>BV250-BY249</f>
      </c>
      <c r="CA250" s="0">
        <f>IF(A250&lt;=IF($CD$1=0,999,$CD$1),BY250,NA())</f>
      </c>
      <c r="CB250" s="0">
        <f>IF(A250&lt;=IF($CD$1=0,999,$CD$1),A250,NA())</f>
      </c>
    </row>
    <row r="251">
      <c r="A251" s="0">
        <v>248</v>
      </c>
      <c r="B251" s="0">
        <f>BD250*(1+Calculator!$D$11/100/12)</f>
      </c>
      <c r="C251" s="0">
        <f>BE250*(1+Calculator!$D$12/100/12)</f>
      </c>
      <c r="D251" s="0">
        <f>BF250*(1+Calculator!$D$13/100/12)</f>
      </c>
      <c r="E251" s="0">
        <f>BG250*(1+Calculator!$D$14/100/12)</f>
      </c>
      <c r="F251" s="0">
        <f>BH250*(1+Calculator!$D$15/100/12)</f>
      </c>
      <c r="G251" s="0">
        <f>BI250*(1+Calculator!$D$16/100/12)</f>
      </c>
      <c r="H251" s="0">
        <f>BJ250*(1+Calculator!$D$17/100/12)</f>
      </c>
      <c r="I251" s="0">
        <f>BK250*(1+Calculator!$D$18/100/12)</f>
      </c>
      <c r="J251" s="0">
        <f>BL250*(1+Calculator!$D$19/100/12)</f>
      </c>
      <c r="K251" s="0">
        <f>BM250*(1+Calculator!$D$20/100/12)</f>
      </c>
      <c r="L251" s="0">
        <f>BN250*(1+Calculator!$D$21/100/12)</f>
      </c>
      <c r="M251" s="0">
        <f>BO250*(1+Calculator!$D$22/100/12)</f>
      </c>
      <c r="N251" s="0">
        <f>BP250*(1+Calculator!$D$23/100/12)</f>
      </c>
      <c r="O251" s="0">
        <f>BQ250*(1+Calculator!$D$24/100/12)</f>
      </c>
      <c r="P251" s="0">
        <f>BR250*(1+Calculator!$D$25/100/12)</f>
      </c>
      <c r="Q251" s="0">
        <f>BS250*(1+Calculator!$D$26/100/12)</f>
      </c>
      <c r="R251" s="0">
        <f>BT250*(1+Calculator!$D$27/100/12)</f>
      </c>
      <c r="S251" s="0">
        <f>BU250*(1+Calculator!$D$28/100/12)</f>
      </c>
      <c r="T251" s="0">
        <f>MAX(0,B251-Calculator!$E$11)</f>
      </c>
      <c r="U251" s="0">
        <f>MAX(0,C251-Calculator!$E$12)</f>
      </c>
      <c r="V251" s="0">
        <f>MAX(0,D251-Calculator!$E$13)</f>
      </c>
      <c r="W251" s="0">
        <f>MAX(0,E251-Calculator!$E$14)</f>
      </c>
      <c r="X251" s="0">
        <f>MAX(0,F251-Calculator!$E$15)</f>
      </c>
      <c r="Y251" s="0">
        <f>MAX(0,G251-Calculator!$E$16)</f>
      </c>
      <c r="Z251" s="0">
        <f>MAX(0,H251-Calculator!$E$17)</f>
      </c>
      <c r="AA251" s="0">
        <f>MAX(0,I251-Calculator!$E$18)</f>
      </c>
      <c r="AB251" s="0">
        <f>MAX(0,J251-Calculator!$E$19)</f>
      </c>
      <c r="AC251" s="0">
        <f>MAX(0,K251-Calculator!$E$20)</f>
      </c>
      <c r="AD251" s="0">
        <f>MAX(0,L251-Calculator!$E$21)</f>
      </c>
      <c r="AE251" s="0">
        <f>MAX(0,M251-Calculator!$E$22)</f>
      </c>
      <c r="AF251" s="0">
        <f>MAX(0,N251-Calculator!$E$23)</f>
      </c>
      <c r="AG251" s="0">
        <f>MAX(0,O251-Calculator!$E$24)</f>
      </c>
      <c r="AH251" s="0">
        <f>MAX(0,P251-Calculator!$E$25)</f>
      </c>
      <c r="AI251" s="0">
        <f>MAX(0,Q251-Calculator!$E$26)</f>
      </c>
      <c r="AJ251" s="0">
        <f>MAX(0,R251-Calculator!$E$27)</f>
      </c>
      <c r="AK251" s="0">
        <f>MAX(0,S251-Calculator!$E$28)</f>
      </c>
      <c r="AL251" s="0">
        <f>MAX(0,MIN(T251,BX251-SUMPRODUCT(($T$2:$AK$2&lt;T$2)*($T251:$AK251))))</f>
      </c>
      <c r="AM251" s="0">
        <f>MAX(0,MIN(U251,BX251-SUMPRODUCT(($T$2:$AK$2&lt;U$2)*($T251:$AK251))))</f>
      </c>
      <c r="AN251" s="0">
        <f>MAX(0,MIN(V251,BX251-SUMPRODUCT(($T$2:$AK$2&lt;V$2)*($T251:$AK251))))</f>
      </c>
      <c r="AO251" s="0">
        <f>MAX(0,MIN(W251,BX251-SUMPRODUCT(($T$2:$AK$2&lt;W$2)*($T251:$AK251))))</f>
      </c>
      <c r="AP251" s="0">
        <f>MAX(0,MIN(X251,BX251-SUMPRODUCT(($T$2:$AK$2&lt;X$2)*($T251:$AK251))))</f>
      </c>
      <c r="AQ251" s="0">
        <f>MAX(0,MIN(Y251,BX251-SUMPRODUCT(($T$2:$AK$2&lt;Y$2)*($T251:$AK251))))</f>
      </c>
      <c r="AR251" s="0">
        <f>MAX(0,MIN(Z251,BX251-SUMPRODUCT(($T$2:$AK$2&lt;Z$2)*($T251:$AK251))))</f>
      </c>
      <c r="AS251" s="0">
        <f>MAX(0,MIN(AA251,BX251-SUMPRODUCT(($T$2:$AK$2&lt;AA$2)*($T251:$AK251))))</f>
      </c>
      <c r="AT251" s="0">
        <f>MAX(0,MIN(AB251,BX251-SUMPRODUCT(($T$2:$AK$2&lt;AB$2)*($T251:$AK251))))</f>
      </c>
      <c r="AU251" s="0">
        <f>MAX(0,MIN(AC251,BX251-SUMPRODUCT(($T$2:$AK$2&lt;AC$2)*($T251:$AK251))))</f>
      </c>
      <c r="AV251" s="0">
        <f>MAX(0,MIN(AD251,BX251-SUMPRODUCT(($T$2:$AK$2&lt;AD$2)*($T251:$AK251))))</f>
      </c>
      <c r="AW251" s="0">
        <f>MAX(0,MIN(AE251,BX251-SUMPRODUCT(($T$2:$AK$2&lt;AE$2)*($T251:$AK251))))</f>
      </c>
      <c r="AX251" s="0">
        <f>MAX(0,MIN(AF251,BX251-SUMPRODUCT(($T$2:$AK$2&lt;AF$2)*($T251:$AK251))))</f>
      </c>
      <c r="AY251" s="0">
        <f>MAX(0,MIN(AG251,BX251-SUMPRODUCT(($T$2:$AK$2&lt;AG$2)*($T251:$AK251))))</f>
      </c>
      <c r="AZ251" s="0">
        <f>MAX(0,MIN(AH251,BX251-SUMPRODUCT(($T$2:$AK$2&lt;AH$2)*($T251:$AK251))))</f>
      </c>
      <c r="BA251" s="0">
        <f>MAX(0,MIN(AI251,BX251-SUMPRODUCT(($T$2:$AK$2&lt;AI$2)*($T251:$AK251))))</f>
      </c>
      <c r="BB251" s="0">
        <f>MAX(0,MIN(AJ251,BX251-SUMPRODUCT(($T$2:$AK$2&lt;AJ$2)*($T251:$AK251))))</f>
      </c>
      <c r="BC251" s="0">
        <f>MAX(0,MIN(AK251,BX251-SUMPRODUCT(($T$2:$AK$2&lt;AK$2)*($T251:$AK251))))</f>
      </c>
      <c r="BD251" s="0">
        <f>T251-AL251</f>
      </c>
      <c r="BE251" s="0">
        <f>U251-AM251</f>
      </c>
      <c r="BF251" s="0">
        <f>V251-AN251</f>
      </c>
      <c r="BG251" s="0">
        <f>W251-AO251</f>
      </c>
      <c r="BH251" s="0">
        <f>X251-AP251</f>
      </c>
      <c r="BI251" s="0">
        <f>Y251-AQ251</f>
      </c>
      <c r="BJ251" s="0">
        <f>Z251-AR251</f>
      </c>
      <c r="BK251" s="0">
        <f>AA251-AS251</f>
      </c>
      <c r="BL251" s="0">
        <f>AB251-AT251</f>
      </c>
      <c r="BM251" s="0">
        <f>AC251-AU251</f>
      </c>
      <c r="BN251" s="0">
        <f>AD251-AV251</f>
      </c>
      <c r="BO251" s="0">
        <f>AE251-AW251</f>
      </c>
      <c r="BP251" s="0">
        <f>AF251-AX251</f>
      </c>
      <c r="BQ251" s="0">
        <f>AG251-AY251</f>
      </c>
      <c r="BR251" s="0">
        <f>AH251-AZ251</f>
      </c>
      <c r="BS251" s="0">
        <f>AI251-BA251</f>
      </c>
      <c r="BT251" s="0">
        <f>AJ251-BB251</f>
      </c>
      <c r="BU251" s="0">
        <f>AK251-BC251</f>
      </c>
      <c r="BV251" s="0">
        <f>SUM(B251:S251)</f>
      </c>
      <c r="BW251" s="0">
        <f>SUM(T251:AK251)</f>
      </c>
      <c r="BX251" s="0">
        <f>MAX(0,(SUM(Calculator!$E$11:$E$28)+Calculator!$C$6)-BV251+BW251)</f>
      </c>
      <c r="BY251" s="0">
        <f>SUM(BD251:BU251)</f>
      </c>
      <c r="BZ251" s="0">
        <f>BV251-BY250</f>
      </c>
      <c r="CA251" s="0">
        <f>IF(A251&lt;=IF($CD$1=0,999,$CD$1),BY251,NA())</f>
      </c>
      <c r="CB251" s="0">
        <f>IF(A251&lt;=IF($CD$1=0,999,$CD$1),A251,NA())</f>
      </c>
    </row>
    <row r="252">
      <c r="A252" s="0">
        <v>249</v>
      </c>
      <c r="B252" s="0">
        <f>BD251*(1+Calculator!$D$11/100/12)</f>
      </c>
      <c r="C252" s="0">
        <f>BE251*(1+Calculator!$D$12/100/12)</f>
      </c>
      <c r="D252" s="0">
        <f>BF251*(1+Calculator!$D$13/100/12)</f>
      </c>
      <c r="E252" s="0">
        <f>BG251*(1+Calculator!$D$14/100/12)</f>
      </c>
      <c r="F252" s="0">
        <f>BH251*(1+Calculator!$D$15/100/12)</f>
      </c>
      <c r="G252" s="0">
        <f>BI251*(1+Calculator!$D$16/100/12)</f>
      </c>
      <c r="H252" s="0">
        <f>BJ251*(1+Calculator!$D$17/100/12)</f>
      </c>
      <c r="I252" s="0">
        <f>BK251*(1+Calculator!$D$18/100/12)</f>
      </c>
      <c r="J252" s="0">
        <f>BL251*(1+Calculator!$D$19/100/12)</f>
      </c>
      <c r="K252" s="0">
        <f>BM251*(1+Calculator!$D$20/100/12)</f>
      </c>
      <c r="L252" s="0">
        <f>BN251*(1+Calculator!$D$21/100/12)</f>
      </c>
      <c r="M252" s="0">
        <f>BO251*(1+Calculator!$D$22/100/12)</f>
      </c>
      <c r="N252" s="0">
        <f>BP251*(1+Calculator!$D$23/100/12)</f>
      </c>
      <c r="O252" s="0">
        <f>BQ251*(1+Calculator!$D$24/100/12)</f>
      </c>
      <c r="P252" s="0">
        <f>BR251*(1+Calculator!$D$25/100/12)</f>
      </c>
      <c r="Q252" s="0">
        <f>BS251*(1+Calculator!$D$26/100/12)</f>
      </c>
      <c r="R252" s="0">
        <f>BT251*(1+Calculator!$D$27/100/12)</f>
      </c>
      <c r="S252" s="0">
        <f>BU251*(1+Calculator!$D$28/100/12)</f>
      </c>
      <c r="T252" s="0">
        <f>MAX(0,B252-Calculator!$E$11)</f>
      </c>
      <c r="U252" s="0">
        <f>MAX(0,C252-Calculator!$E$12)</f>
      </c>
      <c r="V252" s="0">
        <f>MAX(0,D252-Calculator!$E$13)</f>
      </c>
      <c r="W252" s="0">
        <f>MAX(0,E252-Calculator!$E$14)</f>
      </c>
      <c r="X252" s="0">
        <f>MAX(0,F252-Calculator!$E$15)</f>
      </c>
      <c r="Y252" s="0">
        <f>MAX(0,G252-Calculator!$E$16)</f>
      </c>
      <c r="Z252" s="0">
        <f>MAX(0,H252-Calculator!$E$17)</f>
      </c>
      <c r="AA252" s="0">
        <f>MAX(0,I252-Calculator!$E$18)</f>
      </c>
      <c r="AB252" s="0">
        <f>MAX(0,J252-Calculator!$E$19)</f>
      </c>
      <c r="AC252" s="0">
        <f>MAX(0,K252-Calculator!$E$20)</f>
      </c>
      <c r="AD252" s="0">
        <f>MAX(0,L252-Calculator!$E$21)</f>
      </c>
      <c r="AE252" s="0">
        <f>MAX(0,M252-Calculator!$E$22)</f>
      </c>
      <c r="AF252" s="0">
        <f>MAX(0,N252-Calculator!$E$23)</f>
      </c>
      <c r="AG252" s="0">
        <f>MAX(0,O252-Calculator!$E$24)</f>
      </c>
      <c r="AH252" s="0">
        <f>MAX(0,P252-Calculator!$E$25)</f>
      </c>
      <c r="AI252" s="0">
        <f>MAX(0,Q252-Calculator!$E$26)</f>
      </c>
      <c r="AJ252" s="0">
        <f>MAX(0,R252-Calculator!$E$27)</f>
      </c>
      <c r="AK252" s="0">
        <f>MAX(0,S252-Calculator!$E$28)</f>
      </c>
      <c r="AL252" s="0">
        <f>MAX(0,MIN(T252,BX252-SUMPRODUCT(($T$2:$AK$2&lt;T$2)*($T252:$AK252))))</f>
      </c>
      <c r="AM252" s="0">
        <f>MAX(0,MIN(U252,BX252-SUMPRODUCT(($T$2:$AK$2&lt;U$2)*($T252:$AK252))))</f>
      </c>
      <c r="AN252" s="0">
        <f>MAX(0,MIN(V252,BX252-SUMPRODUCT(($T$2:$AK$2&lt;V$2)*($T252:$AK252))))</f>
      </c>
      <c r="AO252" s="0">
        <f>MAX(0,MIN(W252,BX252-SUMPRODUCT(($T$2:$AK$2&lt;W$2)*($T252:$AK252))))</f>
      </c>
      <c r="AP252" s="0">
        <f>MAX(0,MIN(X252,BX252-SUMPRODUCT(($T$2:$AK$2&lt;X$2)*($T252:$AK252))))</f>
      </c>
      <c r="AQ252" s="0">
        <f>MAX(0,MIN(Y252,BX252-SUMPRODUCT(($T$2:$AK$2&lt;Y$2)*($T252:$AK252))))</f>
      </c>
      <c r="AR252" s="0">
        <f>MAX(0,MIN(Z252,BX252-SUMPRODUCT(($T$2:$AK$2&lt;Z$2)*($T252:$AK252))))</f>
      </c>
      <c r="AS252" s="0">
        <f>MAX(0,MIN(AA252,BX252-SUMPRODUCT(($T$2:$AK$2&lt;AA$2)*($T252:$AK252))))</f>
      </c>
      <c r="AT252" s="0">
        <f>MAX(0,MIN(AB252,BX252-SUMPRODUCT(($T$2:$AK$2&lt;AB$2)*($T252:$AK252))))</f>
      </c>
      <c r="AU252" s="0">
        <f>MAX(0,MIN(AC252,BX252-SUMPRODUCT(($T$2:$AK$2&lt;AC$2)*($T252:$AK252))))</f>
      </c>
      <c r="AV252" s="0">
        <f>MAX(0,MIN(AD252,BX252-SUMPRODUCT(($T$2:$AK$2&lt;AD$2)*($T252:$AK252))))</f>
      </c>
      <c r="AW252" s="0">
        <f>MAX(0,MIN(AE252,BX252-SUMPRODUCT(($T$2:$AK$2&lt;AE$2)*($T252:$AK252))))</f>
      </c>
      <c r="AX252" s="0">
        <f>MAX(0,MIN(AF252,BX252-SUMPRODUCT(($T$2:$AK$2&lt;AF$2)*($T252:$AK252))))</f>
      </c>
      <c r="AY252" s="0">
        <f>MAX(0,MIN(AG252,BX252-SUMPRODUCT(($T$2:$AK$2&lt;AG$2)*($T252:$AK252))))</f>
      </c>
      <c r="AZ252" s="0">
        <f>MAX(0,MIN(AH252,BX252-SUMPRODUCT(($T$2:$AK$2&lt;AH$2)*($T252:$AK252))))</f>
      </c>
      <c r="BA252" s="0">
        <f>MAX(0,MIN(AI252,BX252-SUMPRODUCT(($T$2:$AK$2&lt;AI$2)*($T252:$AK252))))</f>
      </c>
      <c r="BB252" s="0">
        <f>MAX(0,MIN(AJ252,BX252-SUMPRODUCT(($T$2:$AK$2&lt;AJ$2)*($T252:$AK252))))</f>
      </c>
      <c r="BC252" s="0">
        <f>MAX(0,MIN(AK252,BX252-SUMPRODUCT(($T$2:$AK$2&lt;AK$2)*($T252:$AK252))))</f>
      </c>
      <c r="BD252" s="0">
        <f>T252-AL252</f>
      </c>
      <c r="BE252" s="0">
        <f>U252-AM252</f>
      </c>
      <c r="BF252" s="0">
        <f>V252-AN252</f>
      </c>
      <c r="BG252" s="0">
        <f>W252-AO252</f>
      </c>
      <c r="BH252" s="0">
        <f>X252-AP252</f>
      </c>
      <c r="BI252" s="0">
        <f>Y252-AQ252</f>
      </c>
      <c r="BJ252" s="0">
        <f>Z252-AR252</f>
      </c>
      <c r="BK252" s="0">
        <f>AA252-AS252</f>
      </c>
      <c r="BL252" s="0">
        <f>AB252-AT252</f>
      </c>
      <c r="BM252" s="0">
        <f>AC252-AU252</f>
      </c>
      <c r="BN252" s="0">
        <f>AD252-AV252</f>
      </c>
      <c r="BO252" s="0">
        <f>AE252-AW252</f>
      </c>
      <c r="BP252" s="0">
        <f>AF252-AX252</f>
      </c>
      <c r="BQ252" s="0">
        <f>AG252-AY252</f>
      </c>
      <c r="BR252" s="0">
        <f>AH252-AZ252</f>
      </c>
      <c r="BS252" s="0">
        <f>AI252-BA252</f>
      </c>
      <c r="BT252" s="0">
        <f>AJ252-BB252</f>
      </c>
      <c r="BU252" s="0">
        <f>AK252-BC252</f>
      </c>
      <c r="BV252" s="0">
        <f>SUM(B252:S252)</f>
      </c>
      <c r="BW252" s="0">
        <f>SUM(T252:AK252)</f>
      </c>
      <c r="BX252" s="0">
        <f>MAX(0,(SUM(Calculator!$E$11:$E$28)+Calculator!$C$6)-BV252+BW252)</f>
      </c>
      <c r="BY252" s="0">
        <f>SUM(BD252:BU252)</f>
      </c>
      <c r="BZ252" s="0">
        <f>BV252-BY251</f>
      </c>
      <c r="CA252" s="0">
        <f>IF(A252&lt;=IF($CD$1=0,999,$CD$1),BY252,NA())</f>
      </c>
      <c r="CB252" s="0">
        <f>IF(A252&lt;=IF($CD$1=0,999,$CD$1),A252,NA())</f>
      </c>
    </row>
    <row r="253">
      <c r="A253" s="0">
        <v>250</v>
      </c>
      <c r="B253" s="0">
        <f>BD252*(1+Calculator!$D$11/100/12)</f>
      </c>
      <c r="C253" s="0">
        <f>BE252*(1+Calculator!$D$12/100/12)</f>
      </c>
      <c r="D253" s="0">
        <f>BF252*(1+Calculator!$D$13/100/12)</f>
      </c>
      <c r="E253" s="0">
        <f>BG252*(1+Calculator!$D$14/100/12)</f>
      </c>
      <c r="F253" s="0">
        <f>BH252*(1+Calculator!$D$15/100/12)</f>
      </c>
      <c r="G253" s="0">
        <f>BI252*(1+Calculator!$D$16/100/12)</f>
      </c>
      <c r="H253" s="0">
        <f>BJ252*(1+Calculator!$D$17/100/12)</f>
      </c>
      <c r="I253" s="0">
        <f>BK252*(1+Calculator!$D$18/100/12)</f>
      </c>
      <c r="J253" s="0">
        <f>BL252*(1+Calculator!$D$19/100/12)</f>
      </c>
      <c r="K253" s="0">
        <f>BM252*(1+Calculator!$D$20/100/12)</f>
      </c>
      <c r="L253" s="0">
        <f>BN252*(1+Calculator!$D$21/100/12)</f>
      </c>
      <c r="M253" s="0">
        <f>BO252*(1+Calculator!$D$22/100/12)</f>
      </c>
      <c r="N253" s="0">
        <f>BP252*(1+Calculator!$D$23/100/12)</f>
      </c>
      <c r="O253" s="0">
        <f>BQ252*(1+Calculator!$D$24/100/12)</f>
      </c>
      <c r="P253" s="0">
        <f>BR252*(1+Calculator!$D$25/100/12)</f>
      </c>
      <c r="Q253" s="0">
        <f>BS252*(1+Calculator!$D$26/100/12)</f>
      </c>
      <c r="R253" s="0">
        <f>BT252*(1+Calculator!$D$27/100/12)</f>
      </c>
      <c r="S253" s="0">
        <f>BU252*(1+Calculator!$D$28/100/12)</f>
      </c>
      <c r="T253" s="0">
        <f>MAX(0,B253-Calculator!$E$11)</f>
      </c>
      <c r="U253" s="0">
        <f>MAX(0,C253-Calculator!$E$12)</f>
      </c>
      <c r="V253" s="0">
        <f>MAX(0,D253-Calculator!$E$13)</f>
      </c>
      <c r="W253" s="0">
        <f>MAX(0,E253-Calculator!$E$14)</f>
      </c>
      <c r="X253" s="0">
        <f>MAX(0,F253-Calculator!$E$15)</f>
      </c>
      <c r="Y253" s="0">
        <f>MAX(0,G253-Calculator!$E$16)</f>
      </c>
      <c r="Z253" s="0">
        <f>MAX(0,H253-Calculator!$E$17)</f>
      </c>
      <c r="AA253" s="0">
        <f>MAX(0,I253-Calculator!$E$18)</f>
      </c>
      <c r="AB253" s="0">
        <f>MAX(0,J253-Calculator!$E$19)</f>
      </c>
      <c r="AC253" s="0">
        <f>MAX(0,K253-Calculator!$E$20)</f>
      </c>
      <c r="AD253" s="0">
        <f>MAX(0,L253-Calculator!$E$21)</f>
      </c>
      <c r="AE253" s="0">
        <f>MAX(0,M253-Calculator!$E$22)</f>
      </c>
      <c r="AF253" s="0">
        <f>MAX(0,N253-Calculator!$E$23)</f>
      </c>
      <c r="AG253" s="0">
        <f>MAX(0,O253-Calculator!$E$24)</f>
      </c>
      <c r="AH253" s="0">
        <f>MAX(0,P253-Calculator!$E$25)</f>
      </c>
      <c r="AI253" s="0">
        <f>MAX(0,Q253-Calculator!$E$26)</f>
      </c>
      <c r="AJ253" s="0">
        <f>MAX(0,R253-Calculator!$E$27)</f>
      </c>
      <c r="AK253" s="0">
        <f>MAX(0,S253-Calculator!$E$28)</f>
      </c>
      <c r="AL253" s="0">
        <f>MAX(0,MIN(T253,BX253-SUMPRODUCT(($T$2:$AK$2&lt;T$2)*($T253:$AK253))))</f>
      </c>
      <c r="AM253" s="0">
        <f>MAX(0,MIN(U253,BX253-SUMPRODUCT(($T$2:$AK$2&lt;U$2)*($T253:$AK253))))</f>
      </c>
      <c r="AN253" s="0">
        <f>MAX(0,MIN(V253,BX253-SUMPRODUCT(($T$2:$AK$2&lt;V$2)*($T253:$AK253))))</f>
      </c>
      <c r="AO253" s="0">
        <f>MAX(0,MIN(W253,BX253-SUMPRODUCT(($T$2:$AK$2&lt;W$2)*($T253:$AK253))))</f>
      </c>
      <c r="AP253" s="0">
        <f>MAX(0,MIN(X253,BX253-SUMPRODUCT(($T$2:$AK$2&lt;X$2)*($T253:$AK253))))</f>
      </c>
      <c r="AQ253" s="0">
        <f>MAX(0,MIN(Y253,BX253-SUMPRODUCT(($T$2:$AK$2&lt;Y$2)*($T253:$AK253))))</f>
      </c>
      <c r="AR253" s="0">
        <f>MAX(0,MIN(Z253,BX253-SUMPRODUCT(($T$2:$AK$2&lt;Z$2)*($T253:$AK253))))</f>
      </c>
      <c r="AS253" s="0">
        <f>MAX(0,MIN(AA253,BX253-SUMPRODUCT(($T$2:$AK$2&lt;AA$2)*($T253:$AK253))))</f>
      </c>
      <c r="AT253" s="0">
        <f>MAX(0,MIN(AB253,BX253-SUMPRODUCT(($T$2:$AK$2&lt;AB$2)*($T253:$AK253))))</f>
      </c>
      <c r="AU253" s="0">
        <f>MAX(0,MIN(AC253,BX253-SUMPRODUCT(($T$2:$AK$2&lt;AC$2)*($T253:$AK253))))</f>
      </c>
      <c r="AV253" s="0">
        <f>MAX(0,MIN(AD253,BX253-SUMPRODUCT(($T$2:$AK$2&lt;AD$2)*($T253:$AK253))))</f>
      </c>
      <c r="AW253" s="0">
        <f>MAX(0,MIN(AE253,BX253-SUMPRODUCT(($T$2:$AK$2&lt;AE$2)*($T253:$AK253))))</f>
      </c>
      <c r="AX253" s="0">
        <f>MAX(0,MIN(AF253,BX253-SUMPRODUCT(($T$2:$AK$2&lt;AF$2)*($T253:$AK253))))</f>
      </c>
      <c r="AY253" s="0">
        <f>MAX(0,MIN(AG253,BX253-SUMPRODUCT(($T$2:$AK$2&lt;AG$2)*($T253:$AK253))))</f>
      </c>
      <c r="AZ253" s="0">
        <f>MAX(0,MIN(AH253,BX253-SUMPRODUCT(($T$2:$AK$2&lt;AH$2)*($T253:$AK253))))</f>
      </c>
      <c r="BA253" s="0">
        <f>MAX(0,MIN(AI253,BX253-SUMPRODUCT(($T$2:$AK$2&lt;AI$2)*($T253:$AK253))))</f>
      </c>
      <c r="BB253" s="0">
        <f>MAX(0,MIN(AJ253,BX253-SUMPRODUCT(($T$2:$AK$2&lt;AJ$2)*($T253:$AK253))))</f>
      </c>
      <c r="BC253" s="0">
        <f>MAX(0,MIN(AK253,BX253-SUMPRODUCT(($T$2:$AK$2&lt;AK$2)*($T253:$AK253))))</f>
      </c>
      <c r="BD253" s="0">
        <f>T253-AL253</f>
      </c>
      <c r="BE253" s="0">
        <f>U253-AM253</f>
      </c>
      <c r="BF253" s="0">
        <f>V253-AN253</f>
      </c>
      <c r="BG253" s="0">
        <f>W253-AO253</f>
      </c>
      <c r="BH253" s="0">
        <f>X253-AP253</f>
      </c>
      <c r="BI253" s="0">
        <f>Y253-AQ253</f>
      </c>
      <c r="BJ253" s="0">
        <f>Z253-AR253</f>
      </c>
      <c r="BK253" s="0">
        <f>AA253-AS253</f>
      </c>
      <c r="BL253" s="0">
        <f>AB253-AT253</f>
      </c>
      <c r="BM253" s="0">
        <f>AC253-AU253</f>
      </c>
      <c r="BN253" s="0">
        <f>AD253-AV253</f>
      </c>
      <c r="BO253" s="0">
        <f>AE253-AW253</f>
      </c>
      <c r="BP253" s="0">
        <f>AF253-AX253</f>
      </c>
      <c r="BQ253" s="0">
        <f>AG253-AY253</f>
      </c>
      <c r="BR253" s="0">
        <f>AH253-AZ253</f>
      </c>
      <c r="BS253" s="0">
        <f>AI253-BA253</f>
      </c>
      <c r="BT253" s="0">
        <f>AJ253-BB253</f>
      </c>
      <c r="BU253" s="0">
        <f>AK253-BC253</f>
      </c>
      <c r="BV253" s="0">
        <f>SUM(B253:S253)</f>
      </c>
      <c r="BW253" s="0">
        <f>SUM(T253:AK253)</f>
      </c>
      <c r="BX253" s="0">
        <f>MAX(0,(SUM(Calculator!$E$11:$E$28)+Calculator!$C$6)-BV253+BW253)</f>
      </c>
      <c r="BY253" s="0">
        <f>SUM(BD253:BU253)</f>
      </c>
      <c r="BZ253" s="0">
        <f>BV253-BY252</f>
      </c>
      <c r="CA253" s="0">
        <f>IF(A253&lt;=IF($CD$1=0,999,$CD$1),BY253,NA())</f>
      </c>
      <c r="CB253" s="0">
        <f>IF(A253&lt;=IF($CD$1=0,999,$CD$1),A253,NA())</f>
      </c>
    </row>
    <row r="254">
      <c r="A254" s="0">
        <v>251</v>
      </c>
      <c r="B254" s="0">
        <f>BD253*(1+Calculator!$D$11/100/12)</f>
      </c>
      <c r="C254" s="0">
        <f>BE253*(1+Calculator!$D$12/100/12)</f>
      </c>
      <c r="D254" s="0">
        <f>BF253*(1+Calculator!$D$13/100/12)</f>
      </c>
      <c r="E254" s="0">
        <f>BG253*(1+Calculator!$D$14/100/12)</f>
      </c>
      <c r="F254" s="0">
        <f>BH253*(1+Calculator!$D$15/100/12)</f>
      </c>
      <c r="G254" s="0">
        <f>BI253*(1+Calculator!$D$16/100/12)</f>
      </c>
      <c r="H254" s="0">
        <f>BJ253*(1+Calculator!$D$17/100/12)</f>
      </c>
      <c r="I254" s="0">
        <f>BK253*(1+Calculator!$D$18/100/12)</f>
      </c>
      <c r="J254" s="0">
        <f>BL253*(1+Calculator!$D$19/100/12)</f>
      </c>
      <c r="K254" s="0">
        <f>BM253*(1+Calculator!$D$20/100/12)</f>
      </c>
      <c r="L254" s="0">
        <f>BN253*(1+Calculator!$D$21/100/12)</f>
      </c>
      <c r="M254" s="0">
        <f>BO253*(1+Calculator!$D$22/100/12)</f>
      </c>
      <c r="N254" s="0">
        <f>BP253*(1+Calculator!$D$23/100/12)</f>
      </c>
      <c r="O254" s="0">
        <f>BQ253*(1+Calculator!$D$24/100/12)</f>
      </c>
      <c r="P254" s="0">
        <f>BR253*(1+Calculator!$D$25/100/12)</f>
      </c>
      <c r="Q254" s="0">
        <f>BS253*(1+Calculator!$D$26/100/12)</f>
      </c>
      <c r="R254" s="0">
        <f>BT253*(1+Calculator!$D$27/100/12)</f>
      </c>
      <c r="S254" s="0">
        <f>BU253*(1+Calculator!$D$28/100/12)</f>
      </c>
      <c r="T254" s="0">
        <f>MAX(0,B254-Calculator!$E$11)</f>
      </c>
      <c r="U254" s="0">
        <f>MAX(0,C254-Calculator!$E$12)</f>
      </c>
      <c r="V254" s="0">
        <f>MAX(0,D254-Calculator!$E$13)</f>
      </c>
      <c r="W254" s="0">
        <f>MAX(0,E254-Calculator!$E$14)</f>
      </c>
      <c r="X254" s="0">
        <f>MAX(0,F254-Calculator!$E$15)</f>
      </c>
      <c r="Y254" s="0">
        <f>MAX(0,G254-Calculator!$E$16)</f>
      </c>
      <c r="Z254" s="0">
        <f>MAX(0,H254-Calculator!$E$17)</f>
      </c>
      <c r="AA254" s="0">
        <f>MAX(0,I254-Calculator!$E$18)</f>
      </c>
      <c r="AB254" s="0">
        <f>MAX(0,J254-Calculator!$E$19)</f>
      </c>
      <c r="AC254" s="0">
        <f>MAX(0,K254-Calculator!$E$20)</f>
      </c>
      <c r="AD254" s="0">
        <f>MAX(0,L254-Calculator!$E$21)</f>
      </c>
      <c r="AE254" s="0">
        <f>MAX(0,M254-Calculator!$E$22)</f>
      </c>
      <c r="AF254" s="0">
        <f>MAX(0,N254-Calculator!$E$23)</f>
      </c>
      <c r="AG254" s="0">
        <f>MAX(0,O254-Calculator!$E$24)</f>
      </c>
      <c r="AH254" s="0">
        <f>MAX(0,P254-Calculator!$E$25)</f>
      </c>
      <c r="AI254" s="0">
        <f>MAX(0,Q254-Calculator!$E$26)</f>
      </c>
      <c r="AJ254" s="0">
        <f>MAX(0,R254-Calculator!$E$27)</f>
      </c>
      <c r="AK254" s="0">
        <f>MAX(0,S254-Calculator!$E$28)</f>
      </c>
      <c r="AL254" s="0">
        <f>MAX(0,MIN(T254,BX254-SUMPRODUCT(($T$2:$AK$2&lt;T$2)*($T254:$AK254))))</f>
      </c>
      <c r="AM254" s="0">
        <f>MAX(0,MIN(U254,BX254-SUMPRODUCT(($T$2:$AK$2&lt;U$2)*($T254:$AK254))))</f>
      </c>
      <c r="AN254" s="0">
        <f>MAX(0,MIN(V254,BX254-SUMPRODUCT(($T$2:$AK$2&lt;V$2)*($T254:$AK254))))</f>
      </c>
      <c r="AO254" s="0">
        <f>MAX(0,MIN(W254,BX254-SUMPRODUCT(($T$2:$AK$2&lt;W$2)*($T254:$AK254))))</f>
      </c>
      <c r="AP254" s="0">
        <f>MAX(0,MIN(X254,BX254-SUMPRODUCT(($T$2:$AK$2&lt;X$2)*($T254:$AK254))))</f>
      </c>
      <c r="AQ254" s="0">
        <f>MAX(0,MIN(Y254,BX254-SUMPRODUCT(($T$2:$AK$2&lt;Y$2)*($T254:$AK254))))</f>
      </c>
      <c r="AR254" s="0">
        <f>MAX(0,MIN(Z254,BX254-SUMPRODUCT(($T$2:$AK$2&lt;Z$2)*($T254:$AK254))))</f>
      </c>
      <c r="AS254" s="0">
        <f>MAX(0,MIN(AA254,BX254-SUMPRODUCT(($T$2:$AK$2&lt;AA$2)*($T254:$AK254))))</f>
      </c>
      <c r="AT254" s="0">
        <f>MAX(0,MIN(AB254,BX254-SUMPRODUCT(($T$2:$AK$2&lt;AB$2)*($T254:$AK254))))</f>
      </c>
      <c r="AU254" s="0">
        <f>MAX(0,MIN(AC254,BX254-SUMPRODUCT(($T$2:$AK$2&lt;AC$2)*($T254:$AK254))))</f>
      </c>
      <c r="AV254" s="0">
        <f>MAX(0,MIN(AD254,BX254-SUMPRODUCT(($T$2:$AK$2&lt;AD$2)*($T254:$AK254))))</f>
      </c>
      <c r="AW254" s="0">
        <f>MAX(0,MIN(AE254,BX254-SUMPRODUCT(($T$2:$AK$2&lt;AE$2)*($T254:$AK254))))</f>
      </c>
      <c r="AX254" s="0">
        <f>MAX(0,MIN(AF254,BX254-SUMPRODUCT(($T$2:$AK$2&lt;AF$2)*($T254:$AK254))))</f>
      </c>
      <c r="AY254" s="0">
        <f>MAX(0,MIN(AG254,BX254-SUMPRODUCT(($T$2:$AK$2&lt;AG$2)*($T254:$AK254))))</f>
      </c>
      <c r="AZ254" s="0">
        <f>MAX(0,MIN(AH254,BX254-SUMPRODUCT(($T$2:$AK$2&lt;AH$2)*($T254:$AK254))))</f>
      </c>
      <c r="BA254" s="0">
        <f>MAX(0,MIN(AI254,BX254-SUMPRODUCT(($T$2:$AK$2&lt;AI$2)*($T254:$AK254))))</f>
      </c>
      <c r="BB254" s="0">
        <f>MAX(0,MIN(AJ254,BX254-SUMPRODUCT(($T$2:$AK$2&lt;AJ$2)*($T254:$AK254))))</f>
      </c>
      <c r="BC254" s="0">
        <f>MAX(0,MIN(AK254,BX254-SUMPRODUCT(($T$2:$AK$2&lt;AK$2)*($T254:$AK254))))</f>
      </c>
      <c r="BD254" s="0">
        <f>T254-AL254</f>
      </c>
      <c r="BE254" s="0">
        <f>U254-AM254</f>
      </c>
      <c r="BF254" s="0">
        <f>V254-AN254</f>
      </c>
      <c r="BG254" s="0">
        <f>W254-AO254</f>
      </c>
      <c r="BH254" s="0">
        <f>X254-AP254</f>
      </c>
      <c r="BI254" s="0">
        <f>Y254-AQ254</f>
      </c>
      <c r="BJ254" s="0">
        <f>Z254-AR254</f>
      </c>
      <c r="BK254" s="0">
        <f>AA254-AS254</f>
      </c>
      <c r="BL254" s="0">
        <f>AB254-AT254</f>
      </c>
      <c r="BM254" s="0">
        <f>AC254-AU254</f>
      </c>
      <c r="BN254" s="0">
        <f>AD254-AV254</f>
      </c>
      <c r="BO254" s="0">
        <f>AE254-AW254</f>
      </c>
      <c r="BP254" s="0">
        <f>AF254-AX254</f>
      </c>
      <c r="BQ254" s="0">
        <f>AG254-AY254</f>
      </c>
      <c r="BR254" s="0">
        <f>AH254-AZ254</f>
      </c>
      <c r="BS254" s="0">
        <f>AI254-BA254</f>
      </c>
      <c r="BT254" s="0">
        <f>AJ254-BB254</f>
      </c>
      <c r="BU254" s="0">
        <f>AK254-BC254</f>
      </c>
      <c r="BV254" s="0">
        <f>SUM(B254:S254)</f>
      </c>
      <c r="BW254" s="0">
        <f>SUM(T254:AK254)</f>
      </c>
      <c r="BX254" s="0">
        <f>MAX(0,(SUM(Calculator!$E$11:$E$28)+Calculator!$C$6)-BV254+BW254)</f>
      </c>
      <c r="BY254" s="0">
        <f>SUM(BD254:BU254)</f>
      </c>
      <c r="BZ254" s="0">
        <f>BV254-BY253</f>
      </c>
      <c r="CA254" s="0">
        <f>IF(A254&lt;=IF($CD$1=0,999,$CD$1),BY254,NA())</f>
      </c>
      <c r="CB254" s="0">
        <f>IF(A254&lt;=IF($CD$1=0,999,$CD$1),A254,NA())</f>
      </c>
    </row>
    <row r="255">
      <c r="A255" s="0">
        <v>252</v>
      </c>
      <c r="B255" s="0">
        <f>BD254*(1+Calculator!$D$11/100/12)</f>
      </c>
      <c r="C255" s="0">
        <f>BE254*(1+Calculator!$D$12/100/12)</f>
      </c>
      <c r="D255" s="0">
        <f>BF254*(1+Calculator!$D$13/100/12)</f>
      </c>
      <c r="E255" s="0">
        <f>BG254*(1+Calculator!$D$14/100/12)</f>
      </c>
      <c r="F255" s="0">
        <f>BH254*(1+Calculator!$D$15/100/12)</f>
      </c>
      <c r="G255" s="0">
        <f>BI254*(1+Calculator!$D$16/100/12)</f>
      </c>
      <c r="H255" s="0">
        <f>BJ254*(1+Calculator!$D$17/100/12)</f>
      </c>
      <c r="I255" s="0">
        <f>BK254*(1+Calculator!$D$18/100/12)</f>
      </c>
      <c r="J255" s="0">
        <f>BL254*(1+Calculator!$D$19/100/12)</f>
      </c>
      <c r="K255" s="0">
        <f>BM254*(1+Calculator!$D$20/100/12)</f>
      </c>
      <c r="L255" s="0">
        <f>BN254*(1+Calculator!$D$21/100/12)</f>
      </c>
      <c r="M255" s="0">
        <f>BO254*(1+Calculator!$D$22/100/12)</f>
      </c>
      <c r="N255" s="0">
        <f>BP254*(1+Calculator!$D$23/100/12)</f>
      </c>
      <c r="O255" s="0">
        <f>BQ254*(1+Calculator!$D$24/100/12)</f>
      </c>
      <c r="P255" s="0">
        <f>BR254*(1+Calculator!$D$25/100/12)</f>
      </c>
      <c r="Q255" s="0">
        <f>BS254*(1+Calculator!$D$26/100/12)</f>
      </c>
      <c r="R255" s="0">
        <f>BT254*(1+Calculator!$D$27/100/12)</f>
      </c>
      <c r="S255" s="0">
        <f>BU254*(1+Calculator!$D$28/100/12)</f>
      </c>
      <c r="T255" s="0">
        <f>MAX(0,B255-Calculator!$E$11)</f>
      </c>
      <c r="U255" s="0">
        <f>MAX(0,C255-Calculator!$E$12)</f>
      </c>
      <c r="V255" s="0">
        <f>MAX(0,D255-Calculator!$E$13)</f>
      </c>
      <c r="W255" s="0">
        <f>MAX(0,E255-Calculator!$E$14)</f>
      </c>
      <c r="X255" s="0">
        <f>MAX(0,F255-Calculator!$E$15)</f>
      </c>
      <c r="Y255" s="0">
        <f>MAX(0,G255-Calculator!$E$16)</f>
      </c>
      <c r="Z255" s="0">
        <f>MAX(0,H255-Calculator!$E$17)</f>
      </c>
      <c r="AA255" s="0">
        <f>MAX(0,I255-Calculator!$E$18)</f>
      </c>
      <c r="AB255" s="0">
        <f>MAX(0,J255-Calculator!$E$19)</f>
      </c>
      <c r="AC255" s="0">
        <f>MAX(0,K255-Calculator!$E$20)</f>
      </c>
      <c r="AD255" s="0">
        <f>MAX(0,L255-Calculator!$E$21)</f>
      </c>
      <c r="AE255" s="0">
        <f>MAX(0,M255-Calculator!$E$22)</f>
      </c>
      <c r="AF255" s="0">
        <f>MAX(0,N255-Calculator!$E$23)</f>
      </c>
      <c r="AG255" s="0">
        <f>MAX(0,O255-Calculator!$E$24)</f>
      </c>
      <c r="AH255" s="0">
        <f>MAX(0,P255-Calculator!$E$25)</f>
      </c>
      <c r="AI255" s="0">
        <f>MAX(0,Q255-Calculator!$E$26)</f>
      </c>
      <c r="AJ255" s="0">
        <f>MAX(0,R255-Calculator!$E$27)</f>
      </c>
      <c r="AK255" s="0">
        <f>MAX(0,S255-Calculator!$E$28)</f>
      </c>
      <c r="AL255" s="0">
        <f>MAX(0,MIN(T255,BX255-SUMPRODUCT(($T$2:$AK$2&lt;T$2)*($T255:$AK255))))</f>
      </c>
      <c r="AM255" s="0">
        <f>MAX(0,MIN(U255,BX255-SUMPRODUCT(($T$2:$AK$2&lt;U$2)*($T255:$AK255))))</f>
      </c>
      <c r="AN255" s="0">
        <f>MAX(0,MIN(V255,BX255-SUMPRODUCT(($T$2:$AK$2&lt;V$2)*($T255:$AK255))))</f>
      </c>
      <c r="AO255" s="0">
        <f>MAX(0,MIN(W255,BX255-SUMPRODUCT(($T$2:$AK$2&lt;W$2)*($T255:$AK255))))</f>
      </c>
      <c r="AP255" s="0">
        <f>MAX(0,MIN(X255,BX255-SUMPRODUCT(($T$2:$AK$2&lt;X$2)*($T255:$AK255))))</f>
      </c>
      <c r="AQ255" s="0">
        <f>MAX(0,MIN(Y255,BX255-SUMPRODUCT(($T$2:$AK$2&lt;Y$2)*($T255:$AK255))))</f>
      </c>
      <c r="AR255" s="0">
        <f>MAX(0,MIN(Z255,BX255-SUMPRODUCT(($T$2:$AK$2&lt;Z$2)*($T255:$AK255))))</f>
      </c>
      <c r="AS255" s="0">
        <f>MAX(0,MIN(AA255,BX255-SUMPRODUCT(($T$2:$AK$2&lt;AA$2)*($T255:$AK255))))</f>
      </c>
      <c r="AT255" s="0">
        <f>MAX(0,MIN(AB255,BX255-SUMPRODUCT(($T$2:$AK$2&lt;AB$2)*($T255:$AK255))))</f>
      </c>
      <c r="AU255" s="0">
        <f>MAX(0,MIN(AC255,BX255-SUMPRODUCT(($T$2:$AK$2&lt;AC$2)*($T255:$AK255))))</f>
      </c>
      <c r="AV255" s="0">
        <f>MAX(0,MIN(AD255,BX255-SUMPRODUCT(($T$2:$AK$2&lt;AD$2)*($T255:$AK255))))</f>
      </c>
      <c r="AW255" s="0">
        <f>MAX(0,MIN(AE255,BX255-SUMPRODUCT(($T$2:$AK$2&lt;AE$2)*($T255:$AK255))))</f>
      </c>
      <c r="AX255" s="0">
        <f>MAX(0,MIN(AF255,BX255-SUMPRODUCT(($T$2:$AK$2&lt;AF$2)*($T255:$AK255))))</f>
      </c>
      <c r="AY255" s="0">
        <f>MAX(0,MIN(AG255,BX255-SUMPRODUCT(($T$2:$AK$2&lt;AG$2)*($T255:$AK255))))</f>
      </c>
      <c r="AZ255" s="0">
        <f>MAX(0,MIN(AH255,BX255-SUMPRODUCT(($T$2:$AK$2&lt;AH$2)*($T255:$AK255))))</f>
      </c>
      <c r="BA255" s="0">
        <f>MAX(0,MIN(AI255,BX255-SUMPRODUCT(($T$2:$AK$2&lt;AI$2)*($T255:$AK255))))</f>
      </c>
      <c r="BB255" s="0">
        <f>MAX(0,MIN(AJ255,BX255-SUMPRODUCT(($T$2:$AK$2&lt;AJ$2)*($T255:$AK255))))</f>
      </c>
      <c r="BC255" s="0">
        <f>MAX(0,MIN(AK255,BX255-SUMPRODUCT(($T$2:$AK$2&lt;AK$2)*($T255:$AK255))))</f>
      </c>
      <c r="BD255" s="0">
        <f>T255-AL255</f>
      </c>
      <c r="BE255" s="0">
        <f>U255-AM255</f>
      </c>
      <c r="BF255" s="0">
        <f>V255-AN255</f>
      </c>
      <c r="BG255" s="0">
        <f>W255-AO255</f>
      </c>
      <c r="BH255" s="0">
        <f>X255-AP255</f>
      </c>
      <c r="BI255" s="0">
        <f>Y255-AQ255</f>
      </c>
      <c r="BJ255" s="0">
        <f>Z255-AR255</f>
      </c>
      <c r="BK255" s="0">
        <f>AA255-AS255</f>
      </c>
      <c r="BL255" s="0">
        <f>AB255-AT255</f>
      </c>
      <c r="BM255" s="0">
        <f>AC255-AU255</f>
      </c>
      <c r="BN255" s="0">
        <f>AD255-AV255</f>
      </c>
      <c r="BO255" s="0">
        <f>AE255-AW255</f>
      </c>
      <c r="BP255" s="0">
        <f>AF255-AX255</f>
      </c>
      <c r="BQ255" s="0">
        <f>AG255-AY255</f>
      </c>
      <c r="BR255" s="0">
        <f>AH255-AZ255</f>
      </c>
      <c r="BS255" s="0">
        <f>AI255-BA255</f>
      </c>
      <c r="BT255" s="0">
        <f>AJ255-BB255</f>
      </c>
      <c r="BU255" s="0">
        <f>AK255-BC255</f>
      </c>
      <c r="BV255" s="0">
        <f>SUM(B255:S255)</f>
      </c>
      <c r="BW255" s="0">
        <f>SUM(T255:AK255)</f>
      </c>
      <c r="BX255" s="0">
        <f>MAX(0,(SUM(Calculator!$E$11:$E$28)+Calculator!$C$6)-BV255+BW255)</f>
      </c>
      <c r="BY255" s="0">
        <f>SUM(BD255:BU255)</f>
      </c>
      <c r="BZ255" s="0">
        <f>BV255-BY254</f>
      </c>
      <c r="CA255" s="0">
        <f>IF(A255&lt;=IF($CD$1=0,999,$CD$1),BY255,NA())</f>
      </c>
      <c r="CB255" s="0">
        <f>IF(A255&lt;=IF($CD$1=0,999,$CD$1),A255,NA())</f>
      </c>
    </row>
    <row r="256">
      <c r="A256" s="0">
        <v>253</v>
      </c>
      <c r="B256" s="0">
        <f>BD255*(1+Calculator!$D$11/100/12)</f>
      </c>
      <c r="C256" s="0">
        <f>BE255*(1+Calculator!$D$12/100/12)</f>
      </c>
      <c r="D256" s="0">
        <f>BF255*(1+Calculator!$D$13/100/12)</f>
      </c>
      <c r="E256" s="0">
        <f>BG255*(1+Calculator!$D$14/100/12)</f>
      </c>
      <c r="F256" s="0">
        <f>BH255*(1+Calculator!$D$15/100/12)</f>
      </c>
      <c r="G256" s="0">
        <f>BI255*(1+Calculator!$D$16/100/12)</f>
      </c>
      <c r="H256" s="0">
        <f>BJ255*(1+Calculator!$D$17/100/12)</f>
      </c>
      <c r="I256" s="0">
        <f>BK255*(1+Calculator!$D$18/100/12)</f>
      </c>
      <c r="J256" s="0">
        <f>BL255*(1+Calculator!$D$19/100/12)</f>
      </c>
      <c r="K256" s="0">
        <f>BM255*(1+Calculator!$D$20/100/12)</f>
      </c>
      <c r="L256" s="0">
        <f>BN255*(1+Calculator!$D$21/100/12)</f>
      </c>
      <c r="M256" s="0">
        <f>BO255*(1+Calculator!$D$22/100/12)</f>
      </c>
      <c r="N256" s="0">
        <f>BP255*(1+Calculator!$D$23/100/12)</f>
      </c>
      <c r="O256" s="0">
        <f>BQ255*(1+Calculator!$D$24/100/12)</f>
      </c>
      <c r="P256" s="0">
        <f>BR255*(1+Calculator!$D$25/100/12)</f>
      </c>
      <c r="Q256" s="0">
        <f>BS255*(1+Calculator!$D$26/100/12)</f>
      </c>
      <c r="R256" s="0">
        <f>BT255*(1+Calculator!$D$27/100/12)</f>
      </c>
      <c r="S256" s="0">
        <f>BU255*(1+Calculator!$D$28/100/12)</f>
      </c>
      <c r="T256" s="0">
        <f>MAX(0,B256-Calculator!$E$11)</f>
      </c>
      <c r="U256" s="0">
        <f>MAX(0,C256-Calculator!$E$12)</f>
      </c>
      <c r="V256" s="0">
        <f>MAX(0,D256-Calculator!$E$13)</f>
      </c>
      <c r="W256" s="0">
        <f>MAX(0,E256-Calculator!$E$14)</f>
      </c>
      <c r="X256" s="0">
        <f>MAX(0,F256-Calculator!$E$15)</f>
      </c>
      <c r="Y256" s="0">
        <f>MAX(0,G256-Calculator!$E$16)</f>
      </c>
      <c r="Z256" s="0">
        <f>MAX(0,H256-Calculator!$E$17)</f>
      </c>
      <c r="AA256" s="0">
        <f>MAX(0,I256-Calculator!$E$18)</f>
      </c>
      <c r="AB256" s="0">
        <f>MAX(0,J256-Calculator!$E$19)</f>
      </c>
      <c r="AC256" s="0">
        <f>MAX(0,K256-Calculator!$E$20)</f>
      </c>
      <c r="AD256" s="0">
        <f>MAX(0,L256-Calculator!$E$21)</f>
      </c>
      <c r="AE256" s="0">
        <f>MAX(0,M256-Calculator!$E$22)</f>
      </c>
      <c r="AF256" s="0">
        <f>MAX(0,N256-Calculator!$E$23)</f>
      </c>
      <c r="AG256" s="0">
        <f>MAX(0,O256-Calculator!$E$24)</f>
      </c>
      <c r="AH256" s="0">
        <f>MAX(0,P256-Calculator!$E$25)</f>
      </c>
      <c r="AI256" s="0">
        <f>MAX(0,Q256-Calculator!$E$26)</f>
      </c>
      <c r="AJ256" s="0">
        <f>MAX(0,R256-Calculator!$E$27)</f>
      </c>
      <c r="AK256" s="0">
        <f>MAX(0,S256-Calculator!$E$28)</f>
      </c>
      <c r="AL256" s="0">
        <f>MAX(0,MIN(T256,BX256-SUMPRODUCT(($T$2:$AK$2&lt;T$2)*($T256:$AK256))))</f>
      </c>
      <c r="AM256" s="0">
        <f>MAX(0,MIN(U256,BX256-SUMPRODUCT(($T$2:$AK$2&lt;U$2)*($T256:$AK256))))</f>
      </c>
      <c r="AN256" s="0">
        <f>MAX(0,MIN(V256,BX256-SUMPRODUCT(($T$2:$AK$2&lt;V$2)*($T256:$AK256))))</f>
      </c>
      <c r="AO256" s="0">
        <f>MAX(0,MIN(W256,BX256-SUMPRODUCT(($T$2:$AK$2&lt;W$2)*($T256:$AK256))))</f>
      </c>
      <c r="AP256" s="0">
        <f>MAX(0,MIN(X256,BX256-SUMPRODUCT(($T$2:$AK$2&lt;X$2)*($T256:$AK256))))</f>
      </c>
      <c r="AQ256" s="0">
        <f>MAX(0,MIN(Y256,BX256-SUMPRODUCT(($T$2:$AK$2&lt;Y$2)*($T256:$AK256))))</f>
      </c>
      <c r="AR256" s="0">
        <f>MAX(0,MIN(Z256,BX256-SUMPRODUCT(($T$2:$AK$2&lt;Z$2)*($T256:$AK256))))</f>
      </c>
      <c r="AS256" s="0">
        <f>MAX(0,MIN(AA256,BX256-SUMPRODUCT(($T$2:$AK$2&lt;AA$2)*($T256:$AK256))))</f>
      </c>
      <c r="AT256" s="0">
        <f>MAX(0,MIN(AB256,BX256-SUMPRODUCT(($T$2:$AK$2&lt;AB$2)*($T256:$AK256))))</f>
      </c>
      <c r="AU256" s="0">
        <f>MAX(0,MIN(AC256,BX256-SUMPRODUCT(($T$2:$AK$2&lt;AC$2)*($T256:$AK256))))</f>
      </c>
      <c r="AV256" s="0">
        <f>MAX(0,MIN(AD256,BX256-SUMPRODUCT(($T$2:$AK$2&lt;AD$2)*($T256:$AK256))))</f>
      </c>
      <c r="AW256" s="0">
        <f>MAX(0,MIN(AE256,BX256-SUMPRODUCT(($T$2:$AK$2&lt;AE$2)*($T256:$AK256))))</f>
      </c>
      <c r="AX256" s="0">
        <f>MAX(0,MIN(AF256,BX256-SUMPRODUCT(($T$2:$AK$2&lt;AF$2)*($T256:$AK256))))</f>
      </c>
      <c r="AY256" s="0">
        <f>MAX(0,MIN(AG256,BX256-SUMPRODUCT(($T$2:$AK$2&lt;AG$2)*($T256:$AK256))))</f>
      </c>
      <c r="AZ256" s="0">
        <f>MAX(0,MIN(AH256,BX256-SUMPRODUCT(($T$2:$AK$2&lt;AH$2)*($T256:$AK256))))</f>
      </c>
      <c r="BA256" s="0">
        <f>MAX(0,MIN(AI256,BX256-SUMPRODUCT(($T$2:$AK$2&lt;AI$2)*($T256:$AK256))))</f>
      </c>
      <c r="BB256" s="0">
        <f>MAX(0,MIN(AJ256,BX256-SUMPRODUCT(($T$2:$AK$2&lt;AJ$2)*($T256:$AK256))))</f>
      </c>
      <c r="BC256" s="0">
        <f>MAX(0,MIN(AK256,BX256-SUMPRODUCT(($T$2:$AK$2&lt;AK$2)*($T256:$AK256))))</f>
      </c>
      <c r="BD256" s="0">
        <f>T256-AL256</f>
      </c>
      <c r="BE256" s="0">
        <f>U256-AM256</f>
      </c>
      <c r="BF256" s="0">
        <f>V256-AN256</f>
      </c>
      <c r="BG256" s="0">
        <f>W256-AO256</f>
      </c>
      <c r="BH256" s="0">
        <f>X256-AP256</f>
      </c>
      <c r="BI256" s="0">
        <f>Y256-AQ256</f>
      </c>
      <c r="BJ256" s="0">
        <f>Z256-AR256</f>
      </c>
      <c r="BK256" s="0">
        <f>AA256-AS256</f>
      </c>
      <c r="BL256" s="0">
        <f>AB256-AT256</f>
      </c>
      <c r="BM256" s="0">
        <f>AC256-AU256</f>
      </c>
      <c r="BN256" s="0">
        <f>AD256-AV256</f>
      </c>
      <c r="BO256" s="0">
        <f>AE256-AW256</f>
      </c>
      <c r="BP256" s="0">
        <f>AF256-AX256</f>
      </c>
      <c r="BQ256" s="0">
        <f>AG256-AY256</f>
      </c>
      <c r="BR256" s="0">
        <f>AH256-AZ256</f>
      </c>
      <c r="BS256" s="0">
        <f>AI256-BA256</f>
      </c>
      <c r="BT256" s="0">
        <f>AJ256-BB256</f>
      </c>
      <c r="BU256" s="0">
        <f>AK256-BC256</f>
      </c>
      <c r="BV256" s="0">
        <f>SUM(B256:S256)</f>
      </c>
      <c r="BW256" s="0">
        <f>SUM(T256:AK256)</f>
      </c>
      <c r="BX256" s="0">
        <f>MAX(0,(SUM(Calculator!$E$11:$E$28)+Calculator!$C$6)-BV256+BW256)</f>
      </c>
      <c r="BY256" s="0">
        <f>SUM(BD256:BU256)</f>
      </c>
      <c r="BZ256" s="0">
        <f>BV256-BY255</f>
      </c>
      <c r="CA256" s="0">
        <f>IF(A256&lt;=IF($CD$1=0,999,$CD$1),BY256,NA())</f>
      </c>
      <c r="CB256" s="0">
        <f>IF(A256&lt;=IF($CD$1=0,999,$CD$1),A256,NA())</f>
      </c>
    </row>
    <row r="257">
      <c r="A257" s="0">
        <v>254</v>
      </c>
      <c r="B257" s="0">
        <f>BD256*(1+Calculator!$D$11/100/12)</f>
      </c>
      <c r="C257" s="0">
        <f>BE256*(1+Calculator!$D$12/100/12)</f>
      </c>
      <c r="D257" s="0">
        <f>BF256*(1+Calculator!$D$13/100/12)</f>
      </c>
      <c r="E257" s="0">
        <f>BG256*(1+Calculator!$D$14/100/12)</f>
      </c>
      <c r="F257" s="0">
        <f>BH256*(1+Calculator!$D$15/100/12)</f>
      </c>
      <c r="G257" s="0">
        <f>BI256*(1+Calculator!$D$16/100/12)</f>
      </c>
      <c r="H257" s="0">
        <f>BJ256*(1+Calculator!$D$17/100/12)</f>
      </c>
      <c r="I257" s="0">
        <f>BK256*(1+Calculator!$D$18/100/12)</f>
      </c>
      <c r="J257" s="0">
        <f>BL256*(1+Calculator!$D$19/100/12)</f>
      </c>
      <c r="K257" s="0">
        <f>BM256*(1+Calculator!$D$20/100/12)</f>
      </c>
      <c r="L257" s="0">
        <f>BN256*(1+Calculator!$D$21/100/12)</f>
      </c>
      <c r="M257" s="0">
        <f>BO256*(1+Calculator!$D$22/100/12)</f>
      </c>
      <c r="N257" s="0">
        <f>BP256*(1+Calculator!$D$23/100/12)</f>
      </c>
      <c r="O257" s="0">
        <f>BQ256*(1+Calculator!$D$24/100/12)</f>
      </c>
      <c r="P257" s="0">
        <f>BR256*(1+Calculator!$D$25/100/12)</f>
      </c>
      <c r="Q257" s="0">
        <f>BS256*(1+Calculator!$D$26/100/12)</f>
      </c>
      <c r="R257" s="0">
        <f>BT256*(1+Calculator!$D$27/100/12)</f>
      </c>
      <c r="S257" s="0">
        <f>BU256*(1+Calculator!$D$28/100/12)</f>
      </c>
      <c r="T257" s="0">
        <f>MAX(0,B257-Calculator!$E$11)</f>
      </c>
      <c r="U257" s="0">
        <f>MAX(0,C257-Calculator!$E$12)</f>
      </c>
      <c r="V257" s="0">
        <f>MAX(0,D257-Calculator!$E$13)</f>
      </c>
      <c r="W257" s="0">
        <f>MAX(0,E257-Calculator!$E$14)</f>
      </c>
      <c r="X257" s="0">
        <f>MAX(0,F257-Calculator!$E$15)</f>
      </c>
      <c r="Y257" s="0">
        <f>MAX(0,G257-Calculator!$E$16)</f>
      </c>
      <c r="Z257" s="0">
        <f>MAX(0,H257-Calculator!$E$17)</f>
      </c>
      <c r="AA257" s="0">
        <f>MAX(0,I257-Calculator!$E$18)</f>
      </c>
      <c r="AB257" s="0">
        <f>MAX(0,J257-Calculator!$E$19)</f>
      </c>
      <c r="AC257" s="0">
        <f>MAX(0,K257-Calculator!$E$20)</f>
      </c>
      <c r="AD257" s="0">
        <f>MAX(0,L257-Calculator!$E$21)</f>
      </c>
      <c r="AE257" s="0">
        <f>MAX(0,M257-Calculator!$E$22)</f>
      </c>
      <c r="AF257" s="0">
        <f>MAX(0,N257-Calculator!$E$23)</f>
      </c>
      <c r="AG257" s="0">
        <f>MAX(0,O257-Calculator!$E$24)</f>
      </c>
      <c r="AH257" s="0">
        <f>MAX(0,P257-Calculator!$E$25)</f>
      </c>
      <c r="AI257" s="0">
        <f>MAX(0,Q257-Calculator!$E$26)</f>
      </c>
      <c r="AJ257" s="0">
        <f>MAX(0,R257-Calculator!$E$27)</f>
      </c>
      <c r="AK257" s="0">
        <f>MAX(0,S257-Calculator!$E$28)</f>
      </c>
      <c r="AL257" s="0">
        <f>MAX(0,MIN(T257,BX257-SUMPRODUCT(($T$2:$AK$2&lt;T$2)*($T257:$AK257))))</f>
      </c>
      <c r="AM257" s="0">
        <f>MAX(0,MIN(U257,BX257-SUMPRODUCT(($T$2:$AK$2&lt;U$2)*($T257:$AK257))))</f>
      </c>
      <c r="AN257" s="0">
        <f>MAX(0,MIN(V257,BX257-SUMPRODUCT(($T$2:$AK$2&lt;V$2)*($T257:$AK257))))</f>
      </c>
      <c r="AO257" s="0">
        <f>MAX(0,MIN(W257,BX257-SUMPRODUCT(($T$2:$AK$2&lt;W$2)*($T257:$AK257))))</f>
      </c>
      <c r="AP257" s="0">
        <f>MAX(0,MIN(X257,BX257-SUMPRODUCT(($T$2:$AK$2&lt;X$2)*($T257:$AK257))))</f>
      </c>
      <c r="AQ257" s="0">
        <f>MAX(0,MIN(Y257,BX257-SUMPRODUCT(($T$2:$AK$2&lt;Y$2)*($T257:$AK257))))</f>
      </c>
      <c r="AR257" s="0">
        <f>MAX(0,MIN(Z257,BX257-SUMPRODUCT(($T$2:$AK$2&lt;Z$2)*($T257:$AK257))))</f>
      </c>
      <c r="AS257" s="0">
        <f>MAX(0,MIN(AA257,BX257-SUMPRODUCT(($T$2:$AK$2&lt;AA$2)*($T257:$AK257))))</f>
      </c>
      <c r="AT257" s="0">
        <f>MAX(0,MIN(AB257,BX257-SUMPRODUCT(($T$2:$AK$2&lt;AB$2)*($T257:$AK257))))</f>
      </c>
      <c r="AU257" s="0">
        <f>MAX(0,MIN(AC257,BX257-SUMPRODUCT(($T$2:$AK$2&lt;AC$2)*($T257:$AK257))))</f>
      </c>
      <c r="AV257" s="0">
        <f>MAX(0,MIN(AD257,BX257-SUMPRODUCT(($T$2:$AK$2&lt;AD$2)*($T257:$AK257))))</f>
      </c>
      <c r="AW257" s="0">
        <f>MAX(0,MIN(AE257,BX257-SUMPRODUCT(($T$2:$AK$2&lt;AE$2)*($T257:$AK257))))</f>
      </c>
      <c r="AX257" s="0">
        <f>MAX(0,MIN(AF257,BX257-SUMPRODUCT(($T$2:$AK$2&lt;AF$2)*($T257:$AK257))))</f>
      </c>
      <c r="AY257" s="0">
        <f>MAX(0,MIN(AG257,BX257-SUMPRODUCT(($T$2:$AK$2&lt;AG$2)*($T257:$AK257))))</f>
      </c>
      <c r="AZ257" s="0">
        <f>MAX(0,MIN(AH257,BX257-SUMPRODUCT(($T$2:$AK$2&lt;AH$2)*($T257:$AK257))))</f>
      </c>
      <c r="BA257" s="0">
        <f>MAX(0,MIN(AI257,BX257-SUMPRODUCT(($T$2:$AK$2&lt;AI$2)*($T257:$AK257))))</f>
      </c>
      <c r="BB257" s="0">
        <f>MAX(0,MIN(AJ257,BX257-SUMPRODUCT(($T$2:$AK$2&lt;AJ$2)*($T257:$AK257))))</f>
      </c>
      <c r="BC257" s="0">
        <f>MAX(0,MIN(AK257,BX257-SUMPRODUCT(($T$2:$AK$2&lt;AK$2)*($T257:$AK257))))</f>
      </c>
      <c r="BD257" s="0">
        <f>T257-AL257</f>
      </c>
      <c r="BE257" s="0">
        <f>U257-AM257</f>
      </c>
      <c r="BF257" s="0">
        <f>V257-AN257</f>
      </c>
      <c r="BG257" s="0">
        <f>W257-AO257</f>
      </c>
      <c r="BH257" s="0">
        <f>X257-AP257</f>
      </c>
      <c r="BI257" s="0">
        <f>Y257-AQ257</f>
      </c>
      <c r="BJ257" s="0">
        <f>Z257-AR257</f>
      </c>
      <c r="BK257" s="0">
        <f>AA257-AS257</f>
      </c>
      <c r="BL257" s="0">
        <f>AB257-AT257</f>
      </c>
      <c r="BM257" s="0">
        <f>AC257-AU257</f>
      </c>
      <c r="BN257" s="0">
        <f>AD257-AV257</f>
      </c>
      <c r="BO257" s="0">
        <f>AE257-AW257</f>
      </c>
      <c r="BP257" s="0">
        <f>AF257-AX257</f>
      </c>
      <c r="BQ257" s="0">
        <f>AG257-AY257</f>
      </c>
      <c r="BR257" s="0">
        <f>AH257-AZ257</f>
      </c>
      <c r="BS257" s="0">
        <f>AI257-BA257</f>
      </c>
      <c r="BT257" s="0">
        <f>AJ257-BB257</f>
      </c>
      <c r="BU257" s="0">
        <f>AK257-BC257</f>
      </c>
      <c r="BV257" s="0">
        <f>SUM(B257:S257)</f>
      </c>
      <c r="BW257" s="0">
        <f>SUM(T257:AK257)</f>
      </c>
      <c r="BX257" s="0">
        <f>MAX(0,(SUM(Calculator!$E$11:$E$28)+Calculator!$C$6)-BV257+BW257)</f>
      </c>
      <c r="BY257" s="0">
        <f>SUM(BD257:BU257)</f>
      </c>
      <c r="BZ257" s="0">
        <f>BV257-BY256</f>
      </c>
      <c r="CA257" s="0">
        <f>IF(A257&lt;=IF($CD$1=0,999,$CD$1),BY257,NA())</f>
      </c>
      <c r="CB257" s="0">
        <f>IF(A257&lt;=IF($CD$1=0,999,$CD$1),A257,NA())</f>
      </c>
    </row>
    <row r="258">
      <c r="A258" s="0">
        <v>255</v>
      </c>
      <c r="B258" s="0">
        <f>BD257*(1+Calculator!$D$11/100/12)</f>
      </c>
      <c r="C258" s="0">
        <f>BE257*(1+Calculator!$D$12/100/12)</f>
      </c>
      <c r="D258" s="0">
        <f>BF257*(1+Calculator!$D$13/100/12)</f>
      </c>
      <c r="E258" s="0">
        <f>BG257*(1+Calculator!$D$14/100/12)</f>
      </c>
      <c r="F258" s="0">
        <f>BH257*(1+Calculator!$D$15/100/12)</f>
      </c>
      <c r="G258" s="0">
        <f>BI257*(1+Calculator!$D$16/100/12)</f>
      </c>
      <c r="H258" s="0">
        <f>BJ257*(1+Calculator!$D$17/100/12)</f>
      </c>
      <c r="I258" s="0">
        <f>BK257*(1+Calculator!$D$18/100/12)</f>
      </c>
      <c r="J258" s="0">
        <f>BL257*(1+Calculator!$D$19/100/12)</f>
      </c>
      <c r="K258" s="0">
        <f>BM257*(1+Calculator!$D$20/100/12)</f>
      </c>
      <c r="L258" s="0">
        <f>BN257*(1+Calculator!$D$21/100/12)</f>
      </c>
      <c r="M258" s="0">
        <f>BO257*(1+Calculator!$D$22/100/12)</f>
      </c>
      <c r="N258" s="0">
        <f>BP257*(1+Calculator!$D$23/100/12)</f>
      </c>
      <c r="O258" s="0">
        <f>BQ257*(1+Calculator!$D$24/100/12)</f>
      </c>
      <c r="P258" s="0">
        <f>BR257*(1+Calculator!$D$25/100/12)</f>
      </c>
      <c r="Q258" s="0">
        <f>BS257*(1+Calculator!$D$26/100/12)</f>
      </c>
      <c r="R258" s="0">
        <f>BT257*(1+Calculator!$D$27/100/12)</f>
      </c>
      <c r="S258" s="0">
        <f>BU257*(1+Calculator!$D$28/100/12)</f>
      </c>
      <c r="T258" s="0">
        <f>MAX(0,B258-Calculator!$E$11)</f>
      </c>
      <c r="U258" s="0">
        <f>MAX(0,C258-Calculator!$E$12)</f>
      </c>
      <c r="V258" s="0">
        <f>MAX(0,D258-Calculator!$E$13)</f>
      </c>
      <c r="W258" s="0">
        <f>MAX(0,E258-Calculator!$E$14)</f>
      </c>
      <c r="X258" s="0">
        <f>MAX(0,F258-Calculator!$E$15)</f>
      </c>
      <c r="Y258" s="0">
        <f>MAX(0,G258-Calculator!$E$16)</f>
      </c>
      <c r="Z258" s="0">
        <f>MAX(0,H258-Calculator!$E$17)</f>
      </c>
      <c r="AA258" s="0">
        <f>MAX(0,I258-Calculator!$E$18)</f>
      </c>
      <c r="AB258" s="0">
        <f>MAX(0,J258-Calculator!$E$19)</f>
      </c>
      <c r="AC258" s="0">
        <f>MAX(0,K258-Calculator!$E$20)</f>
      </c>
      <c r="AD258" s="0">
        <f>MAX(0,L258-Calculator!$E$21)</f>
      </c>
      <c r="AE258" s="0">
        <f>MAX(0,M258-Calculator!$E$22)</f>
      </c>
      <c r="AF258" s="0">
        <f>MAX(0,N258-Calculator!$E$23)</f>
      </c>
      <c r="AG258" s="0">
        <f>MAX(0,O258-Calculator!$E$24)</f>
      </c>
      <c r="AH258" s="0">
        <f>MAX(0,P258-Calculator!$E$25)</f>
      </c>
      <c r="AI258" s="0">
        <f>MAX(0,Q258-Calculator!$E$26)</f>
      </c>
      <c r="AJ258" s="0">
        <f>MAX(0,R258-Calculator!$E$27)</f>
      </c>
      <c r="AK258" s="0">
        <f>MAX(0,S258-Calculator!$E$28)</f>
      </c>
      <c r="AL258" s="0">
        <f>MAX(0,MIN(T258,BX258-SUMPRODUCT(($T$2:$AK$2&lt;T$2)*($T258:$AK258))))</f>
      </c>
      <c r="AM258" s="0">
        <f>MAX(0,MIN(U258,BX258-SUMPRODUCT(($T$2:$AK$2&lt;U$2)*($T258:$AK258))))</f>
      </c>
      <c r="AN258" s="0">
        <f>MAX(0,MIN(V258,BX258-SUMPRODUCT(($T$2:$AK$2&lt;V$2)*($T258:$AK258))))</f>
      </c>
      <c r="AO258" s="0">
        <f>MAX(0,MIN(W258,BX258-SUMPRODUCT(($T$2:$AK$2&lt;W$2)*($T258:$AK258))))</f>
      </c>
      <c r="AP258" s="0">
        <f>MAX(0,MIN(X258,BX258-SUMPRODUCT(($T$2:$AK$2&lt;X$2)*($T258:$AK258))))</f>
      </c>
      <c r="AQ258" s="0">
        <f>MAX(0,MIN(Y258,BX258-SUMPRODUCT(($T$2:$AK$2&lt;Y$2)*($T258:$AK258))))</f>
      </c>
      <c r="AR258" s="0">
        <f>MAX(0,MIN(Z258,BX258-SUMPRODUCT(($T$2:$AK$2&lt;Z$2)*($T258:$AK258))))</f>
      </c>
      <c r="AS258" s="0">
        <f>MAX(0,MIN(AA258,BX258-SUMPRODUCT(($T$2:$AK$2&lt;AA$2)*($T258:$AK258))))</f>
      </c>
      <c r="AT258" s="0">
        <f>MAX(0,MIN(AB258,BX258-SUMPRODUCT(($T$2:$AK$2&lt;AB$2)*($T258:$AK258))))</f>
      </c>
      <c r="AU258" s="0">
        <f>MAX(0,MIN(AC258,BX258-SUMPRODUCT(($T$2:$AK$2&lt;AC$2)*($T258:$AK258))))</f>
      </c>
      <c r="AV258" s="0">
        <f>MAX(0,MIN(AD258,BX258-SUMPRODUCT(($T$2:$AK$2&lt;AD$2)*($T258:$AK258))))</f>
      </c>
      <c r="AW258" s="0">
        <f>MAX(0,MIN(AE258,BX258-SUMPRODUCT(($T$2:$AK$2&lt;AE$2)*($T258:$AK258))))</f>
      </c>
      <c r="AX258" s="0">
        <f>MAX(0,MIN(AF258,BX258-SUMPRODUCT(($T$2:$AK$2&lt;AF$2)*($T258:$AK258))))</f>
      </c>
      <c r="AY258" s="0">
        <f>MAX(0,MIN(AG258,BX258-SUMPRODUCT(($T$2:$AK$2&lt;AG$2)*($T258:$AK258))))</f>
      </c>
      <c r="AZ258" s="0">
        <f>MAX(0,MIN(AH258,BX258-SUMPRODUCT(($T$2:$AK$2&lt;AH$2)*($T258:$AK258))))</f>
      </c>
      <c r="BA258" s="0">
        <f>MAX(0,MIN(AI258,BX258-SUMPRODUCT(($T$2:$AK$2&lt;AI$2)*($T258:$AK258))))</f>
      </c>
      <c r="BB258" s="0">
        <f>MAX(0,MIN(AJ258,BX258-SUMPRODUCT(($T$2:$AK$2&lt;AJ$2)*($T258:$AK258))))</f>
      </c>
      <c r="BC258" s="0">
        <f>MAX(0,MIN(AK258,BX258-SUMPRODUCT(($T$2:$AK$2&lt;AK$2)*($T258:$AK258))))</f>
      </c>
      <c r="BD258" s="0">
        <f>T258-AL258</f>
      </c>
      <c r="BE258" s="0">
        <f>U258-AM258</f>
      </c>
      <c r="BF258" s="0">
        <f>V258-AN258</f>
      </c>
      <c r="BG258" s="0">
        <f>W258-AO258</f>
      </c>
      <c r="BH258" s="0">
        <f>X258-AP258</f>
      </c>
      <c r="BI258" s="0">
        <f>Y258-AQ258</f>
      </c>
      <c r="BJ258" s="0">
        <f>Z258-AR258</f>
      </c>
      <c r="BK258" s="0">
        <f>AA258-AS258</f>
      </c>
      <c r="BL258" s="0">
        <f>AB258-AT258</f>
      </c>
      <c r="BM258" s="0">
        <f>AC258-AU258</f>
      </c>
      <c r="BN258" s="0">
        <f>AD258-AV258</f>
      </c>
      <c r="BO258" s="0">
        <f>AE258-AW258</f>
      </c>
      <c r="BP258" s="0">
        <f>AF258-AX258</f>
      </c>
      <c r="BQ258" s="0">
        <f>AG258-AY258</f>
      </c>
      <c r="BR258" s="0">
        <f>AH258-AZ258</f>
      </c>
      <c r="BS258" s="0">
        <f>AI258-BA258</f>
      </c>
      <c r="BT258" s="0">
        <f>AJ258-BB258</f>
      </c>
      <c r="BU258" s="0">
        <f>AK258-BC258</f>
      </c>
      <c r="BV258" s="0">
        <f>SUM(B258:S258)</f>
      </c>
      <c r="BW258" s="0">
        <f>SUM(T258:AK258)</f>
      </c>
      <c r="BX258" s="0">
        <f>MAX(0,(SUM(Calculator!$E$11:$E$28)+Calculator!$C$6)-BV258+BW258)</f>
      </c>
      <c r="BY258" s="0">
        <f>SUM(BD258:BU258)</f>
      </c>
      <c r="BZ258" s="0">
        <f>BV258-BY257</f>
      </c>
      <c r="CA258" s="0">
        <f>IF(A258&lt;=IF($CD$1=0,999,$CD$1),BY258,NA())</f>
      </c>
      <c r="CB258" s="0">
        <f>IF(A258&lt;=IF($CD$1=0,999,$CD$1),A258,NA())</f>
      </c>
    </row>
    <row r="259">
      <c r="A259" s="0">
        <v>256</v>
      </c>
      <c r="B259" s="0">
        <f>BD258*(1+Calculator!$D$11/100/12)</f>
      </c>
      <c r="C259" s="0">
        <f>BE258*(1+Calculator!$D$12/100/12)</f>
      </c>
      <c r="D259" s="0">
        <f>BF258*(1+Calculator!$D$13/100/12)</f>
      </c>
      <c r="E259" s="0">
        <f>BG258*(1+Calculator!$D$14/100/12)</f>
      </c>
      <c r="F259" s="0">
        <f>BH258*(1+Calculator!$D$15/100/12)</f>
      </c>
      <c r="G259" s="0">
        <f>BI258*(1+Calculator!$D$16/100/12)</f>
      </c>
      <c r="H259" s="0">
        <f>BJ258*(1+Calculator!$D$17/100/12)</f>
      </c>
      <c r="I259" s="0">
        <f>BK258*(1+Calculator!$D$18/100/12)</f>
      </c>
      <c r="J259" s="0">
        <f>BL258*(1+Calculator!$D$19/100/12)</f>
      </c>
      <c r="K259" s="0">
        <f>BM258*(1+Calculator!$D$20/100/12)</f>
      </c>
      <c r="L259" s="0">
        <f>BN258*(1+Calculator!$D$21/100/12)</f>
      </c>
      <c r="M259" s="0">
        <f>BO258*(1+Calculator!$D$22/100/12)</f>
      </c>
      <c r="N259" s="0">
        <f>BP258*(1+Calculator!$D$23/100/12)</f>
      </c>
      <c r="O259" s="0">
        <f>BQ258*(1+Calculator!$D$24/100/12)</f>
      </c>
      <c r="P259" s="0">
        <f>BR258*(1+Calculator!$D$25/100/12)</f>
      </c>
      <c r="Q259" s="0">
        <f>BS258*(1+Calculator!$D$26/100/12)</f>
      </c>
      <c r="R259" s="0">
        <f>BT258*(1+Calculator!$D$27/100/12)</f>
      </c>
      <c r="S259" s="0">
        <f>BU258*(1+Calculator!$D$28/100/12)</f>
      </c>
      <c r="T259" s="0">
        <f>MAX(0,B259-Calculator!$E$11)</f>
      </c>
      <c r="U259" s="0">
        <f>MAX(0,C259-Calculator!$E$12)</f>
      </c>
      <c r="V259" s="0">
        <f>MAX(0,D259-Calculator!$E$13)</f>
      </c>
      <c r="W259" s="0">
        <f>MAX(0,E259-Calculator!$E$14)</f>
      </c>
      <c r="X259" s="0">
        <f>MAX(0,F259-Calculator!$E$15)</f>
      </c>
      <c r="Y259" s="0">
        <f>MAX(0,G259-Calculator!$E$16)</f>
      </c>
      <c r="Z259" s="0">
        <f>MAX(0,H259-Calculator!$E$17)</f>
      </c>
      <c r="AA259" s="0">
        <f>MAX(0,I259-Calculator!$E$18)</f>
      </c>
      <c r="AB259" s="0">
        <f>MAX(0,J259-Calculator!$E$19)</f>
      </c>
      <c r="AC259" s="0">
        <f>MAX(0,K259-Calculator!$E$20)</f>
      </c>
      <c r="AD259" s="0">
        <f>MAX(0,L259-Calculator!$E$21)</f>
      </c>
      <c r="AE259" s="0">
        <f>MAX(0,M259-Calculator!$E$22)</f>
      </c>
      <c r="AF259" s="0">
        <f>MAX(0,N259-Calculator!$E$23)</f>
      </c>
      <c r="AG259" s="0">
        <f>MAX(0,O259-Calculator!$E$24)</f>
      </c>
      <c r="AH259" s="0">
        <f>MAX(0,P259-Calculator!$E$25)</f>
      </c>
      <c r="AI259" s="0">
        <f>MAX(0,Q259-Calculator!$E$26)</f>
      </c>
      <c r="AJ259" s="0">
        <f>MAX(0,R259-Calculator!$E$27)</f>
      </c>
      <c r="AK259" s="0">
        <f>MAX(0,S259-Calculator!$E$28)</f>
      </c>
      <c r="AL259" s="0">
        <f>MAX(0,MIN(T259,BX259-SUMPRODUCT(($T$2:$AK$2&lt;T$2)*($T259:$AK259))))</f>
      </c>
      <c r="AM259" s="0">
        <f>MAX(0,MIN(U259,BX259-SUMPRODUCT(($T$2:$AK$2&lt;U$2)*($T259:$AK259))))</f>
      </c>
      <c r="AN259" s="0">
        <f>MAX(0,MIN(V259,BX259-SUMPRODUCT(($T$2:$AK$2&lt;V$2)*($T259:$AK259))))</f>
      </c>
      <c r="AO259" s="0">
        <f>MAX(0,MIN(W259,BX259-SUMPRODUCT(($T$2:$AK$2&lt;W$2)*($T259:$AK259))))</f>
      </c>
      <c r="AP259" s="0">
        <f>MAX(0,MIN(X259,BX259-SUMPRODUCT(($T$2:$AK$2&lt;X$2)*($T259:$AK259))))</f>
      </c>
      <c r="AQ259" s="0">
        <f>MAX(0,MIN(Y259,BX259-SUMPRODUCT(($T$2:$AK$2&lt;Y$2)*($T259:$AK259))))</f>
      </c>
      <c r="AR259" s="0">
        <f>MAX(0,MIN(Z259,BX259-SUMPRODUCT(($T$2:$AK$2&lt;Z$2)*($T259:$AK259))))</f>
      </c>
      <c r="AS259" s="0">
        <f>MAX(0,MIN(AA259,BX259-SUMPRODUCT(($T$2:$AK$2&lt;AA$2)*($T259:$AK259))))</f>
      </c>
      <c r="AT259" s="0">
        <f>MAX(0,MIN(AB259,BX259-SUMPRODUCT(($T$2:$AK$2&lt;AB$2)*($T259:$AK259))))</f>
      </c>
      <c r="AU259" s="0">
        <f>MAX(0,MIN(AC259,BX259-SUMPRODUCT(($T$2:$AK$2&lt;AC$2)*($T259:$AK259))))</f>
      </c>
      <c r="AV259" s="0">
        <f>MAX(0,MIN(AD259,BX259-SUMPRODUCT(($T$2:$AK$2&lt;AD$2)*($T259:$AK259))))</f>
      </c>
      <c r="AW259" s="0">
        <f>MAX(0,MIN(AE259,BX259-SUMPRODUCT(($T$2:$AK$2&lt;AE$2)*($T259:$AK259))))</f>
      </c>
      <c r="AX259" s="0">
        <f>MAX(0,MIN(AF259,BX259-SUMPRODUCT(($T$2:$AK$2&lt;AF$2)*($T259:$AK259))))</f>
      </c>
      <c r="AY259" s="0">
        <f>MAX(0,MIN(AG259,BX259-SUMPRODUCT(($T$2:$AK$2&lt;AG$2)*($T259:$AK259))))</f>
      </c>
      <c r="AZ259" s="0">
        <f>MAX(0,MIN(AH259,BX259-SUMPRODUCT(($T$2:$AK$2&lt;AH$2)*($T259:$AK259))))</f>
      </c>
      <c r="BA259" s="0">
        <f>MAX(0,MIN(AI259,BX259-SUMPRODUCT(($T$2:$AK$2&lt;AI$2)*($T259:$AK259))))</f>
      </c>
      <c r="BB259" s="0">
        <f>MAX(0,MIN(AJ259,BX259-SUMPRODUCT(($T$2:$AK$2&lt;AJ$2)*($T259:$AK259))))</f>
      </c>
      <c r="BC259" s="0">
        <f>MAX(0,MIN(AK259,BX259-SUMPRODUCT(($T$2:$AK$2&lt;AK$2)*($T259:$AK259))))</f>
      </c>
      <c r="BD259" s="0">
        <f>T259-AL259</f>
      </c>
      <c r="BE259" s="0">
        <f>U259-AM259</f>
      </c>
      <c r="BF259" s="0">
        <f>V259-AN259</f>
      </c>
      <c r="BG259" s="0">
        <f>W259-AO259</f>
      </c>
      <c r="BH259" s="0">
        <f>X259-AP259</f>
      </c>
      <c r="BI259" s="0">
        <f>Y259-AQ259</f>
      </c>
      <c r="BJ259" s="0">
        <f>Z259-AR259</f>
      </c>
      <c r="BK259" s="0">
        <f>AA259-AS259</f>
      </c>
      <c r="BL259" s="0">
        <f>AB259-AT259</f>
      </c>
      <c r="BM259" s="0">
        <f>AC259-AU259</f>
      </c>
      <c r="BN259" s="0">
        <f>AD259-AV259</f>
      </c>
      <c r="BO259" s="0">
        <f>AE259-AW259</f>
      </c>
      <c r="BP259" s="0">
        <f>AF259-AX259</f>
      </c>
      <c r="BQ259" s="0">
        <f>AG259-AY259</f>
      </c>
      <c r="BR259" s="0">
        <f>AH259-AZ259</f>
      </c>
      <c r="BS259" s="0">
        <f>AI259-BA259</f>
      </c>
      <c r="BT259" s="0">
        <f>AJ259-BB259</f>
      </c>
      <c r="BU259" s="0">
        <f>AK259-BC259</f>
      </c>
      <c r="BV259" s="0">
        <f>SUM(B259:S259)</f>
      </c>
      <c r="BW259" s="0">
        <f>SUM(T259:AK259)</f>
      </c>
      <c r="BX259" s="0">
        <f>MAX(0,(SUM(Calculator!$E$11:$E$28)+Calculator!$C$6)-BV259+BW259)</f>
      </c>
      <c r="BY259" s="0">
        <f>SUM(BD259:BU259)</f>
      </c>
      <c r="BZ259" s="0">
        <f>BV259-BY258</f>
      </c>
      <c r="CA259" s="0">
        <f>IF(A259&lt;=IF($CD$1=0,999,$CD$1),BY259,NA())</f>
      </c>
      <c r="CB259" s="0">
        <f>IF(A259&lt;=IF($CD$1=0,999,$CD$1),A259,NA())</f>
      </c>
    </row>
    <row r="260">
      <c r="A260" s="0">
        <v>257</v>
      </c>
      <c r="B260" s="0">
        <f>BD259*(1+Calculator!$D$11/100/12)</f>
      </c>
      <c r="C260" s="0">
        <f>BE259*(1+Calculator!$D$12/100/12)</f>
      </c>
      <c r="D260" s="0">
        <f>BF259*(1+Calculator!$D$13/100/12)</f>
      </c>
      <c r="E260" s="0">
        <f>BG259*(1+Calculator!$D$14/100/12)</f>
      </c>
      <c r="F260" s="0">
        <f>BH259*(1+Calculator!$D$15/100/12)</f>
      </c>
      <c r="G260" s="0">
        <f>BI259*(1+Calculator!$D$16/100/12)</f>
      </c>
      <c r="H260" s="0">
        <f>BJ259*(1+Calculator!$D$17/100/12)</f>
      </c>
      <c r="I260" s="0">
        <f>BK259*(1+Calculator!$D$18/100/12)</f>
      </c>
      <c r="J260" s="0">
        <f>BL259*(1+Calculator!$D$19/100/12)</f>
      </c>
      <c r="K260" s="0">
        <f>BM259*(1+Calculator!$D$20/100/12)</f>
      </c>
      <c r="L260" s="0">
        <f>BN259*(1+Calculator!$D$21/100/12)</f>
      </c>
      <c r="M260" s="0">
        <f>BO259*(1+Calculator!$D$22/100/12)</f>
      </c>
      <c r="N260" s="0">
        <f>BP259*(1+Calculator!$D$23/100/12)</f>
      </c>
      <c r="O260" s="0">
        <f>BQ259*(1+Calculator!$D$24/100/12)</f>
      </c>
      <c r="P260" s="0">
        <f>BR259*(1+Calculator!$D$25/100/12)</f>
      </c>
      <c r="Q260" s="0">
        <f>BS259*(1+Calculator!$D$26/100/12)</f>
      </c>
      <c r="R260" s="0">
        <f>BT259*(1+Calculator!$D$27/100/12)</f>
      </c>
      <c r="S260" s="0">
        <f>BU259*(1+Calculator!$D$28/100/12)</f>
      </c>
      <c r="T260" s="0">
        <f>MAX(0,B260-Calculator!$E$11)</f>
      </c>
      <c r="U260" s="0">
        <f>MAX(0,C260-Calculator!$E$12)</f>
      </c>
      <c r="V260" s="0">
        <f>MAX(0,D260-Calculator!$E$13)</f>
      </c>
      <c r="W260" s="0">
        <f>MAX(0,E260-Calculator!$E$14)</f>
      </c>
      <c r="X260" s="0">
        <f>MAX(0,F260-Calculator!$E$15)</f>
      </c>
      <c r="Y260" s="0">
        <f>MAX(0,G260-Calculator!$E$16)</f>
      </c>
      <c r="Z260" s="0">
        <f>MAX(0,H260-Calculator!$E$17)</f>
      </c>
      <c r="AA260" s="0">
        <f>MAX(0,I260-Calculator!$E$18)</f>
      </c>
      <c r="AB260" s="0">
        <f>MAX(0,J260-Calculator!$E$19)</f>
      </c>
      <c r="AC260" s="0">
        <f>MAX(0,K260-Calculator!$E$20)</f>
      </c>
      <c r="AD260" s="0">
        <f>MAX(0,L260-Calculator!$E$21)</f>
      </c>
      <c r="AE260" s="0">
        <f>MAX(0,M260-Calculator!$E$22)</f>
      </c>
      <c r="AF260" s="0">
        <f>MAX(0,N260-Calculator!$E$23)</f>
      </c>
      <c r="AG260" s="0">
        <f>MAX(0,O260-Calculator!$E$24)</f>
      </c>
      <c r="AH260" s="0">
        <f>MAX(0,P260-Calculator!$E$25)</f>
      </c>
      <c r="AI260" s="0">
        <f>MAX(0,Q260-Calculator!$E$26)</f>
      </c>
      <c r="AJ260" s="0">
        <f>MAX(0,R260-Calculator!$E$27)</f>
      </c>
      <c r="AK260" s="0">
        <f>MAX(0,S260-Calculator!$E$28)</f>
      </c>
      <c r="AL260" s="0">
        <f>MAX(0,MIN(T260,BX260-SUMPRODUCT(($T$2:$AK$2&lt;T$2)*($T260:$AK260))))</f>
      </c>
      <c r="AM260" s="0">
        <f>MAX(0,MIN(U260,BX260-SUMPRODUCT(($T$2:$AK$2&lt;U$2)*($T260:$AK260))))</f>
      </c>
      <c r="AN260" s="0">
        <f>MAX(0,MIN(V260,BX260-SUMPRODUCT(($T$2:$AK$2&lt;V$2)*($T260:$AK260))))</f>
      </c>
      <c r="AO260" s="0">
        <f>MAX(0,MIN(W260,BX260-SUMPRODUCT(($T$2:$AK$2&lt;W$2)*($T260:$AK260))))</f>
      </c>
      <c r="AP260" s="0">
        <f>MAX(0,MIN(X260,BX260-SUMPRODUCT(($T$2:$AK$2&lt;X$2)*($T260:$AK260))))</f>
      </c>
      <c r="AQ260" s="0">
        <f>MAX(0,MIN(Y260,BX260-SUMPRODUCT(($T$2:$AK$2&lt;Y$2)*($T260:$AK260))))</f>
      </c>
      <c r="AR260" s="0">
        <f>MAX(0,MIN(Z260,BX260-SUMPRODUCT(($T$2:$AK$2&lt;Z$2)*($T260:$AK260))))</f>
      </c>
      <c r="AS260" s="0">
        <f>MAX(0,MIN(AA260,BX260-SUMPRODUCT(($T$2:$AK$2&lt;AA$2)*($T260:$AK260))))</f>
      </c>
      <c r="AT260" s="0">
        <f>MAX(0,MIN(AB260,BX260-SUMPRODUCT(($T$2:$AK$2&lt;AB$2)*($T260:$AK260))))</f>
      </c>
      <c r="AU260" s="0">
        <f>MAX(0,MIN(AC260,BX260-SUMPRODUCT(($T$2:$AK$2&lt;AC$2)*($T260:$AK260))))</f>
      </c>
      <c r="AV260" s="0">
        <f>MAX(0,MIN(AD260,BX260-SUMPRODUCT(($T$2:$AK$2&lt;AD$2)*($T260:$AK260))))</f>
      </c>
      <c r="AW260" s="0">
        <f>MAX(0,MIN(AE260,BX260-SUMPRODUCT(($T$2:$AK$2&lt;AE$2)*($T260:$AK260))))</f>
      </c>
      <c r="AX260" s="0">
        <f>MAX(0,MIN(AF260,BX260-SUMPRODUCT(($T$2:$AK$2&lt;AF$2)*($T260:$AK260))))</f>
      </c>
      <c r="AY260" s="0">
        <f>MAX(0,MIN(AG260,BX260-SUMPRODUCT(($T$2:$AK$2&lt;AG$2)*($T260:$AK260))))</f>
      </c>
      <c r="AZ260" s="0">
        <f>MAX(0,MIN(AH260,BX260-SUMPRODUCT(($T$2:$AK$2&lt;AH$2)*($T260:$AK260))))</f>
      </c>
      <c r="BA260" s="0">
        <f>MAX(0,MIN(AI260,BX260-SUMPRODUCT(($T$2:$AK$2&lt;AI$2)*($T260:$AK260))))</f>
      </c>
      <c r="BB260" s="0">
        <f>MAX(0,MIN(AJ260,BX260-SUMPRODUCT(($T$2:$AK$2&lt;AJ$2)*($T260:$AK260))))</f>
      </c>
      <c r="BC260" s="0">
        <f>MAX(0,MIN(AK260,BX260-SUMPRODUCT(($T$2:$AK$2&lt;AK$2)*($T260:$AK260))))</f>
      </c>
      <c r="BD260" s="0">
        <f>T260-AL260</f>
      </c>
      <c r="BE260" s="0">
        <f>U260-AM260</f>
      </c>
      <c r="BF260" s="0">
        <f>V260-AN260</f>
      </c>
      <c r="BG260" s="0">
        <f>W260-AO260</f>
      </c>
      <c r="BH260" s="0">
        <f>X260-AP260</f>
      </c>
      <c r="BI260" s="0">
        <f>Y260-AQ260</f>
      </c>
      <c r="BJ260" s="0">
        <f>Z260-AR260</f>
      </c>
      <c r="BK260" s="0">
        <f>AA260-AS260</f>
      </c>
      <c r="BL260" s="0">
        <f>AB260-AT260</f>
      </c>
      <c r="BM260" s="0">
        <f>AC260-AU260</f>
      </c>
      <c r="BN260" s="0">
        <f>AD260-AV260</f>
      </c>
      <c r="BO260" s="0">
        <f>AE260-AW260</f>
      </c>
      <c r="BP260" s="0">
        <f>AF260-AX260</f>
      </c>
      <c r="BQ260" s="0">
        <f>AG260-AY260</f>
      </c>
      <c r="BR260" s="0">
        <f>AH260-AZ260</f>
      </c>
      <c r="BS260" s="0">
        <f>AI260-BA260</f>
      </c>
      <c r="BT260" s="0">
        <f>AJ260-BB260</f>
      </c>
      <c r="BU260" s="0">
        <f>AK260-BC260</f>
      </c>
      <c r="BV260" s="0">
        <f>SUM(B260:S260)</f>
      </c>
      <c r="BW260" s="0">
        <f>SUM(T260:AK260)</f>
      </c>
      <c r="BX260" s="0">
        <f>MAX(0,(SUM(Calculator!$E$11:$E$28)+Calculator!$C$6)-BV260+BW260)</f>
      </c>
      <c r="BY260" s="0">
        <f>SUM(BD260:BU260)</f>
      </c>
      <c r="BZ260" s="0">
        <f>BV260-BY259</f>
      </c>
      <c r="CA260" s="0">
        <f>IF(A260&lt;=IF($CD$1=0,999,$CD$1),BY260,NA())</f>
      </c>
      <c r="CB260" s="0">
        <f>IF(A260&lt;=IF($CD$1=0,999,$CD$1),A260,NA())</f>
      </c>
    </row>
    <row r="261">
      <c r="A261" s="0">
        <v>258</v>
      </c>
      <c r="B261" s="0">
        <f>BD260*(1+Calculator!$D$11/100/12)</f>
      </c>
      <c r="C261" s="0">
        <f>BE260*(1+Calculator!$D$12/100/12)</f>
      </c>
      <c r="D261" s="0">
        <f>BF260*(1+Calculator!$D$13/100/12)</f>
      </c>
      <c r="E261" s="0">
        <f>BG260*(1+Calculator!$D$14/100/12)</f>
      </c>
      <c r="F261" s="0">
        <f>BH260*(1+Calculator!$D$15/100/12)</f>
      </c>
      <c r="G261" s="0">
        <f>BI260*(1+Calculator!$D$16/100/12)</f>
      </c>
      <c r="H261" s="0">
        <f>BJ260*(1+Calculator!$D$17/100/12)</f>
      </c>
      <c r="I261" s="0">
        <f>BK260*(1+Calculator!$D$18/100/12)</f>
      </c>
      <c r="J261" s="0">
        <f>BL260*(1+Calculator!$D$19/100/12)</f>
      </c>
      <c r="K261" s="0">
        <f>BM260*(1+Calculator!$D$20/100/12)</f>
      </c>
      <c r="L261" s="0">
        <f>BN260*(1+Calculator!$D$21/100/12)</f>
      </c>
      <c r="M261" s="0">
        <f>BO260*(1+Calculator!$D$22/100/12)</f>
      </c>
      <c r="N261" s="0">
        <f>BP260*(1+Calculator!$D$23/100/12)</f>
      </c>
      <c r="O261" s="0">
        <f>BQ260*(1+Calculator!$D$24/100/12)</f>
      </c>
      <c r="P261" s="0">
        <f>BR260*(1+Calculator!$D$25/100/12)</f>
      </c>
      <c r="Q261" s="0">
        <f>BS260*(1+Calculator!$D$26/100/12)</f>
      </c>
      <c r="R261" s="0">
        <f>BT260*(1+Calculator!$D$27/100/12)</f>
      </c>
      <c r="S261" s="0">
        <f>BU260*(1+Calculator!$D$28/100/12)</f>
      </c>
      <c r="T261" s="0">
        <f>MAX(0,B261-Calculator!$E$11)</f>
      </c>
      <c r="U261" s="0">
        <f>MAX(0,C261-Calculator!$E$12)</f>
      </c>
      <c r="V261" s="0">
        <f>MAX(0,D261-Calculator!$E$13)</f>
      </c>
      <c r="W261" s="0">
        <f>MAX(0,E261-Calculator!$E$14)</f>
      </c>
      <c r="X261" s="0">
        <f>MAX(0,F261-Calculator!$E$15)</f>
      </c>
      <c r="Y261" s="0">
        <f>MAX(0,G261-Calculator!$E$16)</f>
      </c>
      <c r="Z261" s="0">
        <f>MAX(0,H261-Calculator!$E$17)</f>
      </c>
      <c r="AA261" s="0">
        <f>MAX(0,I261-Calculator!$E$18)</f>
      </c>
      <c r="AB261" s="0">
        <f>MAX(0,J261-Calculator!$E$19)</f>
      </c>
      <c r="AC261" s="0">
        <f>MAX(0,K261-Calculator!$E$20)</f>
      </c>
      <c r="AD261" s="0">
        <f>MAX(0,L261-Calculator!$E$21)</f>
      </c>
      <c r="AE261" s="0">
        <f>MAX(0,M261-Calculator!$E$22)</f>
      </c>
      <c r="AF261" s="0">
        <f>MAX(0,N261-Calculator!$E$23)</f>
      </c>
      <c r="AG261" s="0">
        <f>MAX(0,O261-Calculator!$E$24)</f>
      </c>
      <c r="AH261" s="0">
        <f>MAX(0,P261-Calculator!$E$25)</f>
      </c>
      <c r="AI261" s="0">
        <f>MAX(0,Q261-Calculator!$E$26)</f>
      </c>
      <c r="AJ261" s="0">
        <f>MAX(0,R261-Calculator!$E$27)</f>
      </c>
      <c r="AK261" s="0">
        <f>MAX(0,S261-Calculator!$E$28)</f>
      </c>
      <c r="AL261" s="0">
        <f>MAX(0,MIN(T261,BX261-SUMPRODUCT(($T$2:$AK$2&lt;T$2)*($T261:$AK261))))</f>
      </c>
      <c r="AM261" s="0">
        <f>MAX(0,MIN(U261,BX261-SUMPRODUCT(($T$2:$AK$2&lt;U$2)*($T261:$AK261))))</f>
      </c>
      <c r="AN261" s="0">
        <f>MAX(0,MIN(V261,BX261-SUMPRODUCT(($T$2:$AK$2&lt;V$2)*($T261:$AK261))))</f>
      </c>
      <c r="AO261" s="0">
        <f>MAX(0,MIN(W261,BX261-SUMPRODUCT(($T$2:$AK$2&lt;W$2)*($T261:$AK261))))</f>
      </c>
      <c r="AP261" s="0">
        <f>MAX(0,MIN(X261,BX261-SUMPRODUCT(($T$2:$AK$2&lt;X$2)*($T261:$AK261))))</f>
      </c>
      <c r="AQ261" s="0">
        <f>MAX(0,MIN(Y261,BX261-SUMPRODUCT(($T$2:$AK$2&lt;Y$2)*($T261:$AK261))))</f>
      </c>
      <c r="AR261" s="0">
        <f>MAX(0,MIN(Z261,BX261-SUMPRODUCT(($T$2:$AK$2&lt;Z$2)*($T261:$AK261))))</f>
      </c>
      <c r="AS261" s="0">
        <f>MAX(0,MIN(AA261,BX261-SUMPRODUCT(($T$2:$AK$2&lt;AA$2)*($T261:$AK261))))</f>
      </c>
      <c r="AT261" s="0">
        <f>MAX(0,MIN(AB261,BX261-SUMPRODUCT(($T$2:$AK$2&lt;AB$2)*($T261:$AK261))))</f>
      </c>
      <c r="AU261" s="0">
        <f>MAX(0,MIN(AC261,BX261-SUMPRODUCT(($T$2:$AK$2&lt;AC$2)*($T261:$AK261))))</f>
      </c>
      <c r="AV261" s="0">
        <f>MAX(0,MIN(AD261,BX261-SUMPRODUCT(($T$2:$AK$2&lt;AD$2)*($T261:$AK261))))</f>
      </c>
      <c r="AW261" s="0">
        <f>MAX(0,MIN(AE261,BX261-SUMPRODUCT(($T$2:$AK$2&lt;AE$2)*($T261:$AK261))))</f>
      </c>
      <c r="AX261" s="0">
        <f>MAX(0,MIN(AF261,BX261-SUMPRODUCT(($T$2:$AK$2&lt;AF$2)*($T261:$AK261))))</f>
      </c>
      <c r="AY261" s="0">
        <f>MAX(0,MIN(AG261,BX261-SUMPRODUCT(($T$2:$AK$2&lt;AG$2)*($T261:$AK261))))</f>
      </c>
      <c r="AZ261" s="0">
        <f>MAX(0,MIN(AH261,BX261-SUMPRODUCT(($T$2:$AK$2&lt;AH$2)*($T261:$AK261))))</f>
      </c>
      <c r="BA261" s="0">
        <f>MAX(0,MIN(AI261,BX261-SUMPRODUCT(($T$2:$AK$2&lt;AI$2)*($T261:$AK261))))</f>
      </c>
      <c r="BB261" s="0">
        <f>MAX(0,MIN(AJ261,BX261-SUMPRODUCT(($T$2:$AK$2&lt;AJ$2)*($T261:$AK261))))</f>
      </c>
      <c r="BC261" s="0">
        <f>MAX(0,MIN(AK261,BX261-SUMPRODUCT(($T$2:$AK$2&lt;AK$2)*($T261:$AK261))))</f>
      </c>
      <c r="BD261" s="0">
        <f>T261-AL261</f>
      </c>
      <c r="BE261" s="0">
        <f>U261-AM261</f>
      </c>
      <c r="BF261" s="0">
        <f>V261-AN261</f>
      </c>
      <c r="BG261" s="0">
        <f>W261-AO261</f>
      </c>
      <c r="BH261" s="0">
        <f>X261-AP261</f>
      </c>
      <c r="BI261" s="0">
        <f>Y261-AQ261</f>
      </c>
      <c r="BJ261" s="0">
        <f>Z261-AR261</f>
      </c>
      <c r="BK261" s="0">
        <f>AA261-AS261</f>
      </c>
      <c r="BL261" s="0">
        <f>AB261-AT261</f>
      </c>
      <c r="BM261" s="0">
        <f>AC261-AU261</f>
      </c>
      <c r="BN261" s="0">
        <f>AD261-AV261</f>
      </c>
      <c r="BO261" s="0">
        <f>AE261-AW261</f>
      </c>
      <c r="BP261" s="0">
        <f>AF261-AX261</f>
      </c>
      <c r="BQ261" s="0">
        <f>AG261-AY261</f>
      </c>
      <c r="BR261" s="0">
        <f>AH261-AZ261</f>
      </c>
      <c r="BS261" s="0">
        <f>AI261-BA261</f>
      </c>
      <c r="BT261" s="0">
        <f>AJ261-BB261</f>
      </c>
      <c r="BU261" s="0">
        <f>AK261-BC261</f>
      </c>
      <c r="BV261" s="0">
        <f>SUM(B261:S261)</f>
      </c>
      <c r="BW261" s="0">
        <f>SUM(T261:AK261)</f>
      </c>
      <c r="BX261" s="0">
        <f>MAX(0,(SUM(Calculator!$E$11:$E$28)+Calculator!$C$6)-BV261+BW261)</f>
      </c>
      <c r="BY261" s="0">
        <f>SUM(BD261:BU261)</f>
      </c>
      <c r="BZ261" s="0">
        <f>BV261-BY260</f>
      </c>
      <c r="CA261" s="0">
        <f>IF(A261&lt;=IF($CD$1=0,999,$CD$1),BY261,NA())</f>
      </c>
      <c r="CB261" s="0">
        <f>IF(A261&lt;=IF($CD$1=0,999,$CD$1),A261,NA())</f>
      </c>
    </row>
    <row r="262">
      <c r="A262" s="0">
        <v>259</v>
      </c>
      <c r="B262" s="0">
        <f>BD261*(1+Calculator!$D$11/100/12)</f>
      </c>
      <c r="C262" s="0">
        <f>BE261*(1+Calculator!$D$12/100/12)</f>
      </c>
      <c r="D262" s="0">
        <f>BF261*(1+Calculator!$D$13/100/12)</f>
      </c>
      <c r="E262" s="0">
        <f>BG261*(1+Calculator!$D$14/100/12)</f>
      </c>
      <c r="F262" s="0">
        <f>BH261*(1+Calculator!$D$15/100/12)</f>
      </c>
      <c r="G262" s="0">
        <f>BI261*(1+Calculator!$D$16/100/12)</f>
      </c>
      <c r="H262" s="0">
        <f>BJ261*(1+Calculator!$D$17/100/12)</f>
      </c>
      <c r="I262" s="0">
        <f>BK261*(1+Calculator!$D$18/100/12)</f>
      </c>
      <c r="J262" s="0">
        <f>BL261*(1+Calculator!$D$19/100/12)</f>
      </c>
      <c r="K262" s="0">
        <f>BM261*(1+Calculator!$D$20/100/12)</f>
      </c>
      <c r="L262" s="0">
        <f>BN261*(1+Calculator!$D$21/100/12)</f>
      </c>
      <c r="M262" s="0">
        <f>BO261*(1+Calculator!$D$22/100/12)</f>
      </c>
      <c r="N262" s="0">
        <f>BP261*(1+Calculator!$D$23/100/12)</f>
      </c>
      <c r="O262" s="0">
        <f>BQ261*(1+Calculator!$D$24/100/12)</f>
      </c>
      <c r="P262" s="0">
        <f>BR261*(1+Calculator!$D$25/100/12)</f>
      </c>
      <c r="Q262" s="0">
        <f>BS261*(1+Calculator!$D$26/100/12)</f>
      </c>
      <c r="R262" s="0">
        <f>BT261*(1+Calculator!$D$27/100/12)</f>
      </c>
      <c r="S262" s="0">
        <f>BU261*(1+Calculator!$D$28/100/12)</f>
      </c>
      <c r="T262" s="0">
        <f>MAX(0,B262-Calculator!$E$11)</f>
      </c>
      <c r="U262" s="0">
        <f>MAX(0,C262-Calculator!$E$12)</f>
      </c>
      <c r="V262" s="0">
        <f>MAX(0,D262-Calculator!$E$13)</f>
      </c>
      <c r="W262" s="0">
        <f>MAX(0,E262-Calculator!$E$14)</f>
      </c>
      <c r="X262" s="0">
        <f>MAX(0,F262-Calculator!$E$15)</f>
      </c>
      <c r="Y262" s="0">
        <f>MAX(0,G262-Calculator!$E$16)</f>
      </c>
      <c r="Z262" s="0">
        <f>MAX(0,H262-Calculator!$E$17)</f>
      </c>
      <c r="AA262" s="0">
        <f>MAX(0,I262-Calculator!$E$18)</f>
      </c>
      <c r="AB262" s="0">
        <f>MAX(0,J262-Calculator!$E$19)</f>
      </c>
      <c r="AC262" s="0">
        <f>MAX(0,K262-Calculator!$E$20)</f>
      </c>
      <c r="AD262" s="0">
        <f>MAX(0,L262-Calculator!$E$21)</f>
      </c>
      <c r="AE262" s="0">
        <f>MAX(0,M262-Calculator!$E$22)</f>
      </c>
      <c r="AF262" s="0">
        <f>MAX(0,N262-Calculator!$E$23)</f>
      </c>
      <c r="AG262" s="0">
        <f>MAX(0,O262-Calculator!$E$24)</f>
      </c>
      <c r="AH262" s="0">
        <f>MAX(0,P262-Calculator!$E$25)</f>
      </c>
      <c r="AI262" s="0">
        <f>MAX(0,Q262-Calculator!$E$26)</f>
      </c>
      <c r="AJ262" s="0">
        <f>MAX(0,R262-Calculator!$E$27)</f>
      </c>
      <c r="AK262" s="0">
        <f>MAX(0,S262-Calculator!$E$28)</f>
      </c>
      <c r="AL262" s="0">
        <f>MAX(0,MIN(T262,BX262-SUMPRODUCT(($T$2:$AK$2&lt;T$2)*($T262:$AK262))))</f>
      </c>
      <c r="AM262" s="0">
        <f>MAX(0,MIN(U262,BX262-SUMPRODUCT(($T$2:$AK$2&lt;U$2)*($T262:$AK262))))</f>
      </c>
      <c r="AN262" s="0">
        <f>MAX(0,MIN(V262,BX262-SUMPRODUCT(($T$2:$AK$2&lt;V$2)*($T262:$AK262))))</f>
      </c>
      <c r="AO262" s="0">
        <f>MAX(0,MIN(W262,BX262-SUMPRODUCT(($T$2:$AK$2&lt;W$2)*($T262:$AK262))))</f>
      </c>
      <c r="AP262" s="0">
        <f>MAX(0,MIN(X262,BX262-SUMPRODUCT(($T$2:$AK$2&lt;X$2)*($T262:$AK262))))</f>
      </c>
      <c r="AQ262" s="0">
        <f>MAX(0,MIN(Y262,BX262-SUMPRODUCT(($T$2:$AK$2&lt;Y$2)*($T262:$AK262))))</f>
      </c>
      <c r="AR262" s="0">
        <f>MAX(0,MIN(Z262,BX262-SUMPRODUCT(($T$2:$AK$2&lt;Z$2)*($T262:$AK262))))</f>
      </c>
      <c r="AS262" s="0">
        <f>MAX(0,MIN(AA262,BX262-SUMPRODUCT(($T$2:$AK$2&lt;AA$2)*($T262:$AK262))))</f>
      </c>
      <c r="AT262" s="0">
        <f>MAX(0,MIN(AB262,BX262-SUMPRODUCT(($T$2:$AK$2&lt;AB$2)*($T262:$AK262))))</f>
      </c>
      <c r="AU262" s="0">
        <f>MAX(0,MIN(AC262,BX262-SUMPRODUCT(($T$2:$AK$2&lt;AC$2)*($T262:$AK262))))</f>
      </c>
      <c r="AV262" s="0">
        <f>MAX(0,MIN(AD262,BX262-SUMPRODUCT(($T$2:$AK$2&lt;AD$2)*($T262:$AK262))))</f>
      </c>
      <c r="AW262" s="0">
        <f>MAX(0,MIN(AE262,BX262-SUMPRODUCT(($T$2:$AK$2&lt;AE$2)*($T262:$AK262))))</f>
      </c>
      <c r="AX262" s="0">
        <f>MAX(0,MIN(AF262,BX262-SUMPRODUCT(($T$2:$AK$2&lt;AF$2)*($T262:$AK262))))</f>
      </c>
      <c r="AY262" s="0">
        <f>MAX(0,MIN(AG262,BX262-SUMPRODUCT(($T$2:$AK$2&lt;AG$2)*($T262:$AK262))))</f>
      </c>
      <c r="AZ262" s="0">
        <f>MAX(0,MIN(AH262,BX262-SUMPRODUCT(($T$2:$AK$2&lt;AH$2)*($T262:$AK262))))</f>
      </c>
      <c r="BA262" s="0">
        <f>MAX(0,MIN(AI262,BX262-SUMPRODUCT(($T$2:$AK$2&lt;AI$2)*($T262:$AK262))))</f>
      </c>
      <c r="BB262" s="0">
        <f>MAX(0,MIN(AJ262,BX262-SUMPRODUCT(($T$2:$AK$2&lt;AJ$2)*($T262:$AK262))))</f>
      </c>
      <c r="BC262" s="0">
        <f>MAX(0,MIN(AK262,BX262-SUMPRODUCT(($T$2:$AK$2&lt;AK$2)*($T262:$AK262))))</f>
      </c>
      <c r="BD262" s="0">
        <f>T262-AL262</f>
      </c>
      <c r="BE262" s="0">
        <f>U262-AM262</f>
      </c>
      <c r="BF262" s="0">
        <f>V262-AN262</f>
      </c>
      <c r="BG262" s="0">
        <f>W262-AO262</f>
      </c>
      <c r="BH262" s="0">
        <f>X262-AP262</f>
      </c>
      <c r="BI262" s="0">
        <f>Y262-AQ262</f>
      </c>
      <c r="BJ262" s="0">
        <f>Z262-AR262</f>
      </c>
      <c r="BK262" s="0">
        <f>AA262-AS262</f>
      </c>
      <c r="BL262" s="0">
        <f>AB262-AT262</f>
      </c>
      <c r="BM262" s="0">
        <f>AC262-AU262</f>
      </c>
      <c r="BN262" s="0">
        <f>AD262-AV262</f>
      </c>
      <c r="BO262" s="0">
        <f>AE262-AW262</f>
      </c>
      <c r="BP262" s="0">
        <f>AF262-AX262</f>
      </c>
      <c r="BQ262" s="0">
        <f>AG262-AY262</f>
      </c>
      <c r="BR262" s="0">
        <f>AH262-AZ262</f>
      </c>
      <c r="BS262" s="0">
        <f>AI262-BA262</f>
      </c>
      <c r="BT262" s="0">
        <f>AJ262-BB262</f>
      </c>
      <c r="BU262" s="0">
        <f>AK262-BC262</f>
      </c>
      <c r="BV262" s="0">
        <f>SUM(B262:S262)</f>
      </c>
      <c r="BW262" s="0">
        <f>SUM(T262:AK262)</f>
      </c>
      <c r="BX262" s="0">
        <f>MAX(0,(SUM(Calculator!$E$11:$E$28)+Calculator!$C$6)-BV262+BW262)</f>
      </c>
      <c r="BY262" s="0">
        <f>SUM(BD262:BU262)</f>
      </c>
      <c r="BZ262" s="0">
        <f>BV262-BY261</f>
      </c>
      <c r="CA262" s="0">
        <f>IF(A262&lt;=IF($CD$1=0,999,$CD$1),BY262,NA())</f>
      </c>
      <c r="CB262" s="0">
        <f>IF(A262&lt;=IF($CD$1=0,999,$CD$1),A262,NA())</f>
      </c>
    </row>
    <row r="263">
      <c r="A263" s="0">
        <v>260</v>
      </c>
      <c r="B263" s="0">
        <f>BD262*(1+Calculator!$D$11/100/12)</f>
      </c>
      <c r="C263" s="0">
        <f>BE262*(1+Calculator!$D$12/100/12)</f>
      </c>
      <c r="D263" s="0">
        <f>BF262*(1+Calculator!$D$13/100/12)</f>
      </c>
      <c r="E263" s="0">
        <f>BG262*(1+Calculator!$D$14/100/12)</f>
      </c>
      <c r="F263" s="0">
        <f>BH262*(1+Calculator!$D$15/100/12)</f>
      </c>
      <c r="G263" s="0">
        <f>BI262*(1+Calculator!$D$16/100/12)</f>
      </c>
      <c r="H263" s="0">
        <f>BJ262*(1+Calculator!$D$17/100/12)</f>
      </c>
      <c r="I263" s="0">
        <f>BK262*(1+Calculator!$D$18/100/12)</f>
      </c>
      <c r="J263" s="0">
        <f>BL262*(1+Calculator!$D$19/100/12)</f>
      </c>
      <c r="K263" s="0">
        <f>BM262*(1+Calculator!$D$20/100/12)</f>
      </c>
      <c r="L263" s="0">
        <f>BN262*(1+Calculator!$D$21/100/12)</f>
      </c>
      <c r="M263" s="0">
        <f>BO262*(1+Calculator!$D$22/100/12)</f>
      </c>
      <c r="N263" s="0">
        <f>BP262*(1+Calculator!$D$23/100/12)</f>
      </c>
      <c r="O263" s="0">
        <f>BQ262*(1+Calculator!$D$24/100/12)</f>
      </c>
      <c r="P263" s="0">
        <f>BR262*(1+Calculator!$D$25/100/12)</f>
      </c>
      <c r="Q263" s="0">
        <f>BS262*(1+Calculator!$D$26/100/12)</f>
      </c>
      <c r="R263" s="0">
        <f>BT262*(1+Calculator!$D$27/100/12)</f>
      </c>
      <c r="S263" s="0">
        <f>BU262*(1+Calculator!$D$28/100/12)</f>
      </c>
      <c r="T263" s="0">
        <f>MAX(0,B263-Calculator!$E$11)</f>
      </c>
      <c r="U263" s="0">
        <f>MAX(0,C263-Calculator!$E$12)</f>
      </c>
      <c r="V263" s="0">
        <f>MAX(0,D263-Calculator!$E$13)</f>
      </c>
      <c r="W263" s="0">
        <f>MAX(0,E263-Calculator!$E$14)</f>
      </c>
      <c r="X263" s="0">
        <f>MAX(0,F263-Calculator!$E$15)</f>
      </c>
      <c r="Y263" s="0">
        <f>MAX(0,G263-Calculator!$E$16)</f>
      </c>
      <c r="Z263" s="0">
        <f>MAX(0,H263-Calculator!$E$17)</f>
      </c>
      <c r="AA263" s="0">
        <f>MAX(0,I263-Calculator!$E$18)</f>
      </c>
      <c r="AB263" s="0">
        <f>MAX(0,J263-Calculator!$E$19)</f>
      </c>
      <c r="AC263" s="0">
        <f>MAX(0,K263-Calculator!$E$20)</f>
      </c>
      <c r="AD263" s="0">
        <f>MAX(0,L263-Calculator!$E$21)</f>
      </c>
      <c r="AE263" s="0">
        <f>MAX(0,M263-Calculator!$E$22)</f>
      </c>
      <c r="AF263" s="0">
        <f>MAX(0,N263-Calculator!$E$23)</f>
      </c>
      <c r="AG263" s="0">
        <f>MAX(0,O263-Calculator!$E$24)</f>
      </c>
      <c r="AH263" s="0">
        <f>MAX(0,P263-Calculator!$E$25)</f>
      </c>
      <c r="AI263" s="0">
        <f>MAX(0,Q263-Calculator!$E$26)</f>
      </c>
      <c r="AJ263" s="0">
        <f>MAX(0,R263-Calculator!$E$27)</f>
      </c>
      <c r="AK263" s="0">
        <f>MAX(0,S263-Calculator!$E$28)</f>
      </c>
      <c r="AL263" s="0">
        <f>MAX(0,MIN(T263,BX263-SUMPRODUCT(($T$2:$AK$2&lt;T$2)*($T263:$AK263))))</f>
      </c>
      <c r="AM263" s="0">
        <f>MAX(0,MIN(U263,BX263-SUMPRODUCT(($T$2:$AK$2&lt;U$2)*($T263:$AK263))))</f>
      </c>
      <c r="AN263" s="0">
        <f>MAX(0,MIN(V263,BX263-SUMPRODUCT(($T$2:$AK$2&lt;V$2)*($T263:$AK263))))</f>
      </c>
      <c r="AO263" s="0">
        <f>MAX(0,MIN(W263,BX263-SUMPRODUCT(($T$2:$AK$2&lt;W$2)*($T263:$AK263))))</f>
      </c>
      <c r="AP263" s="0">
        <f>MAX(0,MIN(X263,BX263-SUMPRODUCT(($T$2:$AK$2&lt;X$2)*($T263:$AK263))))</f>
      </c>
      <c r="AQ263" s="0">
        <f>MAX(0,MIN(Y263,BX263-SUMPRODUCT(($T$2:$AK$2&lt;Y$2)*($T263:$AK263))))</f>
      </c>
      <c r="AR263" s="0">
        <f>MAX(0,MIN(Z263,BX263-SUMPRODUCT(($T$2:$AK$2&lt;Z$2)*($T263:$AK263))))</f>
      </c>
      <c r="AS263" s="0">
        <f>MAX(0,MIN(AA263,BX263-SUMPRODUCT(($T$2:$AK$2&lt;AA$2)*($T263:$AK263))))</f>
      </c>
      <c r="AT263" s="0">
        <f>MAX(0,MIN(AB263,BX263-SUMPRODUCT(($T$2:$AK$2&lt;AB$2)*($T263:$AK263))))</f>
      </c>
      <c r="AU263" s="0">
        <f>MAX(0,MIN(AC263,BX263-SUMPRODUCT(($T$2:$AK$2&lt;AC$2)*($T263:$AK263))))</f>
      </c>
      <c r="AV263" s="0">
        <f>MAX(0,MIN(AD263,BX263-SUMPRODUCT(($T$2:$AK$2&lt;AD$2)*($T263:$AK263))))</f>
      </c>
      <c r="AW263" s="0">
        <f>MAX(0,MIN(AE263,BX263-SUMPRODUCT(($T$2:$AK$2&lt;AE$2)*($T263:$AK263))))</f>
      </c>
      <c r="AX263" s="0">
        <f>MAX(0,MIN(AF263,BX263-SUMPRODUCT(($T$2:$AK$2&lt;AF$2)*($T263:$AK263))))</f>
      </c>
      <c r="AY263" s="0">
        <f>MAX(0,MIN(AG263,BX263-SUMPRODUCT(($T$2:$AK$2&lt;AG$2)*($T263:$AK263))))</f>
      </c>
      <c r="AZ263" s="0">
        <f>MAX(0,MIN(AH263,BX263-SUMPRODUCT(($T$2:$AK$2&lt;AH$2)*($T263:$AK263))))</f>
      </c>
      <c r="BA263" s="0">
        <f>MAX(0,MIN(AI263,BX263-SUMPRODUCT(($T$2:$AK$2&lt;AI$2)*($T263:$AK263))))</f>
      </c>
      <c r="BB263" s="0">
        <f>MAX(0,MIN(AJ263,BX263-SUMPRODUCT(($T$2:$AK$2&lt;AJ$2)*($T263:$AK263))))</f>
      </c>
      <c r="BC263" s="0">
        <f>MAX(0,MIN(AK263,BX263-SUMPRODUCT(($T$2:$AK$2&lt;AK$2)*($T263:$AK263))))</f>
      </c>
      <c r="BD263" s="0">
        <f>T263-AL263</f>
      </c>
      <c r="BE263" s="0">
        <f>U263-AM263</f>
      </c>
      <c r="BF263" s="0">
        <f>V263-AN263</f>
      </c>
      <c r="BG263" s="0">
        <f>W263-AO263</f>
      </c>
      <c r="BH263" s="0">
        <f>X263-AP263</f>
      </c>
      <c r="BI263" s="0">
        <f>Y263-AQ263</f>
      </c>
      <c r="BJ263" s="0">
        <f>Z263-AR263</f>
      </c>
      <c r="BK263" s="0">
        <f>AA263-AS263</f>
      </c>
      <c r="BL263" s="0">
        <f>AB263-AT263</f>
      </c>
      <c r="BM263" s="0">
        <f>AC263-AU263</f>
      </c>
      <c r="BN263" s="0">
        <f>AD263-AV263</f>
      </c>
      <c r="BO263" s="0">
        <f>AE263-AW263</f>
      </c>
      <c r="BP263" s="0">
        <f>AF263-AX263</f>
      </c>
      <c r="BQ263" s="0">
        <f>AG263-AY263</f>
      </c>
      <c r="BR263" s="0">
        <f>AH263-AZ263</f>
      </c>
      <c r="BS263" s="0">
        <f>AI263-BA263</f>
      </c>
      <c r="BT263" s="0">
        <f>AJ263-BB263</f>
      </c>
      <c r="BU263" s="0">
        <f>AK263-BC263</f>
      </c>
      <c r="BV263" s="0">
        <f>SUM(B263:S263)</f>
      </c>
      <c r="BW263" s="0">
        <f>SUM(T263:AK263)</f>
      </c>
      <c r="BX263" s="0">
        <f>MAX(0,(SUM(Calculator!$E$11:$E$28)+Calculator!$C$6)-BV263+BW263)</f>
      </c>
      <c r="BY263" s="0">
        <f>SUM(BD263:BU263)</f>
      </c>
      <c r="BZ263" s="0">
        <f>BV263-BY262</f>
      </c>
      <c r="CA263" s="0">
        <f>IF(A263&lt;=IF($CD$1=0,999,$CD$1),BY263,NA())</f>
      </c>
      <c r="CB263" s="0">
        <f>IF(A263&lt;=IF($CD$1=0,999,$CD$1),A263,NA())</f>
      </c>
    </row>
    <row r="264">
      <c r="A264" s="0">
        <v>261</v>
      </c>
      <c r="B264" s="0">
        <f>BD263*(1+Calculator!$D$11/100/12)</f>
      </c>
      <c r="C264" s="0">
        <f>BE263*(1+Calculator!$D$12/100/12)</f>
      </c>
      <c r="D264" s="0">
        <f>BF263*(1+Calculator!$D$13/100/12)</f>
      </c>
      <c r="E264" s="0">
        <f>BG263*(1+Calculator!$D$14/100/12)</f>
      </c>
      <c r="F264" s="0">
        <f>BH263*(1+Calculator!$D$15/100/12)</f>
      </c>
      <c r="G264" s="0">
        <f>BI263*(1+Calculator!$D$16/100/12)</f>
      </c>
      <c r="H264" s="0">
        <f>BJ263*(1+Calculator!$D$17/100/12)</f>
      </c>
      <c r="I264" s="0">
        <f>BK263*(1+Calculator!$D$18/100/12)</f>
      </c>
      <c r="J264" s="0">
        <f>BL263*(1+Calculator!$D$19/100/12)</f>
      </c>
      <c r="K264" s="0">
        <f>BM263*(1+Calculator!$D$20/100/12)</f>
      </c>
      <c r="L264" s="0">
        <f>BN263*(1+Calculator!$D$21/100/12)</f>
      </c>
      <c r="M264" s="0">
        <f>BO263*(1+Calculator!$D$22/100/12)</f>
      </c>
      <c r="N264" s="0">
        <f>BP263*(1+Calculator!$D$23/100/12)</f>
      </c>
      <c r="O264" s="0">
        <f>BQ263*(1+Calculator!$D$24/100/12)</f>
      </c>
      <c r="P264" s="0">
        <f>BR263*(1+Calculator!$D$25/100/12)</f>
      </c>
      <c r="Q264" s="0">
        <f>BS263*(1+Calculator!$D$26/100/12)</f>
      </c>
      <c r="R264" s="0">
        <f>BT263*(1+Calculator!$D$27/100/12)</f>
      </c>
      <c r="S264" s="0">
        <f>BU263*(1+Calculator!$D$28/100/12)</f>
      </c>
      <c r="T264" s="0">
        <f>MAX(0,B264-Calculator!$E$11)</f>
      </c>
      <c r="U264" s="0">
        <f>MAX(0,C264-Calculator!$E$12)</f>
      </c>
      <c r="V264" s="0">
        <f>MAX(0,D264-Calculator!$E$13)</f>
      </c>
      <c r="W264" s="0">
        <f>MAX(0,E264-Calculator!$E$14)</f>
      </c>
      <c r="X264" s="0">
        <f>MAX(0,F264-Calculator!$E$15)</f>
      </c>
      <c r="Y264" s="0">
        <f>MAX(0,G264-Calculator!$E$16)</f>
      </c>
      <c r="Z264" s="0">
        <f>MAX(0,H264-Calculator!$E$17)</f>
      </c>
      <c r="AA264" s="0">
        <f>MAX(0,I264-Calculator!$E$18)</f>
      </c>
      <c r="AB264" s="0">
        <f>MAX(0,J264-Calculator!$E$19)</f>
      </c>
      <c r="AC264" s="0">
        <f>MAX(0,K264-Calculator!$E$20)</f>
      </c>
      <c r="AD264" s="0">
        <f>MAX(0,L264-Calculator!$E$21)</f>
      </c>
      <c r="AE264" s="0">
        <f>MAX(0,M264-Calculator!$E$22)</f>
      </c>
      <c r="AF264" s="0">
        <f>MAX(0,N264-Calculator!$E$23)</f>
      </c>
      <c r="AG264" s="0">
        <f>MAX(0,O264-Calculator!$E$24)</f>
      </c>
      <c r="AH264" s="0">
        <f>MAX(0,P264-Calculator!$E$25)</f>
      </c>
      <c r="AI264" s="0">
        <f>MAX(0,Q264-Calculator!$E$26)</f>
      </c>
      <c r="AJ264" s="0">
        <f>MAX(0,R264-Calculator!$E$27)</f>
      </c>
      <c r="AK264" s="0">
        <f>MAX(0,S264-Calculator!$E$28)</f>
      </c>
      <c r="AL264" s="0">
        <f>MAX(0,MIN(T264,BX264-SUMPRODUCT(($T$2:$AK$2&lt;T$2)*($T264:$AK264))))</f>
      </c>
      <c r="AM264" s="0">
        <f>MAX(0,MIN(U264,BX264-SUMPRODUCT(($T$2:$AK$2&lt;U$2)*($T264:$AK264))))</f>
      </c>
      <c r="AN264" s="0">
        <f>MAX(0,MIN(V264,BX264-SUMPRODUCT(($T$2:$AK$2&lt;V$2)*($T264:$AK264))))</f>
      </c>
      <c r="AO264" s="0">
        <f>MAX(0,MIN(W264,BX264-SUMPRODUCT(($T$2:$AK$2&lt;W$2)*($T264:$AK264))))</f>
      </c>
      <c r="AP264" s="0">
        <f>MAX(0,MIN(X264,BX264-SUMPRODUCT(($T$2:$AK$2&lt;X$2)*($T264:$AK264))))</f>
      </c>
      <c r="AQ264" s="0">
        <f>MAX(0,MIN(Y264,BX264-SUMPRODUCT(($T$2:$AK$2&lt;Y$2)*($T264:$AK264))))</f>
      </c>
      <c r="AR264" s="0">
        <f>MAX(0,MIN(Z264,BX264-SUMPRODUCT(($T$2:$AK$2&lt;Z$2)*($T264:$AK264))))</f>
      </c>
      <c r="AS264" s="0">
        <f>MAX(0,MIN(AA264,BX264-SUMPRODUCT(($T$2:$AK$2&lt;AA$2)*($T264:$AK264))))</f>
      </c>
      <c r="AT264" s="0">
        <f>MAX(0,MIN(AB264,BX264-SUMPRODUCT(($T$2:$AK$2&lt;AB$2)*($T264:$AK264))))</f>
      </c>
      <c r="AU264" s="0">
        <f>MAX(0,MIN(AC264,BX264-SUMPRODUCT(($T$2:$AK$2&lt;AC$2)*($T264:$AK264))))</f>
      </c>
      <c r="AV264" s="0">
        <f>MAX(0,MIN(AD264,BX264-SUMPRODUCT(($T$2:$AK$2&lt;AD$2)*($T264:$AK264))))</f>
      </c>
      <c r="AW264" s="0">
        <f>MAX(0,MIN(AE264,BX264-SUMPRODUCT(($T$2:$AK$2&lt;AE$2)*($T264:$AK264))))</f>
      </c>
      <c r="AX264" s="0">
        <f>MAX(0,MIN(AF264,BX264-SUMPRODUCT(($T$2:$AK$2&lt;AF$2)*($T264:$AK264))))</f>
      </c>
      <c r="AY264" s="0">
        <f>MAX(0,MIN(AG264,BX264-SUMPRODUCT(($T$2:$AK$2&lt;AG$2)*($T264:$AK264))))</f>
      </c>
      <c r="AZ264" s="0">
        <f>MAX(0,MIN(AH264,BX264-SUMPRODUCT(($T$2:$AK$2&lt;AH$2)*($T264:$AK264))))</f>
      </c>
      <c r="BA264" s="0">
        <f>MAX(0,MIN(AI264,BX264-SUMPRODUCT(($T$2:$AK$2&lt;AI$2)*($T264:$AK264))))</f>
      </c>
      <c r="BB264" s="0">
        <f>MAX(0,MIN(AJ264,BX264-SUMPRODUCT(($T$2:$AK$2&lt;AJ$2)*($T264:$AK264))))</f>
      </c>
      <c r="BC264" s="0">
        <f>MAX(0,MIN(AK264,BX264-SUMPRODUCT(($T$2:$AK$2&lt;AK$2)*($T264:$AK264))))</f>
      </c>
      <c r="BD264" s="0">
        <f>T264-AL264</f>
      </c>
      <c r="BE264" s="0">
        <f>U264-AM264</f>
      </c>
      <c r="BF264" s="0">
        <f>V264-AN264</f>
      </c>
      <c r="BG264" s="0">
        <f>W264-AO264</f>
      </c>
      <c r="BH264" s="0">
        <f>X264-AP264</f>
      </c>
      <c r="BI264" s="0">
        <f>Y264-AQ264</f>
      </c>
      <c r="BJ264" s="0">
        <f>Z264-AR264</f>
      </c>
      <c r="BK264" s="0">
        <f>AA264-AS264</f>
      </c>
      <c r="BL264" s="0">
        <f>AB264-AT264</f>
      </c>
      <c r="BM264" s="0">
        <f>AC264-AU264</f>
      </c>
      <c r="BN264" s="0">
        <f>AD264-AV264</f>
      </c>
      <c r="BO264" s="0">
        <f>AE264-AW264</f>
      </c>
      <c r="BP264" s="0">
        <f>AF264-AX264</f>
      </c>
      <c r="BQ264" s="0">
        <f>AG264-AY264</f>
      </c>
      <c r="BR264" s="0">
        <f>AH264-AZ264</f>
      </c>
      <c r="BS264" s="0">
        <f>AI264-BA264</f>
      </c>
      <c r="BT264" s="0">
        <f>AJ264-BB264</f>
      </c>
      <c r="BU264" s="0">
        <f>AK264-BC264</f>
      </c>
      <c r="BV264" s="0">
        <f>SUM(B264:S264)</f>
      </c>
      <c r="BW264" s="0">
        <f>SUM(T264:AK264)</f>
      </c>
      <c r="BX264" s="0">
        <f>MAX(0,(SUM(Calculator!$E$11:$E$28)+Calculator!$C$6)-BV264+BW264)</f>
      </c>
      <c r="BY264" s="0">
        <f>SUM(BD264:BU264)</f>
      </c>
      <c r="BZ264" s="0">
        <f>BV264-BY263</f>
      </c>
      <c r="CA264" s="0">
        <f>IF(A264&lt;=IF($CD$1=0,999,$CD$1),BY264,NA())</f>
      </c>
      <c r="CB264" s="0">
        <f>IF(A264&lt;=IF($CD$1=0,999,$CD$1),A264,NA())</f>
      </c>
    </row>
    <row r="265">
      <c r="A265" s="0">
        <v>262</v>
      </c>
      <c r="B265" s="0">
        <f>BD264*(1+Calculator!$D$11/100/12)</f>
      </c>
      <c r="C265" s="0">
        <f>BE264*(1+Calculator!$D$12/100/12)</f>
      </c>
      <c r="D265" s="0">
        <f>BF264*(1+Calculator!$D$13/100/12)</f>
      </c>
      <c r="E265" s="0">
        <f>BG264*(1+Calculator!$D$14/100/12)</f>
      </c>
      <c r="F265" s="0">
        <f>BH264*(1+Calculator!$D$15/100/12)</f>
      </c>
      <c r="G265" s="0">
        <f>BI264*(1+Calculator!$D$16/100/12)</f>
      </c>
      <c r="H265" s="0">
        <f>BJ264*(1+Calculator!$D$17/100/12)</f>
      </c>
      <c r="I265" s="0">
        <f>BK264*(1+Calculator!$D$18/100/12)</f>
      </c>
      <c r="J265" s="0">
        <f>BL264*(1+Calculator!$D$19/100/12)</f>
      </c>
      <c r="K265" s="0">
        <f>BM264*(1+Calculator!$D$20/100/12)</f>
      </c>
      <c r="L265" s="0">
        <f>BN264*(1+Calculator!$D$21/100/12)</f>
      </c>
      <c r="M265" s="0">
        <f>BO264*(1+Calculator!$D$22/100/12)</f>
      </c>
      <c r="N265" s="0">
        <f>BP264*(1+Calculator!$D$23/100/12)</f>
      </c>
      <c r="O265" s="0">
        <f>BQ264*(1+Calculator!$D$24/100/12)</f>
      </c>
      <c r="P265" s="0">
        <f>BR264*(1+Calculator!$D$25/100/12)</f>
      </c>
      <c r="Q265" s="0">
        <f>BS264*(1+Calculator!$D$26/100/12)</f>
      </c>
      <c r="R265" s="0">
        <f>BT264*(1+Calculator!$D$27/100/12)</f>
      </c>
      <c r="S265" s="0">
        <f>BU264*(1+Calculator!$D$28/100/12)</f>
      </c>
      <c r="T265" s="0">
        <f>MAX(0,B265-Calculator!$E$11)</f>
      </c>
      <c r="U265" s="0">
        <f>MAX(0,C265-Calculator!$E$12)</f>
      </c>
      <c r="V265" s="0">
        <f>MAX(0,D265-Calculator!$E$13)</f>
      </c>
      <c r="W265" s="0">
        <f>MAX(0,E265-Calculator!$E$14)</f>
      </c>
      <c r="X265" s="0">
        <f>MAX(0,F265-Calculator!$E$15)</f>
      </c>
      <c r="Y265" s="0">
        <f>MAX(0,G265-Calculator!$E$16)</f>
      </c>
      <c r="Z265" s="0">
        <f>MAX(0,H265-Calculator!$E$17)</f>
      </c>
      <c r="AA265" s="0">
        <f>MAX(0,I265-Calculator!$E$18)</f>
      </c>
      <c r="AB265" s="0">
        <f>MAX(0,J265-Calculator!$E$19)</f>
      </c>
      <c r="AC265" s="0">
        <f>MAX(0,K265-Calculator!$E$20)</f>
      </c>
      <c r="AD265" s="0">
        <f>MAX(0,L265-Calculator!$E$21)</f>
      </c>
      <c r="AE265" s="0">
        <f>MAX(0,M265-Calculator!$E$22)</f>
      </c>
      <c r="AF265" s="0">
        <f>MAX(0,N265-Calculator!$E$23)</f>
      </c>
      <c r="AG265" s="0">
        <f>MAX(0,O265-Calculator!$E$24)</f>
      </c>
      <c r="AH265" s="0">
        <f>MAX(0,P265-Calculator!$E$25)</f>
      </c>
      <c r="AI265" s="0">
        <f>MAX(0,Q265-Calculator!$E$26)</f>
      </c>
      <c r="AJ265" s="0">
        <f>MAX(0,R265-Calculator!$E$27)</f>
      </c>
      <c r="AK265" s="0">
        <f>MAX(0,S265-Calculator!$E$28)</f>
      </c>
      <c r="AL265" s="0">
        <f>MAX(0,MIN(T265,BX265-SUMPRODUCT(($T$2:$AK$2&lt;T$2)*($T265:$AK265))))</f>
      </c>
      <c r="AM265" s="0">
        <f>MAX(0,MIN(U265,BX265-SUMPRODUCT(($T$2:$AK$2&lt;U$2)*($T265:$AK265))))</f>
      </c>
      <c r="AN265" s="0">
        <f>MAX(0,MIN(V265,BX265-SUMPRODUCT(($T$2:$AK$2&lt;V$2)*($T265:$AK265))))</f>
      </c>
      <c r="AO265" s="0">
        <f>MAX(0,MIN(W265,BX265-SUMPRODUCT(($T$2:$AK$2&lt;W$2)*($T265:$AK265))))</f>
      </c>
      <c r="AP265" s="0">
        <f>MAX(0,MIN(X265,BX265-SUMPRODUCT(($T$2:$AK$2&lt;X$2)*($T265:$AK265))))</f>
      </c>
      <c r="AQ265" s="0">
        <f>MAX(0,MIN(Y265,BX265-SUMPRODUCT(($T$2:$AK$2&lt;Y$2)*($T265:$AK265))))</f>
      </c>
      <c r="AR265" s="0">
        <f>MAX(0,MIN(Z265,BX265-SUMPRODUCT(($T$2:$AK$2&lt;Z$2)*($T265:$AK265))))</f>
      </c>
      <c r="AS265" s="0">
        <f>MAX(0,MIN(AA265,BX265-SUMPRODUCT(($T$2:$AK$2&lt;AA$2)*($T265:$AK265))))</f>
      </c>
      <c r="AT265" s="0">
        <f>MAX(0,MIN(AB265,BX265-SUMPRODUCT(($T$2:$AK$2&lt;AB$2)*($T265:$AK265))))</f>
      </c>
      <c r="AU265" s="0">
        <f>MAX(0,MIN(AC265,BX265-SUMPRODUCT(($T$2:$AK$2&lt;AC$2)*($T265:$AK265))))</f>
      </c>
      <c r="AV265" s="0">
        <f>MAX(0,MIN(AD265,BX265-SUMPRODUCT(($T$2:$AK$2&lt;AD$2)*($T265:$AK265))))</f>
      </c>
      <c r="AW265" s="0">
        <f>MAX(0,MIN(AE265,BX265-SUMPRODUCT(($T$2:$AK$2&lt;AE$2)*($T265:$AK265))))</f>
      </c>
      <c r="AX265" s="0">
        <f>MAX(0,MIN(AF265,BX265-SUMPRODUCT(($T$2:$AK$2&lt;AF$2)*($T265:$AK265))))</f>
      </c>
      <c r="AY265" s="0">
        <f>MAX(0,MIN(AG265,BX265-SUMPRODUCT(($T$2:$AK$2&lt;AG$2)*($T265:$AK265))))</f>
      </c>
      <c r="AZ265" s="0">
        <f>MAX(0,MIN(AH265,BX265-SUMPRODUCT(($T$2:$AK$2&lt;AH$2)*($T265:$AK265))))</f>
      </c>
      <c r="BA265" s="0">
        <f>MAX(0,MIN(AI265,BX265-SUMPRODUCT(($T$2:$AK$2&lt;AI$2)*($T265:$AK265))))</f>
      </c>
      <c r="BB265" s="0">
        <f>MAX(0,MIN(AJ265,BX265-SUMPRODUCT(($T$2:$AK$2&lt;AJ$2)*($T265:$AK265))))</f>
      </c>
      <c r="BC265" s="0">
        <f>MAX(0,MIN(AK265,BX265-SUMPRODUCT(($T$2:$AK$2&lt;AK$2)*($T265:$AK265))))</f>
      </c>
      <c r="BD265" s="0">
        <f>T265-AL265</f>
      </c>
      <c r="BE265" s="0">
        <f>U265-AM265</f>
      </c>
      <c r="BF265" s="0">
        <f>V265-AN265</f>
      </c>
      <c r="BG265" s="0">
        <f>W265-AO265</f>
      </c>
      <c r="BH265" s="0">
        <f>X265-AP265</f>
      </c>
      <c r="BI265" s="0">
        <f>Y265-AQ265</f>
      </c>
      <c r="BJ265" s="0">
        <f>Z265-AR265</f>
      </c>
      <c r="BK265" s="0">
        <f>AA265-AS265</f>
      </c>
      <c r="BL265" s="0">
        <f>AB265-AT265</f>
      </c>
      <c r="BM265" s="0">
        <f>AC265-AU265</f>
      </c>
      <c r="BN265" s="0">
        <f>AD265-AV265</f>
      </c>
      <c r="BO265" s="0">
        <f>AE265-AW265</f>
      </c>
      <c r="BP265" s="0">
        <f>AF265-AX265</f>
      </c>
      <c r="BQ265" s="0">
        <f>AG265-AY265</f>
      </c>
      <c r="BR265" s="0">
        <f>AH265-AZ265</f>
      </c>
      <c r="BS265" s="0">
        <f>AI265-BA265</f>
      </c>
      <c r="BT265" s="0">
        <f>AJ265-BB265</f>
      </c>
      <c r="BU265" s="0">
        <f>AK265-BC265</f>
      </c>
      <c r="BV265" s="0">
        <f>SUM(B265:S265)</f>
      </c>
      <c r="BW265" s="0">
        <f>SUM(T265:AK265)</f>
      </c>
      <c r="BX265" s="0">
        <f>MAX(0,(SUM(Calculator!$E$11:$E$28)+Calculator!$C$6)-BV265+BW265)</f>
      </c>
      <c r="BY265" s="0">
        <f>SUM(BD265:BU265)</f>
      </c>
      <c r="BZ265" s="0">
        <f>BV265-BY264</f>
      </c>
      <c r="CA265" s="0">
        <f>IF(A265&lt;=IF($CD$1=0,999,$CD$1),BY265,NA())</f>
      </c>
      <c r="CB265" s="0">
        <f>IF(A265&lt;=IF($CD$1=0,999,$CD$1),A265,NA())</f>
      </c>
    </row>
    <row r="266">
      <c r="A266" s="0">
        <v>263</v>
      </c>
      <c r="B266" s="0">
        <f>BD265*(1+Calculator!$D$11/100/12)</f>
      </c>
      <c r="C266" s="0">
        <f>BE265*(1+Calculator!$D$12/100/12)</f>
      </c>
      <c r="D266" s="0">
        <f>BF265*(1+Calculator!$D$13/100/12)</f>
      </c>
      <c r="E266" s="0">
        <f>BG265*(1+Calculator!$D$14/100/12)</f>
      </c>
      <c r="F266" s="0">
        <f>BH265*(1+Calculator!$D$15/100/12)</f>
      </c>
      <c r="G266" s="0">
        <f>BI265*(1+Calculator!$D$16/100/12)</f>
      </c>
      <c r="H266" s="0">
        <f>BJ265*(1+Calculator!$D$17/100/12)</f>
      </c>
      <c r="I266" s="0">
        <f>BK265*(1+Calculator!$D$18/100/12)</f>
      </c>
      <c r="J266" s="0">
        <f>BL265*(1+Calculator!$D$19/100/12)</f>
      </c>
      <c r="K266" s="0">
        <f>BM265*(1+Calculator!$D$20/100/12)</f>
      </c>
      <c r="L266" s="0">
        <f>BN265*(1+Calculator!$D$21/100/12)</f>
      </c>
      <c r="M266" s="0">
        <f>BO265*(1+Calculator!$D$22/100/12)</f>
      </c>
      <c r="N266" s="0">
        <f>BP265*(1+Calculator!$D$23/100/12)</f>
      </c>
      <c r="O266" s="0">
        <f>BQ265*(1+Calculator!$D$24/100/12)</f>
      </c>
      <c r="P266" s="0">
        <f>BR265*(1+Calculator!$D$25/100/12)</f>
      </c>
      <c r="Q266" s="0">
        <f>BS265*(1+Calculator!$D$26/100/12)</f>
      </c>
      <c r="R266" s="0">
        <f>BT265*(1+Calculator!$D$27/100/12)</f>
      </c>
      <c r="S266" s="0">
        <f>BU265*(1+Calculator!$D$28/100/12)</f>
      </c>
      <c r="T266" s="0">
        <f>MAX(0,B266-Calculator!$E$11)</f>
      </c>
      <c r="U266" s="0">
        <f>MAX(0,C266-Calculator!$E$12)</f>
      </c>
      <c r="V266" s="0">
        <f>MAX(0,D266-Calculator!$E$13)</f>
      </c>
      <c r="W266" s="0">
        <f>MAX(0,E266-Calculator!$E$14)</f>
      </c>
      <c r="X266" s="0">
        <f>MAX(0,F266-Calculator!$E$15)</f>
      </c>
      <c r="Y266" s="0">
        <f>MAX(0,G266-Calculator!$E$16)</f>
      </c>
      <c r="Z266" s="0">
        <f>MAX(0,H266-Calculator!$E$17)</f>
      </c>
      <c r="AA266" s="0">
        <f>MAX(0,I266-Calculator!$E$18)</f>
      </c>
      <c r="AB266" s="0">
        <f>MAX(0,J266-Calculator!$E$19)</f>
      </c>
      <c r="AC266" s="0">
        <f>MAX(0,K266-Calculator!$E$20)</f>
      </c>
      <c r="AD266" s="0">
        <f>MAX(0,L266-Calculator!$E$21)</f>
      </c>
      <c r="AE266" s="0">
        <f>MAX(0,M266-Calculator!$E$22)</f>
      </c>
      <c r="AF266" s="0">
        <f>MAX(0,N266-Calculator!$E$23)</f>
      </c>
      <c r="AG266" s="0">
        <f>MAX(0,O266-Calculator!$E$24)</f>
      </c>
      <c r="AH266" s="0">
        <f>MAX(0,P266-Calculator!$E$25)</f>
      </c>
      <c r="AI266" s="0">
        <f>MAX(0,Q266-Calculator!$E$26)</f>
      </c>
      <c r="AJ266" s="0">
        <f>MAX(0,R266-Calculator!$E$27)</f>
      </c>
      <c r="AK266" s="0">
        <f>MAX(0,S266-Calculator!$E$28)</f>
      </c>
      <c r="AL266" s="0">
        <f>MAX(0,MIN(T266,BX266-SUMPRODUCT(($T$2:$AK$2&lt;T$2)*($T266:$AK266))))</f>
      </c>
      <c r="AM266" s="0">
        <f>MAX(0,MIN(U266,BX266-SUMPRODUCT(($T$2:$AK$2&lt;U$2)*($T266:$AK266))))</f>
      </c>
      <c r="AN266" s="0">
        <f>MAX(0,MIN(V266,BX266-SUMPRODUCT(($T$2:$AK$2&lt;V$2)*($T266:$AK266))))</f>
      </c>
      <c r="AO266" s="0">
        <f>MAX(0,MIN(W266,BX266-SUMPRODUCT(($T$2:$AK$2&lt;W$2)*($T266:$AK266))))</f>
      </c>
      <c r="AP266" s="0">
        <f>MAX(0,MIN(X266,BX266-SUMPRODUCT(($T$2:$AK$2&lt;X$2)*($T266:$AK266))))</f>
      </c>
      <c r="AQ266" s="0">
        <f>MAX(0,MIN(Y266,BX266-SUMPRODUCT(($T$2:$AK$2&lt;Y$2)*($T266:$AK266))))</f>
      </c>
      <c r="AR266" s="0">
        <f>MAX(0,MIN(Z266,BX266-SUMPRODUCT(($T$2:$AK$2&lt;Z$2)*($T266:$AK266))))</f>
      </c>
      <c r="AS266" s="0">
        <f>MAX(0,MIN(AA266,BX266-SUMPRODUCT(($T$2:$AK$2&lt;AA$2)*($T266:$AK266))))</f>
      </c>
      <c r="AT266" s="0">
        <f>MAX(0,MIN(AB266,BX266-SUMPRODUCT(($T$2:$AK$2&lt;AB$2)*($T266:$AK266))))</f>
      </c>
      <c r="AU266" s="0">
        <f>MAX(0,MIN(AC266,BX266-SUMPRODUCT(($T$2:$AK$2&lt;AC$2)*($T266:$AK266))))</f>
      </c>
      <c r="AV266" s="0">
        <f>MAX(0,MIN(AD266,BX266-SUMPRODUCT(($T$2:$AK$2&lt;AD$2)*($T266:$AK266))))</f>
      </c>
      <c r="AW266" s="0">
        <f>MAX(0,MIN(AE266,BX266-SUMPRODUCT(($T$2:$AK$2&lt;AE$2)*($T266:$AK266))))</f>
      </c>
      <c r="AX266" s="0">
        <f>MAX(0,MIN(AF266,BX266-SUMPRODUCT(($T$2:$AK$2&lt;AF$2)*($T266:$AK266))))</f>
      </c>
      <c r="AY266" s="0">
        <f>MAX(0,MIN(AG266,BX266-SUMPRODUCT(($T$2:$AK$2&lt;AG$2)*($T266:$AK266))))</f>
      </c>
      <c r="AZ266" s="0">
        <f>MAX(0,MIN(AH266,BX266-SUMPRODUCT(($T$2:$AK$2&lt;AH$2)*($T266:$AK266))))</f>
      </c>
      <c r="BA266" s="0">
        <f>MAX(0,MIN(AI266,BX266-SUMPRODUCT(($T$2:$AK$2&lt;AI$2)*($T266:$AK266))))</f>
      </c>
      <c r="BB266" s="0">
        <f>MAX(0,MIN(AJ266,BX266-SUMPRODUCT(($T$2:$AK$2&lt;AJ$2)*($T266:$AK266))))</f>
      </c>
      <c r="BC266" s="0">
        <f>MAX(0,MIN(AK266,BX266-SUMPRODUCT(($T$2:$AK$2&lt;AK$2)*($T266:$AK266))))</f>
      </c>
      <c r="BD266" s="0">
        <f>T266-AL266</f>
      </c>
      <c r="BE266" s="0">
        <f>U266-AM266</f>
      </c>
      <c r="BF266" s="0">
        <f>V266-AN266</f>
      </c>
      <c r="BG266" s="0">
        <f>W266-AO266</f>
      </c>
      <c r="BH266" s="0">
        <f>X266-AP266</f>
      </c>
      <c r="BI266" s="0">
        <f>Y266-AQ266</f>
      </c>
      <c r="BJ266" s="0">
        <f>Z266-AR266</f>
      </c>
      <c r="BK266" s="0">
        <f>AA266-AS266</f>
      </c>
      <c r="BL266" s="0">
        <f>AB266-AT266</f>
      </c>
      <c r="BM266" s="0">
        <f>AC266-AU266</f>
      </c>
      <c r="BN266" s="0">
        <f>AD266-AV266</f>
      </c>
      <c r="BO266" s="0">
        <f>AE266-AW266</f>
      </c>
      <c r="BP266" s="0">
        <f>AF266-AX266</f>
      </c>
      <c r="BQ266" s="0">
        <f>AG266-AY266</f>
      </c>
      <c r="BR266" s="0">
        <f>AH266-AZ266</f>
      </c>
      <c r="BS266" s="0">
        <f>AI266-BA266</f>
      </c>
      <c r="BT266" s="0">
        <f>AJ266-BB266</f>
      </c>
      <c r="BU266" s="0">
        <f>AK266-BC266</f>
      </c>
      <c r="BV266" s="0">
        <f>SUM(B266:S266)</f>
      </c>
      <c r="BW266" s="0">
        <f>SUM(T266:AK266)</f>
      </c>
      <c r="BX266" s="0">
        <f>MAX(0,(SUM(Calculator!$E$11:$E$28)+Calculator!$C$6)-BV266+BW266)</f>
      </c>
      <c r="BY266" s="0">
        <f>SUM(BD266:BU266)</f>
      </c>
      <c r="BZ266" s="0">
        <f>BV266-BY265</f>
      </c>
      <c r="CA266" s="0">
        <f>IF(A266&lt;=IF($CD$1=0,999,$CD$1),BY266,NA())</f>
      </c>
      <c r="CB266" s="0">
        <f>IF(A266&lt;=IF($CD$1=0,999,$CD$1),A266,NA())</f>
      </c>
    </row>
    <row r="267">
      <c r="A267" s="0">
        <v>264</v>
      </c>
      <c r="B267" s="0">
        <f>BD266*(1+Calculator!$D$11/100/12)</f>
      </c>
      <c r="C267" s="0">
        <f>BE266*(1+Calculator!$D$12/100/12)</f>
      </c>
      <c r="D267" s="0">
        <f>BF266*(1+Calculator!$D$13/100/12)</f>
      </c>
      <c r="E267" s="0">
        <f>BG266*(1+Calculator!$D$14/100/12)</f>
      </c>
      <c r="F267" s="0">
        <f>BH266*(1+Calculator!$D$15/100/12)</f>
      </c>
      <c r="G267" s="0">
        <f>BI266*(1+Calculator!$D$16/100/12)</f>
      </c>
      <c r="H267" s="0">
        <f>BJ266*(1+Calculator!$D$17/100/12)</f>
      </c>
      <c r="I267" s="0">
        <f>BK266*(1+Calculator!$D$18/100/12)</f>
      </c>
      <c r="J267" s="0">
        <f>BL266*(1+Calculator!$D$19/100/12)</f>
      </c>
      <c r="K267" s="0">
        <f>BM266*(1+Calculator!$D$20/100/12)</f>
      </c>
      <c r="L267" s="0">
        <f>BN266*(1+Calculator!$D$21/100/12)</f>
      </c>
      <c r="M267" s="0">
        <f>BO266*(1+Calculator!$D$22/100/12)</f>
      </c>
      <c r="N267" s="0">
        <f>BP266*(1+Calculator!$D$23/100/12)</f>
      </c>
      <c r="O267" s="0">
        <f>BQ266*(1+Calculator!$D$24/100/12)</f>
      </c>
      <c r="P267" s="0">
        <f>BR266*(1+Calculator!$D$25/100/12)</f>
      </c>
      <c r="Q267" s="0">
        <f>BS266*(1+Calculator!$D$26/100/12)</f>
      </c>
      <c r="R267" s="0">
        <f>BT266*(1+Calculator!$D$27/100/12)</f>
      </c>
      <c r="S267" s="0">
        <f>BU266*(1+Calculator!$D$28/100/12)</f>
      </c>
      <c r="T267" s="0">
        <f>MAX(0,B267-Calculator!$E$11)</f>
      </c>
      <c r="U267" s="0">
        <f>MAX(0,C267-Calculator!$E$12)</f>
      </c>
      <c r="V267" s="0">
        <f>MAX(0,D267-Calculator!$E$13)</f>
      </c>
      <c r="W267" s="0">
        <f>MAX(0,E267-Calculator!$E$14)</f>
      </c>
      <c r="X267" s="0">
        <f>MAX(0,F267-Calculator!$E$15)</f>
      </c>
      <c r="Y267" s="0">
        <f>MAX(0,G267-Calculator!$E$16)</f>
      </c>
      <c r="Z267" s="0">
        <f>MAX(0,H267-Calculator!$E$17)</f>
      </c>
      <c r="AA267" s="0">
        <f>MAX(0,I267-Calculator!$E$18)</f>
      </c>
      <c r="AB267" s="0">
        <f>MAX(0,J267-Calculator!$E$19)</f>
      </c>
      <c r="AC267" s="0">
        <f>MAX(0,K267-Calculator!$E$20)</f>
      </c>
      <c r="AD267" s="0">
        <f>MAX(0,L267-Calculator!$E$21)</f>
      </c>
      <c r="AE267" s="0">
        <f>MAX(0,M267-Calculator!$E$22)</f>
      </c>
      <c r="AF267" s="0">
        <f>MAX(0,N267-Calculator!$E$23)</f>
      </c>
      <c r="AG267" s="0">
        <f>MAX(0,O267-Calculator!$E$24)</f>
      </c>
      <c r="AH267" s="0">
        <f>MAX(0,P267-Calculator!$E$25)</f>
      </c>
      <c r="AI267" s="0">
        <f>MAX(0,Q267-Calculator!$E$26)</f>
      </c>
      <c r="AJ267" s="0">
        <f>MAX(0,R267-Calculator!$E$27)</f>
      </c>
      <c r="AK267" s="0">
        <f>MAX(0,S267-Calculator!$E$28)</f>
      </c>
      <c r="AL267" s="0">
        <f>MAX(0,MIN(T267,BX267-SUMPRODUCT(($T$2:$AK$2&lt;T$2)*($T267:$AK267))))</f>
      </c>
      <c r="AM267" s="0">
        <f>MAX(0,MIN(U267,BX267-SUMPRODUCT(($T$2:$AK$2&lt;U$2)*($T267:$AK267))))</f>
      </c>
      <c r="AN267" s="0">
        <f>MAX(0,MIN(V267,BX267-SUMPRODUCT(($T$2:$AK$2&lt;V$2)*($T267:$AK267))))</f>
      </c>
      <c r="AO267" s="0">
        <f>MAX(0,MIN(W267,BX267-SUMPRODUCT(($T$2:$AK$2&lt;W$2)*($T267:$AK267))))</f>
      </c>
      <c r="AP267" s="0">
        <f>MAX(0,MIN(X267,BX267-SUMPRODUCT(($T$2:$AK$2&lt;X$2)*($T267:$AK267))))</f>
      </c>
      <c r="AQ267" s="0">
        <f>MAX(0,MIN(Y267,BX267-SUMPRODUCT(($T$2:$AK$2&lt;Y$2)*($T267:$AK267))))</f>
      </c>
      <c r="AR267" s="0">
        <f>MAX(0,MIN(Z267,BX267-SUMPRODUCT(($T$2:$AK$2&lt;Z$2)*($T267:$AK267))))</f>
      </c>
      <c r="AS267" s="0">
        <f>MAX(0,MIN(AA267,BX267-SUMPRODUCT(($T$2:$AK$2&lt;AA$2)*($T267:$AK267))))</f>
      </c>
      <c r="AT267" s="0">
        <f>MAX(0,MIN(AB267,BX267-SUMPRODUCT(($T$2:$AK$2&lt;AB$2)*($T267:$AK267))))</f>
      </c>
      <c r="AU267" s="0">
        <f>MAX(0,MIN(AC267,BX267-SUMPRODUCT(($T$2:$AK$2&lt;AC$2)*($T267:$AK267))))</f>
      </c>
      <c r="AV267" s="0">
        <f>MAX(0,MIN(AD267,BX267-SUMPRODUCT(($T$2:$AK$2&lt;AD$2)*($T267:$AK267))))</f>
      </c>
      <c r="AW267" s="0">
        <f>MAX(0,MIN(AE267,BX267-SUMPRODUCT(($T$2:$AK$2&lt;AE$2)*($T267:$AK267))))</f>
      </c>
      <c r="AX267" s="0">
        <f>MAX(0,MIN(AF267,BX267-SUMPRODUCT(($T$2:$AK$2&lt;AF$2)*($T267:$AK267))))</f>
      </c>
      <c r="AY267" s="0">
        <f>MAX(0,MIN(AG267,BX267-SUMPRODUCT(($T$2:$AK$2&lt;AG$2)*($T267:$AK267))))</f>
      </c>
      <c r="AZ267" s="0">
        <f>MAX(0,MIN(AH267,BX267-SUMPRODUCT(($T$2:$AK$2&lt;AH$2)*($T267:$AK267))))</f>
      </c>
      <c r="BA267" s="0">
        <f>MAX(0,MIN(AI267,BX267-SUMPRODUCT(($T$2:$AK$2&lt;AI$2)*($T267:$AK267))))</f>
      </c>
      <c r="BB267" s="0">
        <f>MAX(0,MIN(AJ267,BX267-SUMPRODUCT(($T$2:$AK$2&lt;AJ$2)*($T267:$AK267))))</f>
      </c>
      <c r="BC267" s="0">
        <f>MAX(0,MIN(AK267,BX267-SUMPRODUCT(($T$2:$AK$2&lt;AK$2)*($T267:$AK267))))</f>
      </c>
      <c r="BD267" s="0">
        <f>T267-AL267</f>
      </c>
      <c r="BE267" s="0">
        <f>U267-AM267</f>
      </c>
      <c r="BF267" s="0">
        <f>V267-AN267</f>
      </c>
      <c r="BG267" s="0">
        <f>W267-AO267</f>
      </c>
      <c r="BH267" s="0">
        <f>X267-AP267</f>
      </c>
      <c r="BI267" s="0">
        <f>Y267-AQ267</f>
      </c>
      <c r="BJ267" s="0">
        <f>Z267-AR267</f>
      </c>
      <c r="BK267" s="0">
        <f>AA267-AS267</f>
      </c>
      <c r="BL267" s="0">
        <f>AB267-AT267</f>
      </c>
      <c r="BM267" s="0">
        <f>AC267-AU267</f>
      </c>
      <c r="BN267" s="0">
        <f>AD267-AV267</f>
      </c>
      <c r="BO267" s="0">
        <f>AE267-AW267</f>
      </c>
      <c r="BP267" s="0">
        <f>AF267-AX267</f>
      </c>
      <c r="BQ267" s="0">
        <f>AG267-AY267</f>
      </c>
      <c r="BR267" s="0">
        <f>AH267-AZ267</f>
      </c>
      <c r="BS267" s="0">
        <f>AI267-BA267</f>
      </c>
      <c r="BT267" s="0">
        <f>AJ267-BB267</f>
      </c>
      <c r="BU267" s="0">
        <f>AK267-BC267</f>
      </c>
      <c r="BV267" s="0">
        <f>SUM(B267:S267)</f>
      </c>
      <c r="BW267" s="0">
        <f>SUM(T267:AK267)</f>
      </c>
      <c r="BX267" s="0">
        <f>MAX(0,(SUM(Calculator!$E$11:$E$28)+Calculator!$C$6)-BV267+BW267)</f>
      </c>
      <c r="BY267" s="0">
        <f>SUM(BD267:BU267)</f>
      </c>
      <c r="BZ267" s="0">
        <f>BV267-BY266</f>
      </c>
      <c r="CA267" s="0">
        <f>IF(A267&lt;=IF($CD$1=0,999,$CD$1),BY267,NA())</f>
      </c>
      <c r="CB267" s="0">
        <f>IF(A267&lt;=IF($CD$1=0,999,$CD$1),A267,NA())</f>
      </c>
    </row>
    <row r="268">
      <c r="A268" s="0">
        <v>265</v>
      </c>
      <c r="B268" s="0">
        <f>BD267*(1+Calculator!$D$11/100/12)</f>
      </c>
      <c r="C268" s="0">
        <f>BE267*(1+Calculator!$D$12/100/12)</f>
      </c>
      <c r="D268" s="0">
        <f>BF267*(1+Calculator!$D$13/100/12)</f>
      </c>
      <c r="E268" s="0">
        <f>BG267*(1+Calculator!$D$14/100/12)</f>
      </c>
      <c r="F268" s="0">
        <f>BH267*(1+Calculator!$D$15/100/12)</f>
      </c>
      <c r="G268" s="0">
        <f>BI267*(1+Calculator!$D$16/100/12)</f>
      </c>
      <c r="H268" s="0">
        <f>BJ267*(1+Calculator!$D$17/100/12)</f>
      </c>
      <c r="I268" s="0">
        <f>BK267*(1+Calculator!$D$18/100/12)</f>
      </c>
      <c r="J268" s="0">
        <f>BL267*(1+Calculator!$D$19/100/12)</f>
      </c>
      <c r="K268" s="0">
        <f>BM267*(1+Calculator!$D$20/100/12)</f>
      </c>
      <c r="L268" s="0">
        <f>BN267*(1+Calculator!$D$21/100/12)</f>
      </c>
      <c r="M268" s="0">
        <f>BO267*(1+Calculator!$D$22/100/12)</f>
      </c>
      <c r="N268" s="0">
        <f>BP267*(1+Calculator!$D$23/100/12)</f>
      </c>
      <c r="O268" s="0">
        <f>BQ267*(1+Calculator!$D$24/100/12)</f>
      </c>
      <c r="P268" s="0">
        <f>BR267*(1+Calculator!$D$25/100/12)</f>
      </c>
      <c r="Q268" s="0">
        <f>BS267*(1+Calculator!$D$26/100/12)</f>
      </c>
      <c r="R268" s="0">
        <f>BT267*(1+Calculator!$D$27/100/12)</f>
      </c>
      <c r="S268" s="0">
        <f>BU267*(1+Calculator!$D$28/100/12)</f>
      </c>
      <c r="T268" s="0">
        <f>MAX(0,B268-Calculator!$E$11)</f>
      </c>
      <c r="U268" s="0">
        <f>MAX(0,C268-Calculator!$E$12)</f>
      </c>
      <c r="V268" s="0">
        <f>MAX(0,D268-Calculator!$E$13)</f>
      </c>
      <c r="W268" s="0">
        <f>MAX(0,E268-Calculator!$E$14)</f>
      </c>
      <c r="X268" s="0">
        <f>MAX(0,F268-Calculator!$E$15)</f>
      </c>
      <c r="Y268" s="0">
        <f>MAX(0,G268-Calculator!$E$16)</f>
      </c>
      <c r="Z268" s="0">
        <f>MAX(0,H268-Calculator!$E$17)</f>
      </c>
      <c r="AA268" s="0">
        <f>MAX(0,I268-Calculator!$E$18)</f>
      </c>
      <c r="AB268" s="0">
        <f>MAX(0,J268-Calculator!$E$19)</f>
      </c>
      <c r="AC268" s="0">
        <f>MAX(0,K268-Calculator!$E$20)</f>
      </c>
      <c r="AD268" s="0">
        <f>MAX(0,L268-Calculator!$E$21)</f>
      </c>
      <c r="AE268" s="0">
        <f>MAX(0,M268-Calculator!$E$22)</f>
      </c>
      <c r="AF268" s="0">
        <f>MAX(0,N268-Calculator!$E$23)</f>
      </c>
      <c r="AG268" s="0">
        <f>MAX(0,O268-Calculator!$E$24)</f>
      </c>
      <c r="AH268" s="0">
        <f>MAX(0,P268-Calculator!$E$25)</f>
      </c>
      <c r="AI268" s="0">
        <f>MAX(0,Q268-Calculator!$E$26)</f>
      </c>
      <c r="AJ268" s="0">
        <f>MAX(0,R268-Calculator!$E$27)</f>
      </c>
      <c r="AK268" s="0">
        <f>MAX(0,S268-Calculator!$E$28)</f>
      </c>
      <c r="AL268" s="0">
        <f>MAX(0,MIN(T268,BX268-SUMPRODUCT(($T$2:$AK$2&lt;T$2)*($T268:$AK268))))</f>
      </c>
      <c r="AM268" s="0">
        <f>MAX(0,MIN(U268,BX268-SUMPRODUCT(($T$2:$AK$2&lt;U$2)*($T268:$AK268))))</f>
      </c>
      <c r="AN268" s="0">
        <f>MAX(0,MIN(V268,BX268-SUMPRODUCT(($T$2:$AK$2&lt;V$2)*($T268:$AK268))))</f>
      </c>
      <c r="AO268" s="0">
        <f>MAX(0,MIN(W268,BX268-SUMPRODUCT(($T$2:$AK$2&lt;W$2)*($T268:$AK268))))</f>
      </c>
      <c r="AP268" s="0">
        <f>MAX(0,MIN(X268,BX268-SUMPRODUCT(($T$2:$AK$2&lt;X$2)*($T268:$AK268))))</f>
      </c>
      <c r="AQ268" s="0">
        <f>MAX(0,MIN(Y268,BX268-SUMPRODUCT(($T$2:$AK$2&lt;Y$2)*($T268:$AK268))))</f>
      </c>
      <c r="AR268" s="0">
        <f>MAX(0,MIN(Z268,BX268-SUMPRODUCT(($T$2:$AK$2&lt;Z$2)*($T268:$AK268))))</f>
      </c>
      <c r="AS268" s="0">
        <f>MAX(0,MIN(AA268,BX268-SUMPRODUCT(($T$2:$AK$2&lt;AA$2)*($T268:$AK268))))</f>
      </c>
      <c r="AT268" s="0">
        <f>MAX(0,MIN(AB268,BX268-SUMPRODUCT(($T$2:$AK$2&lt;AB$2)*($T268:$AK268))))</f>
      </c>
      <c r="AU268" s="0">
        <f>MAX(0,MIN(AC268,BX268-SUMPRODUCT(($T$2:$AK$2&lt;AC$2)*($T268:$AK268))))</f>
      </c>
      <c r="AV268" s="0">
        <f>MAX(0,MIN(AD268,BX268-SUMPRODUCT(($T$2:$AK$2&lt;AD$2)*($T268:$AK268))))</f>
      </c>
      <c r="AW268" s="0">
        <f>MAX(0,MIN(AE268,BX268-SUMPRODUCT(($T$2:$AK$2&lt;AE$2)*($T268:$AK268))))</f>
      </c>
      <c r="AX268" s="0">
        <f>MAX(0,MIN(AF268,BX268-SUMPRODUCT(($T$2:$AK$2&lt;AF$2)*($T268:$AK268))))</f>
      </c>
      <c r="AY268" s="0">
        <f>MAX(0,MIN(AG268,BX268-SUMPRODUCT(($T$2:$AK$2&lt;AG$2)*($T268:$AK268))))</f>
      </c>
      <c r="AZ268" s="0">
        <f>MAX(0,MIN(AH268,BX268-SUMPRODUCT(($T$2:$AK$2&lt;AH$2)*($T268:$AK268))))</f>
      </c>
      <c r="BA268" s="0">
        <f>MAX(0,MIN(AI268,BX268-SUMPRODUCT(($T$2:$AK$2&lt;AI$2)*($T268:$AK268))))</f>
      </c>
      <c r="BB268" s="0">
        <f>MAX(0,MIN(AJ268,BX268-SUMPRODUCT(($T$2:$AK$2&lt;AJ$2)*($T268:$AK268))))</f>
      </c>
      <c r="BC268" s="0">
        <f>MAX(0,MIN(AK268,BX268-SUMPRODUCT(($T$2:$AK$2&lt;AK$2)*($T268:$AK268))))</f>
      </c>
      <c r="BD268" s="0">
        <f>T268-AL268</f>
      </c>
      <c r="BE268" s="0">
        <f>U268-AM268</f>
      </c>
      <c r="BF268" s="0">
        <f>V268-AN268</f>
      </c>
      <c r="BG268" s="0">
        <f>W268-AO268</f>
      </c>
      <c r="BH268" s="0">
        <f>X268-AP268</f>
      </c>
      <c r="BI268" s="0">
        <f>Y268-AQ268</f>
      </c>
      <c r="BJ268" s="0">
        <f>Z268-AR268</f>
      </c>
      <c r="BK268" s="0">
        <f>AA268-AS268</f>
      </c>
      <c r="BL268" s="0">
        <f>AB268-AT268</f>
      </c>
      <c r="BM268" s="0">
        <f>AC268-AU268</f>
      </c>
      <c r="BN268" s="0">
        <f>AD268-AV268</f>
      </c>
      <c r="BO268" s="0">
        <f>AE268-AW268</f>
      </c>
      <c r="BP268" s="0">
        <f>AF268-AX268</f>
      </c>
      <c r="BQ268" s="0">
        <f>AG268-AY268</f>
      </c>
      <c r="BR268" s="0">
        <f>AH268-AZ268</f>
      </c>
      <c r="BS268" s="0">
        <f>AI268-BA268</f>
      </c>
      <c r="BT268" s="0">
        <f>AJ268-BB268</f>
      </c>
      <c r="BU268" s="0">
        <f>AK268-BC268</f>
      </c>
      <c r="BV268" s="0">
        <f>SUM(B268:S268)</f>
      </c>
      <c r="BW268" s="0">
        <f>SUM(T268:AK268)</f>
      </c>
      <c r="BX268" s="0">
        <f>MAX(0,(SUM(Calculator!$E$11:$E$28)+Calculator!$C$6)-BV268+BW268)</f>
      </c>
      <c r="BY268" s="0">
        <f>SUM(BD268:BU268)</f>
      </c>
      <c r="BZ268" s="0">
        <f>BV268-BY267</f>
      </c>
      <c r="CA268" s="0">
        <f>IF(A268&lt;=IF($CD$1=0,999,$CD$1),BY268,NA())</f>
      </c>
      <c r="CB268" s="0">
        <f>IF(A268&lt;=IF($CD$1=0,999,$CD$1),A268,NA())</f>
      </c>
    </row>
    <row r="269">
      <c r="A269" s="0">
        <v>266</v>
      </c>
      <c r="B269" s="0">
        <f>BD268*(1+Calculator!$D$11/100/12)</f>
      </c>
      <c r="C269" s="0">
        <f>BE268*(1+Calculator!$D$12/100/12)</f>
      </c>
      <c r="D269" s="0">
        <f>BF268*(1+Calculator!$D$13/100/12)</f>
      </c>
      <c r="E269" s="0">
        <f>BG268*(1+Calculator!$D$14/100/12)</f>
      </c>
      <c r="F269" s="0">
        <f>BH268*(1+Calculator!$D$15/100/12)</f>
      </c>
      <c r="G269" s="0">
        <f>BI268*(1+Calculator!$D$16/100/12)</f>
      </c>
      <c r="H269" s="0">
        <f>BJ268*(1+Calculator!$D$17/100/12)</f>
      </c>
      <c r="I269" s="0">
        <f>BK268*(1+Calculator!$D$18/100/12)</f>
      </c>
      <c r="J269" s="0">
        <f>BL268*(1+Calculator!$D$19/100/12)</f>
      </c>
      <c r="K269" s="0">
        <f>BM268*(1+Calculator!$D$20/100/12)</f>
      </c>
      <c r="L269" s="0">
        <f>BN268*(1+Calculator!$D$21/100/12)</f>
      </c>
      <c r="M269" s="0">
        <f>BO268*(1+Calculator!$D$22/100/12)</f>
      </c>
      <c r="N269" s="0">
        <f>BP268*(1+Calculator!$D$23/100/12)</f>
      </c>
      <c r="O269" s="0">
        <f>BQ268*(1+Calculator!$D$24/100/12)</f>
      </c>
      <c r="P269" s="0">
        <f>BR268*(1+Calculator!$D$25/100/12)</f>
      </c>
      <c r="Q269" s="0">
        <f>BS268*(1+Calculator!$D$26/100/12)</f>
      </c>
      <c r="R269" s="0">
        <f>BT268*(1+Calculator!$D$27/100/12)</f>
      </c>
      <c r="S269" s="0">
        <f>BU268*(1+Calculator!$D$28/100/12)</f>
      </c>
      <c r="T269" s="0">
        <f>MAX(0,B269-Calculator!$E$11)</f>
      </c>
      <c r="U269" s="0">
        <f>MAX(0,C269-Calculator!$E$12)</f>
      </c>
      <c r="V269" s="0">
        <f>MAX(0,D269-Calculator!$E$13)</f>
      </c>
      <c r="W269" s="0">
        <f>MAX(0,E269-Calculator!$E$14)</f>
      </c>
      <c r="X269" s="0">
        <f>MAX(0,F269-Calculator!$E$15)</f>
      </c>
      <c r="Y269" s="0">
        <f>MAX(0,G269-Calculator!$E$16)</f>
      </c>
      <c r="Z269" s="0">
        <f>MAX(0,H269-Calculator!$E$17)</f>
      </c>
      <c r="AA269" s="0">
        <f>MAX(0,I269-Calculator!$E$18)</f>
      </c>
      <c r="AB269" s="0">
        <f>MAX(0,J269-Calculator!$E$19)</f>
      </c>
      <c r="AC269" s="0">
        <f>MAX(0,K269-Calculator!$E$20)</f>
      </c>
      <c r="AD269" s="0">
        <f>MAX(0,L269-Calculator!$E$21)</f>
      </c>
      <c r="AE269" s="0">
        <f>MAX(0,M269-Calculator!$E$22)</f>
      </c>
      <c r="AF269" s="0">
        <f>MAX(0,N269-Calculator!$E$23)</f>
      </c>
      <c r="AG269" s="0">
        <f>MAX(0,O269-Calculator!$E$24)</f>
      </c>
      <c r="AH269" s="0">
        <f>MAX(0,P269-Calculator!$E$25)</f>
      </c>
      <c r="AI269" s="0">
        <f>MAX(0,Q269-Calculator!$E$26)</f>
      </c>
      <c r="AJ269" s="0">
        <f>MAX(0,R269-Calculator!$E$27)</f>
      </c>
      <c r="AK269" s="0">
        <f>MAX(0,S269-Calculator!$E$28)</f>
      </c>
      <c r="AL269" s="0">
        <f>MAX(0,MIN(T269,BX269-SUMPRODUCT(($T$2:$AK$2&lt;T$2)*($T269:$AK269))))</f>
      </c>
      <c r="AM269" s="0">
        <f>MAX(0,MIN(U269,BX269-SUMPRODUCT(($T$2:$AK$2&lt;U$2)*($T269:$AK269))))</f>
      </c>
      <c r="AN269" s="0">
        <f>MAX(0,MIN(V269,BX269-SUMPRODUCT(($T$2:$AK$2&lt;V$2)*($T269:$AK269))))</f>
      </c>
      <c r="AO269" s="0">
        <f>MAX(0,MIN(W269,BX269-SUMPRODUCT(($T$2:$AK$2&lt;W$2)*($T269:$AK269))))</f>
      </c>
      <c r="AP269" s="0">
        <f>MAX(0,MIN(X269,BX269-SUMPRODUCT(($T$2:$AK$2&lt;X$2)*($T269:$AK269))))</f>
      </c>
      <c r="AQ269" s="0">
        <f>MAX(0,MIN(Y269,BX269-SUMPRODUCT(($T$2:$AK$2&lt;Y$2)*($T269:$AK269))))</f>
      </c>
      <c r="AR269" s="0">
        <f>MAX(0,MIN(Z269,BX269-SUMPRODUCT(($T$2:$AK$2&lt;Z$2)*($T269:$AK269))))</f>
      </c>
      <c r="AS269" s="0">
        <f>MAX(0,MIN(AA269,BX269-SUMPRODUCT(($T$2:$AK$2&lt;AA$2)*($T269:$AK269))))</f>
      </c>
      <c r="AT269" s="0">
        <f>MAX(0,MIN(AB269,BX269-SUMPRODUCT(($T$2:$AK$2&lt;AB$2)*($T269:$AK269))))</f>
      </c>
      <c r="AU269" s="0">
        <f>MAX(0,MIN(AC269,BX269-SUMPRODUCT(($T$2:$AK$2&lt;AC$2)*($T269:$AK269))))</f>
      </c>
      <c r="AV269" s="0">
        <f>MAX(0,MIN(AD269,BX269-SUMPRODUCT(($T$2:$AK$2&lt;AD$2)*($T269:$AK269))))</f>
      </c>
      <c r="AW269" s="0">
        <f>MAX(0,MIN(AE269,BX269-SUMPRODUCT(($T$2:$AK$2&lt;AE$2)*($T269:$AK269))))</f>
      </c>
      <c r="AX269" s="0">
        <f>MAX(0,MIN(AF269,BX269-SUMPRODUCT(($T$2:$AK$2&lt;AF$2)*($T269:$AK269))))</f>
      </c>
      <c r="AY269" s="0">
        <f>MAX(0,MIN(AG269,BX269-SUMPRODUCT(($T$2:$AK$2&lt;AG$2)*($T269:$AK269))))</f>
      </c>
      <c r="AZ269" s="0">
        <f>MAX(0,MIN(AH269,BX269-SUMPRODUCT(($T$2:$AK$2&lt;AH$2)*($T269:$AK269))))</f>
      </c>
      <c r="BA269" s="0">
        <f>MAX(0,MIN(AI269,BX269-SUMPRODUCT(($T$2:$AK$2&lt;AI$2)*($T269:$AK269))))</f>
      </c>
      <c r="BB269" s="0">
        <f>MAX(0,MIN(AJ269,BX269-SUMPRODUCT(($T$2:$AK$2&lt;AJ$2)*($T269:$AK269))))</f>
      </c>
      <c r="BC269" s="0">
        <f>MAX(0,MIN(AK269,BX269-SUMPRODUCT(($T$2:$AK$2&lt;AK$2)*($T269:$AK269))))</f>
      </c>
      <c r="BD269" s="0">
        <f>T269-AL269</f>
      </c>
      <c r="BE269" s="0">
        <f>U269-AM269</f>
      </c>
      <c r="BF269" s="0">
        <f>V269-AN269</f>
      </c>
      <c r="BG269" s="0">
        <f>W269-AO269</f>
      </c>
      <c r="BH269" s="0">
        <f>X269-AP269</f>
      </c>
      <c r="BI269" s="0">
        <f>Y269-AQ269</f>
      </c>
      <c r="BJ269" s="0">
        <f>Z269-AR269</f>
      </c>
      <c r="BK269" s="0">
        <f>AA269-AS269</f>
      </c>
      <c r="BL269" s="0">
        <f>AB269-AT269</f>
      </c>
      <c r="BM269" s="0">
        <f>AC269-AU269</f>
      </c>
      <c r="BN269" s="0">
        <f>AD269-AV269</f>
      </c>
      <c r="BO269" s="0">
        <f>AE269-AW269</f>
      </c>
      <c r="BP269" s="0">
        <f>AF269-AX269</f>
      </c>
      <c r="BQ269" s="0">
        <f>AG269-AY269</f>
      </c>
      <c r="BR269" s="0">
        <f>AH269-AZ269</f>
      </c>
      <c r="BS269" s="0">
        <f>AI269-BA269</f>
      </c>
      <c r="BT269" s="0">
        <f>AJ269-BB269</f>
      </c>
      <c r="BU269" s="0">
        <f>AK269-BC269</f>
      </c>
      <c r="BV269" s="0">
        <f>SUM(B269:S269)</f>
      </c>
      <c r="BW269" s="0">
        <f>SUM(T269:AK269)</f>
      </c>
      <c r="BX269" s="0">
        <f>MAX(0,(SUM(Calculator!$E$11:$E$28)+Calculator!$C$6)-BV269+BW269)</f>
      </c>
      <c r="BY269" s="0">
        <f>SUM(BD269:BU269)</f>
      </c>
      <c r="BZ269" s="0">
        <f>BV269-BY268</f>
      </c>
      <c r="CA269" s="0">
        <f>IF(A269&lt;=IF($CD$1=0,999,$CD$1),BY269,NA())</f>
      </c>
      <c r="CB269" s="0">
        <f>IF(A269&lt;=IF($CD$1=0,999,$CD$1),A269,NA())</f>
      </c>
    </row>
    <row r="270">
      <c r="A270" s="0">
        <v>267</v>
      </c>
      <c r="B270" s="0">
        <f>BD269*(1+Calculator!$D$11/100/12)</f>
      </c>
      <c r="C270" s="0">
        <f>BE269*(1+Calculator!$D$12/100/12)</f>
      </c>
      <c r="D270" s="0">
        <f>BF269*(1+Calculator!$D$13/100/12)</f>
      </c>
      <c r="E270" s="0">
        <f>BG269*(1+Calculator!$D$14/100/12)</f>
      </c>
      <c r="F270" s="0">
        <f>BH269*(1+Calculator!$D$15/100/12)</f>
      </c>
      <c r="G270" s="0">
        <f>BI269*(1+Calculator!$D$16/100/12)</f>
      </c>
      <c r="H270" s="0">
        <f>BJ269*(1+Calculator!$D$17/100/12)</f>
      </c>
      <c r="I270" s="0">
        <f>BK269*(1+Calculator!$D$18/100/12)</f>
      </c>
      <c r="J270" s="0">
        <f>BL269*(1+Calculator!$D$19/100/12)</f>
      </c>
      <c r="K270" s="0">
        <f>BM269*(1+Calculator!$D$20/100/12)</f>
      </c>
      <c r="L270" s="0">
        <f>BN269*(1+Calculator!$D$21/100/12)</f>
      </c>
      <c r="M270" s="0">
        <f>BO269*(1+Calculator!$D$22/100/12)</f>
      </c>
      <c r="N270" s="0">
        <f>BP269*(1+Calculator!$D$23/100/12)</f>
      </c>
      <c r="O270" s="0">
        <f>BQ269*(1+Calculator!$D$24/100/12)</f>
      </c>
      <c r="P270" s="0">
        <f>BR269*(1+Calculator!$D$25/100/12)</f>
      </c>
      <c r="Q270" s="0">
        <f>BS269*(1+Calculator!$D$26/100/12)</f>
      </c>
      <c r="R270" s="0">
        <f>BT269*(1+Calculator!$D$27/100/12)</f>
      </c>
      <c r="S270" s="0">
        <f>BU269*(1+Calculator!$D$28/100/12)</f>
      </c>
      <c r="T270" s="0">
        <f>MAX(0,B270-Calculator!$E$11)</f>
      </c>
      <c r="U270" s="0">
        <f>MAX(0,C270-Calculator!$E$12)</f>
      </c>
      <c r="V270" s="0">
        <f>MAX(0,D270-Calculator!$E$13)</f>
      </c>
      <c r="W270" s="0">
        <f>MAX(0,E270-Calculator!$E$14)</f>
      </c>
      <c r="X270" s="0">
        <f>MAX(0,F270-Calculator!$E$15)</f>
      </c>
      <c r="Y270" s="0">
        <f>MAX(0,G270-Calculator!$E$16)</f>
      </c>
      <c r="Z270" s="0">
        <f>MAX(0,H270-Calculator!$E$17)</f>
      </c>
      <c r="AA270" s="0">
        <f>MAX(0,I270-Calculator!$E$18)</f>
      </c>
      <c r="AB270" s="0">
        <f>MAX(0,J270-Calculator!$E$19)</f>
      </c>
      <c r="AC270" s="0">
        <f>MAX(0,K270-Calculator!$E$20)</f>
      </c>
      <c r="AD270" s="0">
        <f>MAX(0,L270-Calculator!$E$21)</f>
      </c>
      <c r="AE270" s="0">
        <f>MAX(0,M270-Calculator!$E$22)</f>
      </c>
      <c r="AF270" s="0">
        <f>MAX(0,N270-Calculator!$E$23)</f>
      </c>
      <c r="AG270" s="0">
        <f>MAX(0,O270-Calculator!$E$24)</f>
      </c>
      <c r="AH270" s="0">
        <f>MAX(0,P270-Calculator!$E$25)</f>
      </c>
      <c r="AI270" s="0">
        <f>MAX(0,Q270-Calculator!$E$26)</f>
      </c>
      <c r="AJ270" s="0">
        <f>MAX(0,R270-Calculator!$E$27)</f>
      </c>
      <c r="AK270" s="0">
        <f>MAX(0,S270-Calculator!$E$28)</f>
      </c>
      <c r="AL270" s="0">
        <f>MAX(0,MIN(T270,BX270-SUMPRODUCT(($T$2:$AK$2&lt;T$2)*($T270:$AK270))))</f>
      </c>
      <c r="AM270" s="0">
        <f>MAX(0,MIN(U270,BX270-SUMPRODUCT(($T$2:$AK$2&lt;U$2)*($T270:$AK270))))</f>
      </c>
      <c r="AN270" s="0">
        <f>MAX(0,MIN(V270,BX270-SUMPRODUCT(($T$2:$AK$2&lt;V$2)*($T270:$AK270))))</f>
      </c>
      <c r="AO270" s="0">
        <f>MAX(0,MIN(W270,BX270-SUMPRODUCT(($T$2:$AK$2&lt;W$2)*($T270:$AK270))))</f>
      </c>
      <c r="AP270" s="0">
        <f>MAX(0,MIN(X270,BX270-SUMPRODUCT(($T$2:$AK$2&lt;X$2)*($T270:$AK270))))</f>
      </c>
      <c r="AQ270" s="0">
        <f>MAX(0,MIN(Y270,BX270-SUMPRODUCT(($T$2:$AK$2&lt;Y$2)*($T270:$AK270))))</f>
      </c>
      <c r="AR270" s="0">
        <f>MAX(0,MIN(Z270,BX270-SUMPRODUCT(($T$2:$AK$2&lt;Z$2)*($T270:$AK270))))</f>
      </c>
      <c r="AS270" s="0">
        <f>MAX(0,MIN(AA270,BX270-SUMPRODUCT(($T$2:$AK$2&lt;AA$2)*($T270:$AK270))))</f>
      </c>
      <c r="AT270" s="0">
        <f>MAX(0,MIN(AB270,BX270-SUMPRODUCT(($T$2:$AK$2&lt;AB$2)*($T270:$AK270))))</f>
      </c>
      <c r="AU270" s="0">
        <f>MAX(0,MIN(AC270,BX270-SUMPRODUCT(($T$2:$AK$2&lt;AC$2)*($T270:$AK270))))</f>
      </c>
      <c r="AV270" s="0">
        <f>MAX(0,MIN(AD270,BX270-SUMPRODUCT(($T$2:$AK$2&lt;AD$2)*($T270:$AK270))))</f>
      </c>
      <c r="AW270" s="0">
        <f>MAX(0,MIN(AE270,BX270-SUMPRODUCT(($T$2:$AK$2&lt;AE$2)*($T270:$AK270))))</f>
      </c>
      <c r="AX270" s="0">
        <f>MAX(0,MIN(AF270,BX270-SUMPRODUCT(($T$2:$AK$2&lt;AF$2)*($T270:$AK270))))</f>
      </c>
      <c r="AY270" s="0">
        <f>MAX(0,MIN(AG270,BX270-SUMPRODUCT(($T$2:$AK$2&lt;AG$2)*($T270:$AK270))))</f>
      </c>
      <c r="AZ270" s="0">
        <f>MAX(0,MIN(AH270,BX270-SUMPRODUCT(($T$2:$AK$2&lt;AH$2)*($T270:$AK270))))</f>
      </c>
      <c r="BA270" s="0">
        <f>MAX(0,MIN(AI270,BX270-SUMPRODUCT(($T$2:$AK$2&lt;AI$2)*($T270:$AK270))))</f>
      </c>
      <c r="BB270" s="0">
        <f>MAX(0,MIN(AJ270,BX270-SUMPRODUCT(($T$2:$AK$2&lt;AJ$2)*($T270:$AK270))))</f>
      </c>
      <c r="BC270" s="0">
        <f>MAX(0,MIN(AK270,BX270-SUMPRODUCT(($T$2:$AK$2&lt;AK$2)*($T270:$AK270))))</f>
      </c>
      <c r="BD270" s="0">
        <f>T270-AL270</f>
      </c>
      <c r="BE270" s="0">
        <f>U270-AM270</f>
      </c>
      <c r="BF270" s="0">
        <f>V270-AN270</f>
      </c>
      <c r="BG270" s="0">
        <f>W270-AO270</f>
      </c>
      <c r="BH270" s="0">
        <f>X270-AP270</f>
      </c>
      <c r="BI270" s="0">
        <f>Y270-AQ270</f>
      </c>
      <c r="BJ270" s="0">
        <f>Z270-AR270</f>
      </c>
      <c r="BK270" s="0">
        <f>AA270-AS270</f>
      </c>
      <c r="BL270" s="0">
        <f>AB270-AT270</f>
      </c>
      <c r="BM270" s="0">
        <f>AC270-AU270</f>
      </c>
      <c r="BN270" s="0">
        <f>AD270-AV270</f>
      </c>
      <c r="BO270" s="0">
        <f>AE270-AW270</f>
      </c>
      <c r="BP270" s="0">
        <f>AF270-AX270</f>
      </c>
      <c r="BQ270" s="0">
        <f>AG270-AY270</f>
      </c>
      <c r="BR270" s="0">
        <f>AH270-AZ270</f>
      </c>
      <c r="BS270" s="0">
        <f>AI270-BA270</f>
      </c>
      <c r="BT270" s="0">
        <f>AJ270-BB270</f>
      </c>
      <c r="BU270" s="0">
        <f>AK270-BC270</f>
      </c>
      <c r="BV270" s="0">
        <f>SUM(B270:S270)</f>
      </c>
      <c r="BW270" s="0">
        <f>SUM(T270:AK270)</f>
      </c>
      <c r="BX270" s="0">
        <f>MAX(0,(SUM(Calculator!$E$11:$E$28)+Calculator!$C$6)-BV270+BW270)</f>
      </c>
      <c r="BY270" s="0">
        <f>SUM(BD270:BU270)</f>
      </c>
      <c r="BZ270" s="0">
        <f>BV270-BY269</f>
      </c>
      <c r="CA270" s="0">
        <f>IF(A270&lt;=IF($CD$1=0,999,$CD$1),BY270,NA())</f>
      </c>
      <c r="CB270" s="0">
        <f>IF(A270&lt;=IF($CD$1=0,999,$CD$1),A270,NA())</f>
      </c>
    </row>
    <row r="271">
      <c r="A271" s="0">
        <v>268</v>
      </c>
      <c r="B271" s="0">
        <f>BD270*(1+Calculator!$D$11/100/12)</f>
      </c>
      <c r="C271" s="0">
        <f>BE270*(1+Calculator!$D$12/100/12)</f>
      </c>
      <c r="D271" s="0">
        <f>BF270*(1+Calculator!$D$13/100/12)</f>
      </c>
      <c r="E271" s="0">
        <f>BG270*(1+Calculator!$D$14/100/12)</f>
      </c>
      <c r="F271" s="0">
        <f>BH270*(1+Calculator!$D$15/100/12)</f>
      </c>
      <c r="G271" s="0">
        <f>BI270*(1+Calculator!$D$16/100/12)</f>
      </c>
      <c r="H271" s="0">
        <f>BJ270*(1+Calculator!$D$17/100/12)</f>
      </c>
      <c r="I271" s="0">
        <f>BK270*(1+Calculator!$D$18/100/12)</f>
      </c>
      <c r="J271" s="0">
        <f>BL270*(1+Calculator!$D$19/100/12)</f>
      </c>
      <c r="K271" s="0">
        <f>BM270*(1+Calculator!$D$20/100/12)</f>
      </c>
      <c r="L271" s="0">
        <f>BN270*(1+Calculator!$D$21/100/12)</f>
      </c>
      <c r="M271" s="0">
        <f>BO270*(1+Calculator!$D$22/100/12)</f>
      </c>
      <c r="N271" s="0">
        <f>BP270*(1+Calculator!$D$23/100/12)</f>
      </c>
      <c r="O271" s="0">
        <f>BQ270*(1+Calculator!$D$24/100/12)</f>
      </c>
      <c r="P271" s="0">
        <f>BR270*(1+Calculator!$D$25/100/12)</f>
      </c>
      <c r="Q271" s="0">
        <f>BS270*(1+Calculator!$D$26/100/12)</f>
      </c>
      <c r="R271" s="0">
        <f>BT270*(1+Calculator!$D$27/100/12)</f>
      </c>
      <c r="S271" s="0">
        <f>BU270*(1+Calculator!$D$28/100/12)</f>
      </c>
      <c r="T271" s="0">
        <f>MAX(0,B271-Calculator!$E$11)</f>
      </c>
      <c r="U271" s="0">
        <f>MAX(0,C271-Calculator!$E$12)</f>
      </c>
      <c r="V271" s="0">
        <f>MAX(0,D271-Calculator!$E$13)</f>
      </c>
      <c r="W271" s="0">
        <f>MAX(0,E271-Calculator!$E$14)</f>
      </c>
      <c r="X271" s="0">
        <f>MAX(0,F271-Calculator!$E$15)</f>
      </c>
      <c r="Y271" s="0">
        <f>MAX(0,G271-Calculator!$E$16)</f>
      </c>
      <c r="Z271" s="0">
        <f>MAX(0,H271-Calculator!$E$17)</f>
      </c>
      <c r="AA271" s="0">
        <f>MAX(0,I271-Calculator!$E$18)</f>
      </c>
      <c r="AB271" s="0">
        <f>MAX(0,J271-Calculator!$E$19)</f>
      </c>
      <c r="AC271" s="0">
        <f>MAX(0,K271-Calculator!$E$20)</f>
      </c>
      <c r="AD271" s="0">
        <f>MAX(0,L271-Calculator!$E$21)</f>
      </c>
      <c r="AE271" s="0">
        <f>MAX(0,M271-Calculator!$E$22)</f>
      </c>
      <c r="AF271" s="0">
        <f>MAX(0,N271-Calculator!$E$23)</f>
      </c>
      <c r="AG271" s="0">
        <f>MAX(0,O271-Calculator!$E$24)</f>
      </c>
      <c r="AH271" s="0">
        <f>MAX(0,P271-Calculator!$E$25)</f>
      </c>
      <c r="AI271" s="0">
        <f>MAX(0,Q271-Calculator!$E$26)</f>
      </c>
      <c r="AJ271" s="0">
        <f>MAX(0,R271-Calculator!$E$27)</f>
      </c>
      <c r="AK271" s="0">
        <f>MAX(0,S271-Calculator!$E$28)</f>
      </c>
      <c r="AL271" s="0">
        <f>MAX(0,MIN(T271,BX271-SUMPRODUCT(($T$2:$AK$2&lt;T$2)*($T271:$AK271))))</f>
      </c>
      <c r="AM271" s="0">
        <f>MAX(0,MIN(U271,BX271-SUMPRODUCT(($T$2:$AK$2&lt;U$2)*($T271:$AK271))))</f>
      </c>
      <c r="AN271" s="0">
        <f>MAX(0,MIN(V271,BX271-SUMPRODUCT(($T$2:$AK$2&lt;V$2)*($T271:$AK271))))</f>
      </c>
      <c r="AO271" s="0">
        <f>MAX(0,MIN(W271,BX271-SUMPRODUCT(($T$2:$AK$2&lt;W$2)*($T271:$AK271))))</f>
      </c>
      <c r="AP271" s="0">
        <f>MAX(0,MIN(X271,BX271-SUMPRODUCT(($T$2:$AK$2&lt;X$2)*($T271:$AK271))))</f>
      </c>
      <c r="AQ271" s="0">
        <f>MAX(0,MIN(Y271,BX271-SUMPRODUCT(($T$2:$AK$2&lt;Y$2)*($T271:$AK271))))</f>
      </c>
      <c r="AR271" s="0">
        <f>MAX(0,MIN(Z271,BX271-SUMPRODUCT(($T$2:$AK$2&lt;Z$2)*($T271:$AK271))))</f>
      </c>
      <c r="AS271" s="0">
        <f>MAX(0,MIN(AA271,BX271-SUMPRODUCT(($T$2:$AK$2&lt;AA$2)*($T271:$AK271))))</f>
      </c>
      <c r="AT271" s="0">
        <f>MAX(0,MIN(AB271,BX271-SUMPRODUCT(($T$2:$AK$2&lt;AB$2)*($T271:$AK271))))</f>
      </c>
      <c r="AU271" s="0">
        <f>MAX(0,MIN(AC271,BX271-SUMPRODUCT(($T$2:$AK$2&lt;AC$2)*($T271:$AK271))))</f>
      </c>
      <c r="AV271" s="0">
        <f>MAX(0,MIN(AD271,BX271-SUMPRODUCT(($T$2:$AK$2&lt;AD$2)*($T271:$AK271))))</f>
      </c>
      <c r="AW271" s="0">
        <f>MAX(0,MIN(AE271,BX271-SUMPRODUCT(($T$2:$AK$2&lt;AE$2)*($T271:$AK271))))</f>
      </c>
      <c r="AX271" s="0">
        <f>MAX(0,MIN(AF271,BX271-SUMPRODUCT(($T$2:$AK$2&lt;AF$2)*($T271:$AK271))))</f>
      </c>
      <c r="AY271" s="0">
        <f>MAX(0,MIN(AG271,BX271-SUMPRODUCT(($T$2:$AK$2&lt;AG$2)*($T271:$AK271))))</f>
      </c>
      <c r="AZ271" s="0">
        <f>MAX(0,MIN(AH271,BX271-SUMPRODUCT(($T$2:$AK$2&lt;AH$2)*($T271:$AK271))))</f>
      </c>
      <c r="BA271" s="0">
        <f>MAX(0,MIN(AI271,BX271-SUMPRODUCT(($T$2:$AK$2&lt;AI$2)*($T271:$AK271))))</f>
      </c>
      <c r="BB271" s="0">
        <f>MAX(0,MIN(AJ271,BX271-SUMPRODUCT(($T$2:$AK$2&lt;AJ$2)*($T271:$AK271))))</f>
      </c>
      <c r="BC271" s="0">
        <f>MAX(0,MIN(AK271,BX271-SUMPRODUCT(($T$2:$AK$2&lt;AK$2)*($T271:$AK271))))</f>
      </c>
      <c r="BD271" s="0">
        <f>T271-AL271</f>
      </c>
      <c r="BE271" s="0">
        <f>U271-AM271</f>
      </c>
      <c r="BF271" s="0">
        <f>V271-AN271</f>
      </c>
      <c r="BG271" s="0">
        <f>W271-AO271</f>
      </c>
      <c r="BH271" s="0">
        <f>X271-AP271</f>
      </c>
      <c r="BI271" s="0">
        <f>Y271-AQ271</f>
      </c>
      <c r="BJ271" s="0">
        <f>Z271-AR271</f>
      </c>
      <c r="BK271" s="0">
        <f>AA271-AS271</f>
      </c>
      <c r="BL271" s="0">
        <f>AB271-AT271</f>
      </c>
      <c r="BM271" s="0">
        <f>AC271-AU271</f>
      </c>
      <c r="BN271" s="0">
        <f>AD271-AV271</f>
      </c>
      <c r="BO271" s="0">
        <f>AE271-AW271</f>
      </c>
      <c r="BP271" s="0">
        <f>AF271-AX271</f>
      </c>
      <c r="BQ271" s="0">
        <f>AG271-AY271</f>
      </c>
      <c r="BR271" s="0">
        <f>AH271-AZ271</f>
      </c>
      <c r="BS271" s="0">
        <f>AI271-BA271</f>
      </c>
      <c r="BT271" s="0">
        <f>AJ271-BB271</f>
      </c>
      <c r="BU271" s="0">
        <f>AK271-BC271</f>
      </c>
      <c r="BV271" s="0">
        <f>SUM(B271:S271)</f>
      </c>
      <c r="BW271" s="0">
        <f>SUM(T271:AK271)</f>
      </c>
      <c r="BX271" s="0">
        <f>MAX(0,(SUM(Calculator!$E$11:$E$28)+Calculator!$C$6)-BV271+BW271)</f>
      </c>
      <c r="BY271" s="0">
        <f>SUM(BD271:BU271)</f>
      </c>
      <c r="BZ271" s="0">
        <f>BV271-BY270</f>
      </c>
      <c r="CA271" s="0">
        <f>IF(A271&lt;=IF($CD$1=0,999,$CD$1),BY271,NA())</f>
      </c>
      <c r="CB271" s="0">
        <f>IF(A271&lt;=IF($CD$1=0,999,$CD$1),A271,NA())</f>
      </c>
    </row>
    <row r="272">
      <c r="A272" s="0">
        <v>269</v>
      </c>
      <c r="B272" s="0">
        <f>BD271*(1+Calculator!$D$11/100/12)</f>
      </c>
      <c r="C272" s="0">
        <f>BE271*(1+Calculator!$D$12/100/12)</f>
      </c>
      <c r="D272" s="0">
        <f>BF271*(1+Calculator!$D$13/100/12)</f>
      </c>
      <c r="E272" s="0">
        <f>BG271*(1+Calculator!$D$14/100/12)</f>
      </c>
      <c r="F272" s="0">
        <f>BH271*(1+Calculator!$D$15/100/12)</f>
      </c>
      <c r="G272" s="0">
        <f>BI271*(1+Calculator!$D$16/100/12)</f>
      </c>
      <c r="H272" s="0">
        <f>BJ271*(1+Calculator!$D$17/100/12)</f>
      </c>
      <c r="I272" s="0">
        <f>BK271*(1+Calculator!$D$18/100/12)</f>
      </c>
      <c r="J272" s="0">
        <f>BL271*(1+Calculator!$D$19/100/12)</f>
      </c>
      <c r="K272" s="0">
        <f>BM271*(1+Calculator!$D$20/100/12)</f>
      </c>
      <c r="L272" s="0">
        <f>BN271*(1+Calculator!$D$21/100/12)</f>
      </c>
      <c r="M272" s="0">
        <f>BO271*(1+Calculator!$D$22/100/12)</f>
      </c>
      <c r="N272" s="0">
        <f>BP271*(1+Calculator!$D$23/100/12)</f>
      </c>
      <c r="O272" s="0">
        <f>BQ271*(1+Calculator!$D$24/100/12)</f>
      </c>
      <c r="P272" s="0">
        <f>BR271*(1+Calculator!$D$25/100/12)</f>
      </c>
      <c r="Q272" s="0">
        <f>BS271*(1+Calculator!$D$26/100/12)</f>
      </c>
      <c r="R272" s="0">
        <f>BT271*(1+Calculator!$D$27/100/12)</f>
      </c>
      <c r="S272" s="0">
        <f>BU271*(1+Calculator!$D$28/100/12)</f>
      </c>
      <c r="T272" s="0">
        <f>MAX(0,B272-Calculator!$E$11)</f>
      </c>
      <c r="U272" s="0">
        <f>MAX(0,C272-Calculator!$E$12)</f>
      </c>
      <c r="V272" s="0">
        <f>MAX(0,D272-Calculator!$E$13)</f>
      </c>
      <c r="W272" s="0">
        <f>MAX(0,E272-Calculator!$E$14)</f>
      </c>
      <c r="X272" s="0">
        <f>MAX(0,F272-Calculator!$E$15)</f>
      </c>
      <c r="Y272" s="0">
        <f>MAX(0,G272-Calculator!$E$16)</f>
      </c>
      <c r="Z272" s="0">
        <f>MAX(0,H272-Calculator!$E$17)</f>
      </c>
      <c r="AA272" s="0">
        <f>MAX(0,I272-Calculator!$E$18)</f>
      </c>
      <c r="AB272" s="0">
        <f>MAX(0,J272-Calculator!$E$19)</f>
      </c>
      <c r="AC272" s="0">
        <f>MAX(0,K272-Calculator!$E$20)</f>
      </c>
      <c r="AD272" s="0">
        <f>MAX(0,L272-Calculator!$E$21)</f>
      </c>
      <c r="AE272" s="0">
        <f>MAX(0,M272-Calculator!$E$22)</f>
      </c>
      <c r="AF272" s="0">
        <f>MAX(0,N272-Calculator!$E$23)</f>
      </c>
      <c r="AG272" s="0">
        <f>MAX(0,O272-Calculator!$E$24)</f>
      </c>
      <c r="AH272" s="0">
        <f>MAX(0,P272-Calculator!$E$25)</f>
      </c>
      <c r="AI272" s="0">
        <f>MAX(0,Q272-Calculator!$E$26)</f>
      </c>
      <c r="AJ272" s="0">
        <f>MAX(0,R272-Calculator!$E$27)</f>
      </c>
      <c r="AK272" s="0">
        <f>MAX(0,S272-Calculator!$E$28)</f>
      </c>
      <c r="AL272" s="0">
        <f>MAX(0,MIN(T272,BX272-SUMPRODUCT(($T$2:$AK$2&lt;T$2)*($T272:$AK272))))</f>
      </c>
      <c r="AM272" s="0">
        <f>MAX(0,MIN(U272,BX272-SUMPRODUCT(($T$2:$AK$2&lt;U$2)*($T272:$AK272))))</f>
      </c>
      <c r="AN272" s="0">
        <f>MAX(0,MIN(V272,BX272-SUMPRODUCT(($T$2:$AK$2&lt;V$2)*($T272:$AK272))))</f>
      </c>
      <c r="AO272" s="0">
        <f>MAX(0,MIN(W272,BX272-SUMPRODUCT(($T$2:$AK$2&lt;W$2)*($T272:$AK272))))</f>
      </c>
      <c r="AP272" s="0">
        <f>MAX(0,MIN(X272,BX272-SUMPRODUCT(($T$2:$AK$2&lt;X$2)*($T272:$AK272))))</f>
      </c>
      <c r="AQ272" s="0">
        <f>MAX(0,MIN(Y272,BX272-SUMPRODUCT(($T$2:$AK$2&lt;Y$2)*($T272:$AK272))))</f>
      </c>
      <c r="AR272" s="0">
        <f>MAX(0,MIN(Z272,BX272-SUMPRODUCT(($T$2:$AK$2&lt;Z$2)*($T272:$AK272))))</f>
      </c>
      <c r="AS272" s="0">
        <f>MAX(0,MIN(AA272,BX272-SUMPRODUCT(($T$2:$AK$2&lt;AA$2)*($T272:$AK272))))</f>
      </c>
      <c r="AT272" s="0">
        <f>MAX(0,MIN(AB272,BX272-SUMPRODUCT(($T$2:$AK$2&lt;AB$2)*($T272:$AK272))))</f>
      </c>
      <c r="AU272" s="0">
        <f>MAX(0,MIN(AC272,BX272-SUMPRODUCT(($T$2:$AK$2&lt;AC$2)*($T272:$AK272))))</f>
      </c>
      <c r="AV272" s="0">
        <f>MAX(0,MIN(AD272,BX272-SUMPRODUCT(($T$2:$AK$2&lt;AD$2)*($T272:$AK272))))</f>
      </c>
      <c r="AW272" s="0">
        <f>MAX(0,MIN(AE272,BX272-SUMPRODUCT(($T$2:$AK$2&lt;AE$2)*($T272:$AK272))))</f>
      </c>
      <c r="AX272" s="0">
        <f>MAX(0,MIN(AF272,BX272-SUMPRODUCT(($T$2:$AK$2&lt;AF$2)*($T272:$AK272))))</f>
      </c>
      <c r="AY272" s="0">
        <f>MAX(0,MIN(AG272,BX272-SUMPRODUCT(($T$2:$AK$2&lt;AG$2)*($T272:$AK272))))</f>
      </c>
      <c r="AZ272" s="0">
        <f>MAX(0,MIN(AH272,BX272-SUMPRODUCT(($T$2:$AK$2&lt;AH$2)*($T272:$AK272))))</f>
      </c>
      <c r="BA272" s="0">
        <f>MAX(0,MIN(AI272,BX272-SUMPRODUCT(($T$2:$AK$2&lt;AI$2)*($T272:$AK272))))</f>
      </c>
      <c r="BB272" s="0">
        <f>MAX(0,MIN(AJ272,BX272-SUMPRODUCT(($T$2:$AK$2&lt;AJ$2)*($T272:$AK272))))</f>
      </c>
      <c r="BC272" s="0">
        <f>MAX(0,MIN(AK272,BX272-SUMPRODUCT(($T$2:$AK$2&lt;AK$2)*($T272:$AK272))))</f>
      </c>
      <c r="BD272" s="0">
        <f>T272-AL272</f>
      </c>
      <c r="BE272" s="0">
        <f>U272-AM272</f>
      </c>
      <c r="BF272" s="0">
        <f>V272-AN272</f>
      </c>
      <c r="BG272" s="0">
        <f>W272-AO272</f>
      </c>
      <c r="BH272" s="0">
        <f>X272-AP272</f>
      </c>
      <c r="BI272" s="0">
        <f>Y272-AQ272</f>
      </c>
      <c r="BJ272" s="0">
        <f>Z272-AR272</f>
      </c>
      <c r="BK272" s="0">
        <f>AA272-AS272</f>
      </c>
      <c r="BL272" s="0">
        <f>AB272-AT272</f>
      </c>
      <c r="BM272" s="0">
        <f>AC272-AU272</f>
      </c>
      <c r="BN272" s="0">
        <f>AD272-AV272</f>
      </c>
      <c r="BO272" s="0">
        <f>AE272-AW272</f>
      </c>
      <c r="BP272" s="0">
        <f>AF272-AX272</f>
      </c>
      <c r="BQ272" s="0">
        <f>AG272-AY272</f>
      </c>
      <c r="BR272" s="0">
        <f>AH272-AZ272</f>
      </c>
      <c r="BS272" s="0">
        <f>AI272-BA272</f>
      </c>
      <c r="BT272" s="0">
        <f>AJ272-BB272</f>
      </c>
      <c r="BU272" s="0">
        <f>AK272-BC272</f>
      </c>
      <c r="BV272" s="0">
        <f>SUM(B272:S272)</f>
      </c>
      <c r="BW272" s="0">
        <f>SUM(T272:AK272)</f>
      </c>
      <c r="BX272" s="0">
        <f>MAX(0,(SUM(Calculator!$E$11:$E$28)+Calculator!$C$6)-BV272+BW272)</f>
      </c>
      <c r="BY272" s="0">
        <f>SUM(BD272:BU272)</f>
      </c>
      <c r="BZ272" s="0">
        <f>BV272-BY271</f>
      </c>
      <c r="CA272" s="0">
        <f>IF(A272&lt;=IF($CD$1=0,999,$CD$1),BY272,NA())</f>
      </c>
      <c r="CB272" s="0">
        <f>IF(A272&lt;=IF($CD$1=0,999,$CD$1),A272,NA())</f>
      </c>
    </row>
    <row r="273">
      <c r="A273" s="0">
        <v>270</v>
      </c>
      <c r="B273" s="0">
        <f>BD272*(1+Calculator!$D$11/100/12)</f>
      </c>
      <c r="C273" s="0">
        <f>BE272*(1+Calculator!$D$12/100/12)</f>
      </c>
      <c r="D273" s="0">
        <f>BF272*(1+Calculator!$D$13/100/12)</f>
      </c>
      <c r="E273" s="0">
        <f>BG272*(1+Calculator!$D$14/100/12)</f>
      </c>
      <c r="F273" s="0">
        <f>BH272*(1+Calculator!$D$15/100/12)</f>
      </c>
      <c r="G273" s="0">
        <f>BI272*(1+Calculator!$D$16/100/12)</f>
      </c>
      <c r="H273" s="0">
        <f>BJ272*(1+Calculator!$D$17/100/12)</f>
      </c>
      <c r="I273" s="0">
        <f>BK272*(1+Calculator!$D$18/100/12)</f>
      </c>
      <c r="J273" s="0">
        <f>BL272*(1+Calculator!$D$19/100/12)</f>
      </c>
      <c r="K273" s="0">
        <f>BM272*(1+Calculator!$D$20/100/12)</f>
      </c>
      <c r="L273" s="0">
        <f>BN272*(1+Calculator!$D$21/100/12)</f>
      </c>
      <c r="M273" s="0">
        <f>BO272*(1+Calculator!$D$22/100/12)</f>
      </c>
      <c r="N273" s="0">
        <f>BP272*(1+Calculator!$D$23/100/12)</f>
      </c>
      <c r="O273" s="0">
        <f>BQ272*(1+Calculator!$D$24/100/12)</f>
      </c>
      <c r="P273" s="0">
        <f>BR272*(1+Calculator!$D$25/100/12)</f>
      </c>
      <c r="Q273" s="0">
        <f>BS272*(1+Calculator!$D$26/100/12)</f>
      </c>
      <c r="R273" s="0">
        <f>BT272*(1+Calculator!$D$27/100/12)</f>
      </c>
      <c r="S273" s="0">
        <f>BU272*(1+Calculator!$D$28/100/12)</f>
      </c>
      <c r="T273" s="0">
        <f>MAX(0,B273-Calculator!$E$11)</f>
      </c>
      <c r="U273" s="0">
        <f>MAX(0,C273-Calculator!$E$12)</f>
      </c>
      <c r="V273" s="0">
        <f>MAX(0,D273-Calculator!$E$13)</f>
      </c>
      <c r="W273" s="0">
        <f>MAX(0,E273-Calculator!$E$14)</f>
      </c>
      <c r="X273" s="0">
        <f>MAX(0,F273-Calculator!$E$15)</f>
      </c>
      <c r="Y273" s="0">
        <f>MAX(0,G273-Calculator!$E$16)</f>
      </c>
      <c r="Z273" s="0">
        <f>MAX(0,H273-Calculator!$E$17)</f>
      </c>
      <c r="AA273" s="0">
        <f>MAX(0,I273-Calculator!$E$18)</f>
      </c>
      <c r="AB273" s="0">
        <f>MAX(0,J273-Calculator!$E$19)</f>
      </c>
      <c r="AC273" s="0">
        <f>MAX(0,K273-Calculator!$E$20)</f>
      </c>
      <c r="AD273" s="0">
        <f>MAX(0,L273-Calculator!$E$21)</f>
      </c>
      <c r="AE273" s="0">
        <f>MAX(0,M273-Calculator!$E$22)</f>
      </c>
      <c r="AF273" s="0">
        <f>MAX(0,N273-Calculator!$E$23)</f>
      </c>
      <c r="AG273" s="0">
        <f>MAX(0,O273-Calculator!$E$24)</f>
      </c>
      <c r="AH273" s="0">
        <f>MAX(0,P273-Calculator!$E$25)</f>
      </c>
      <c r="AI273" s="0">
        <f>MAX(0,Q273-Calculator!$E$26)</f>
      </c>
      <c r="AJ273" s="0">
        <f>MAX(0,R273-Calculator!$E$27)</f>
      </c>
      <c r="AK273" s="0">
        <f>MAX(0,S273-Calculator!$E$28)</f>
      </c>
      <c r="AL273" s="0">
        <f>MAX(0,MIN(T273,BX273-SUMPRODUCT(($T$2:$AK$2&lt;T$2)*($T273:$AK273))))</f>
      </c>
      <c r="AM273" s="0">
        <f>MAX(0,MIN(U273,BX273-SUMPRODUCT(($T$2:$AK$2&lt;U$2)*($T273:$AK273))))</f>
      </c>
      <c r="AN273" s="0">
        <f>MAX(0,MIN(V273,BX273-SUMPRODUCT(($T$2:$AK$2&lt;V$2)*($T273:$AK273))))</f>
      </c>
      <c r="AO273" s="0">
        <f>MAX(0,MIN(W273,BX273-SUMPRODUCT(($T$2:$AK$2&lt;W$2)*($T273:$AK273))))</f>
      </c>
      <c r="AP273" s="0">
        <f>MAX(0,MIN(X273,BX273-SUMPRODUCT(($T$2:$AK$2&lt;X$2)*($T273:$AK273))))</f>
      </c>
      <c r="AQ273" s="0">
        <f>MAX(0,MIN(Y273,BX273-SUMPRODUCT(($T$2:$AK$2&lt;Y$2)*($T273:$AK273))))</f>
      </c>
      <c r="AR273" s="0">
        <f>MAX(0,MIN(Z273,BX273-SUMPRODUCT(($T$2:$AK$2&lt;Z$2)*($T273:$AK273))))</f>
      </c>
      <c r="AS273" s="0">
        <f>MAX(0,MIN(AA273,BX273-SUMPRODUCT(($T$2:$AK$2&lt;AA$2)*($T273:$AK273))))</f>
      </c>
      <c r="AT273" s="0">
        <f>MAX(0,MIN(AB273,BX273-SUMPRODUCT(($T$2:$AK$2&lt;AB$2)*($T273:$AK273))))</f>
      </c>
      <c r="AU273" s="0">
        <f>MAX(0,MIN(AC273,BX273-SUMPRODUCT(($T$2:$AK$2&lt;AC$2)*($T273:$AK273))))</f>
      </c>
      <c r="AV273" s="0">
        <f>MAX(0,MIN(AD273,BX273-SUMPRODUCT(($T$2:$AK$2&lt;AD$2)*($T273:$AK273))))</f>
      </c>
      <c r="AW273" s="0">
        <f>MAX(0,MIN(AE273,BX273-SUMPRODUCT(($T$2:$AK$2&lt;AE$2)*($T273:$AK273))))</f>
      </c>
      <c r="AX273" s="0">
        <f>MAX(0,MIN(AF273,BX273-SUMPRODUCT(($T$2:$AK$2&lt;AF$2)*($T273:$AK273))))</f>
      </c>
      <c r="AY273" s="0">
        <f>MAX(0,MIN(AG273,BX273-SUMPRODUCT(($T$2:$AK$2&lt;AG$2)*($T273:$AK273))))</f>
      </c>
      <c r="AZ273" s="0">
        <f>MAX(0,MIN(AH273,BX273-SUMPRODUCT(($T$2:$AK$2&lt;AH$2)*($T273:$AK273))))</f>
      </c>
      <c r="BA273" s="0">
        <f>MAX(0,MIN(AI273,BX273-SUMPRODUCT(($T$2:$AK$2&lt;AI$2)*($T273:$AK273))))</f>
      </c>
      <c r="BB273" s="0">
        <f>MAX(0,MIN(AJ273,BX273-SUMPRODUCT(($T$2:$AK$2&lt;AJ$2)*($T273:$AK273))))</f>
      </c>
      <c r="BC273" s="0">
        <f>MAX(0,MIN(AK273,BX273-SUMPRODUCT(($T$2:$AK$2&lt;AK$2)*($T273:$AK273))))</f>
      </c>
      <c r="BD273" s="0">
        <f>T273-AL273</f>
      </c>
      <c r="BE273" s="0">
        <f>U273-AM273</f>
      </c>
      <c r="BF273" s="0">
        <f>V273-AN273</f>
      </c>
      <c r="BG273" s="0">
        <f>W273-AO273</f>
      </c>
      <c r="BH273" s="0">
        <f>X273-AP273</f>
      </c>
      <c r="BI273" s="0">
        <f>Y273-AQ273</f>
      </c>
      <c r="BJ273" s="0">
        <f>Z273-AR273</f>
      </c>
      <c r="BK273" s="0">
        <f>AA273-AS273</f>
      </c>
      <c r="BL273" s="0">
        <f>AB273-AT273</f>
      </c>
      <c r="BM273" s="0">
        <f>AC273-AU273</f>
      </c>
      <c r="BN273" s="0">
        <f>AD273-AV273</f>
      </c>
      <c r="BO273" s="0">
        <f>AE273-AW273</f>
      </c>
      <c r="BP273" s="0">
        <f>AF273-AX273</f>
      </c>
      <c r="BQ273" s="0">
        <f>AG273-AY273</f>
      </c>
      <c r="BR273" s="0">
        <f>AH273-AZ273</f>
      </c>
      <c r="BS273" s="0">
        <f>AI273-BA273</f>
      </c>
      <c r="BT273" s="0">
        <f>AJ273-BB273</f>
      </c>
      <c r="BU273" s="0">
        <f>AK273-BC273</f>
      </c>
      <c r="BV273" s="0">
        <f>SUM(B273:S273)</f>
      </c>
      <c r="BW273" s="0">
        <f>SUM(T273:AK273)</f>
      </c>
      <c r="BX273" s="0">
        <f>MAX(0,(SUM(Calculator!$E$11:$E$28)+Calculator!$C$6)-BV273+BW273)</f>
      </c>
      <c r="BY273" s="0">
        <f>SUM(BD273:BU273)</f>
      </c>
      <c r="BZ273" s="0">
        <f>BV273-BY272</f>
      </c>
      <c r="CA273" s="0">
        <f>IF(A273&lt;=IF($CD$1=0,999,$CD$1),BY273,NA())</f>
      </c>
      <c r="CB273" s="0">
        <f>IF(A273&lt;=IF($CD$1=0,999,$CD$1),A273,NA())</f>
      </c>
    </row>
    <row r="274">
      <c r="A274" s="0">
        <v>271</v>
      </c>
      <c r="B274" s="0">
        <f>BD273*(1+Calculator!$D$11/100/12)</f>
      </c>
      <c r="C274" s="0">
        <f>BE273*(1+Calculator!$D$12/100/12)</f>
      </c>
      <c r="D274" s="0">
        <f>BF273*(1+Calculator!$D$13/100/12)</f>
      </c>
      <c r="E274" s="0">
        <f>BG273*(1+Calculator!$D$14/100/12)</f>
      </c>
      <c r="F274" s="0">
        <f>BH273*(1+Calculator!$D$15/100/12)</f>
      </c>
      <c r="G274" s="0">
        <f>BI273*(1+Calculator!$D$16/100/12)</f>
      </c>
      <c r="H274" s="0">
        <f>BJ273*(1+Calculator!$D$17/100/12)</f>
      </c>
      <c r="I274" s="0">
        <f>BK273*(1+Calculator!$D$18/100/12)</f>
      </c>
      <c r="J274" s="0">
        <f>BL273*(1+Calculator!$D$19/100/12)</f>
      </c>
      <c r="K274" s="0">
        <f>BM273*(1+Calculator!$D$20/100/12)</f>
      </c>
      <c r="L274" s="0">
        <f>BN273*(1+Calculator!$D$21/100/12)</f>
      </c>
      <c r="M274" s="0">
        <f>BO273*(1+Calculator!$D$22/100/12)</f>
      </c>
      <c r="N274" s="0">
        <f>BP273*(1+Calculator!$D$23/100/12)</f>
      </c>
      <c r="O274" s="0">
        <f>BQ273*(1+Calculator!$D$24/100/12)</f>
      </c>
      <c r="P274" s="0">
        <f>BR273*(1+Calculator!$D$25/100/12)</f>
      </c>
      <c r="Q274" s="0">
        <f>BS273*(1+Calculator!$D$26/100/12)</f>
      </c>
      <c r="R274" s="0">
        <f>BT273*(1+Calculator!$D$27/100/12)</f>
      </c>
      <c r="S274" s="0">
        <f>BU273*(1+Calculator!$D$28/100/12)</f>
      </c>
      <c r="T274" s="0">
        <f>MAX(0,B274-Calculator!$E$11)</f>
      </c>
      <c r="U274" s="0">
        <f>MAX(0,C274-Calculator!$E$12)</f>
      </c>
      <c r="V274" s="0">
        <f>MAX(0,D274-Calculator!$E$13)</f>
      </c>
      <c r="W274" s="0">
        <f>MAX(0,E274-Calculator!$E$14)</f>
      </c>
      <c r="X274" s="0">
        <f>MAX(0,F274-Calculator!$E$15)</f>
      </c>
      <c r="Y274" s="0">
        <f>MAX(0,G274-Calculator!$E$16)</f>
      </c>
      <c r="Z274" s="0">
        <f>MAX(0,H274-Calculator!$E$17)</f>
      </c>
      <c r="AA274" s="0">
        <f>MAX(0,I274-Calculator!$E$18)</f>
      </c>
      <c r="AB274" s="0">
        <f>MAX(0,J274-Calculator!$E$19)</f>
      </c>
      <c r="AC274" s="0">
        <f>MAX(0,K274-Calculator!$E$20)</f>
      </c>
      <c r="AD274" s="0">
        <f>MAX(0,L274-Calculator!$E$21)</f>
      </c>
      <c r="AE274" s="0">
        <f>MAX(0,M274-Calculator!$E$22)</f>
      </c>
      <c r="AF274" s="0">
        <f>MAX(0,N274-Calculator!$E$23)</f>
      </c>
      <c r="AG274" s="0">
        <f>MAX(0,O274-Calculator!$E$24)</f>
      </c>
      <c r="AH274" s="0">
        <f>MAX(0,P274-Calculator!$E$25)</f>
      </c>
      <c r="AI274" s="0">
        <f>MAX(0,Q274-Calculator!$E$26)</f>
      </c>
      <c r="AJ274" s="0">
        <f>MAX(0,R274-Calculator!$E$27)</f>
      </c>
      <c r="AK274" s="0">
        <f>MAX(0,S274-Calculator!$E$28)</f>
      </c>
      <c r="AL274" s="0">
        <f>MAX(0,MIN(T274,BX274-SUMPRODUCT(($T$2:$AK$2&lt;T$2)*($T274:$AK274))))</f>
      </c>
      <c r="AM274" s="0">
        <f>MAX(0,MIN(U274,BX274-SUMPRODUCT(($T$2:$AK$2&lt;U$2)*($T274:$AK274))))</f>
      </c>
      <c r="AN274" s="0">
        <f>MAX(0,MIN(V274,BX274-SUMPRODUCT(($T$2:$AK$2&lt;V$2)*($T274:$AK274))))</f>
      </c>
      <c r="AO274" s="0">
        <f>MAX(0,MIN(W274,BX274-SUMPRODUCT(($T$2:$AK$2&lt;W$2)*($T274:$AK274))))</f>
      </c>
      <c r="AP274" s="0">
        <f>MAX(0,MIN(X274,BX274-SUMPRODUCT(($T$2:$AK$2&lt;X$2)*($T274:$AK274))))</f>
      </c>
      <c r="AQ274" s="0">
        <f>MAX(0,MIN(Y274,BX274-SUMPRODUCT(($T$2:$AK$2&lt;Y$2)*($T274:$AK274))))</f>
      </c>
      <c r="AR274" s="0">
        <f>MAX(0,MIN(Z274,BX274-SUMPRODUCT(($T$2:$AK$2&lt;Z$2)*($T274:$AK274))))</f>
      </c>
      <c r="AS274" s="0">
        <f>MAX(0,MIN(AA274,BX274-SUMPRODUCT(($T$2:$AK$2&lt;AA$2)*($T274:$AK274))))</f>
      </c>
      <c r="AT274" s="0">
        <f>MAX(0,MIN(AB274,BX274-SUMPRODUCT(($T$2:$AK$2&lt;AB$2)*($T274:$AK274))))</f>
      </c>
      <c r="AU274" s="0">
        <f>MAX(0,MIN(AC274,BX274-SUMPRODUCT(($T$2:$AK$2&lt;AC$2)*($T274:$AK274))))</f>
      </c>
      <c r="AV274" s="0">
        <f>MAX(0,MIN(AD274,BX274-SUMPRODUCT(($T$2:$AK$2&lt;AD$2)*($T274:$AK274))))</f>
      </c>
      <c r="AW274" s="0">
        <f>MAX(0,MIN(AE274,BX274-SUMPRODUCT(($T$2:$AK$2&lt;AE$2)*($T274:$AK274))))</f>
      </c>
      <c r="AX274" s="0">
        <f>MAX(0,MIN(AF274,BX274-SUMPRODUCT(($T$2:$AK$2&lt;AF$2)*($T274:$AK274))))</f>
      </c>
      <c r="AY274" s="0">
        <f>MAX(0,MIN(AG274,BX274-SUMPRODUCT(($T$2:$AK$2&lt;AG$2)*($T274:$AK274))))</f>
      </c>
      <c r="AZ274" s="0">
        <f>MAX(0,MIN(AH274,BX274-SUMPRODUCT(($T$2:$AK$2&lt;AH$2)*($T274:$AK274))))</f>
      </c>
      <c r="BA274" s="0">
        <f>MAX(0,MIN(AI274,BX274-SUMPRODUCT(($T$2:$AK$2&lt;AI$2)*($T274:$AK274))))</f>
      </c>
      <c r="BB274" s="0">
        <f>MAX(0,MIN(AJ274,BX274-SUMPRODUCT(($T$2:$AK$2&lt;AJ$2)*($T274:$AK274))))</f>
      </c>
      <c r="BC274" s="0">
        <f>MAX(0,MIN(AK274,BX274-SUMPRODUCT(($T$2:$AK$2&lt;AK$2)*($T274:$AK274))))</f>
      </c>
      <c r="BD274" s="0">
        <f>T274-AL274</f>
      </c>
      <c r="BE274" s="0">
        <f>U274-AM274</f>
      </c>
      <c r="BF274" s="0">
        <f>V274-AN274</f>
      </c>
      <c r="BG274" s="0">
        <f>W274-AO274</f>
      </c>
      <c r="BH274" s="0">
        <f>X274-AP274</f>
      </c>
      <c r="BI274" s="0">
        <f>Y274-AQ274</f>
      </c>
      <c r="BJ274" s="0">
        <f>Z274-AR274</f>
      </c>
      <c r="BK274" s="0">
        <f>AA274-AS274</f>
      </c>
      <c r="BL274" s="0">
        <f>AB274-AT274</f>
      </c>
      <c r="BM274" s="0">
        <f>AC274-AU274</f>
      </c>
      <c r="BN274" s="0">
        <f>AD274-AV274</f>
      </c>
      <c r="BO274" s="0">
        <f>AE274-AW274</f>
      </c>
      <c r="BP274" s="0">
        <f>AF274-AX274</f>
      </c>
      <c r="BQ274" s="0">
        <f>AG274-AY274</f>
      </c>
      <c r="BR274" s="0">
        <f>AH274-AZ274</f>
      </c>
      <c r="BS274" s="0">
        <f>AI274-BA274</f>
      </c>
      <c r="BT274" s="0">
        <f>AJ274-BB274</f>
      </c>
      <c r="BU274" s="0">
        <f>AK274-BC274</f>
      </c>
      <c r="BV274" s="0">
        <f>SUM(B274:S274)</f>
      </c>
      <c r="BW274" s="0">
        <f>SUM(T274:AK274)</f>
      </c>
      <c r="BX274" s="0">
        <f>MAX(0,(SUM(Calculator!$E$11:$E$28)+Calculator!$C$6)-BV274+BW274)</f>
      </c>
      <c r="BY274" s="0">
        <f>SUM(BD274:BU274)</f>
      </c>
      <c r="BZ274" s="0">
        <f>BV274-BY273</f>
      </c>
      <c r="CA274" s="0">
        <f>IF(A274&lt;=IF($CD$1=0,999,$CD$1),BY274,NA())</f>
      </c>
      <c r="CB274" s="0">
        <f>IF(A274&lt;=IF($CD$1=0,999,$CD$1),A274,NA())</f>
      </c>
    </row>
    <row r="275">
      <c r="A275" s="0">
        <v>272</v>
      </c>
      <c r="B275" s="0">
        <f>BD274*(1+Calculator!$D$11/100/12)</f>
      </c>
      <c r="C275" s="0">
        <f>BE274*(1+Calculator!$D$12/100/12)</f>
      </c>
      <c r="D275" s="0">
        <f>BF274*(1+Calculator!$D$13/100/12)</f>
      </c>
      <c r="E275" s="0">
        <f>BG274*(1+Calculator!$D$14/100/12)</f>
      </c>
      <c r="F275" s="0">
        <f>BH274*(1+Calculator!$D$15/100/12)</f>
      </c>
      <c r="G275" s="0">
        <f>BI274*(1+Calculator!$D$16/100/12)</f>
      </c>
      <c r="H275" s="0">
        <f>BJ274*(1+Calculator!$D$17/100/12)</f>
      </c>
      <c r="I275" s="0">
        <f>BK274*(1+Calculator!$D$18/100/12)</f>
      </c>
      <c r="J275" s="0">
        <f>BL274*(1+Calculator!$D$19/100/12)</f>
      </c>
      <c r="K275" s="0">
        <f>BM274*(1+Calculator!$D$20/100/12)</f>
      </c>
      <c r="L275" s="0">
        <f>BN274*(1+Calculator!$D$21/100/12)</f>
      </c>
      <c r="M275" s="0">
        <f>BO274*(1+Calculator!$D$22/100/12)</f>
      </c>
      <c r="N275" s="0">
        <f>BP274*(1+Calculator!$D$23/100/12)</f>
      </c>
      <c r="O275" s="0">
        <f>BQ274*(1+Calculator!$D$24/100/12)</f>
      </c>
      <c r="P275" s="0">
        <f>BR274*(1+Calculator!$D$25/100/12)</f>
      </c>
      <c r="Q275" s="0">
        <f>BS274*(1+Calculator!$D$26/100/12)</f>
      </c>
      <c r="R275" s="0">
        <f>BT274*(1+Calculator!$D$27/100/12)</f>
      </c>
      <c r="S275" s="0">
        <f>BU274*(1+Calculator!$D$28/100/12)</f>
      </c>
      <c r="T275" s="0">
        <f>MAX(0,B275-Calculator!$E$11)</f>
      </c>
      <c r="U275" s="0">
        <f>MAX(0,C275-Calculator!$E$12)</f>
      </c>
      <c r="V275" s="0">
        <f>MAX(0,D275-Calculator!$E$13)</f>
      </c>
      <c r="W275" s="0">
        <f>MAX(0,E275-Calculator!$E$14)</f>
      </c>
      <c r="X275" s="0">
        <f>MAX(0,F275-Calculator!$E$15)</f>
      </c>
      <c r="Y275" s="0">
        <f>MAX(0,G275-Calculator!$E$16)</f>
      </c>
      <c r="Z275" s="0">
        <f>MAX(0,H275-Calculator!$E$17)</f>
      </c>
      <c r="AA275" s="0">
        <f>MAX(0,I275-Calculator!$E$18)</f>
      </c>
      <c r="AB275" s="0">
        <f>MAX(0,J275-Calculator!$E$19)</f>
      </c>
      <c r="AC275" s="0">
        <f>MAX(0,K275-Calculator!$E$20)</f>
      </c>
      <c r="AD275" s="0">
        <f>MAX(0,L275-Calculator!$E$21)</f>
      </c>
      <c r="AE275" s="0">
        <f>MAX(0,M275-Calculator!$E$22)</f>
      </c>
      <c r="AF275" s="0">
        <f>MAX(0,N275-Calculator!$E$23)</f>
      </c>
      <c r="AG275" s="0">
        <f>MAX(0,O275-Calculator!$E$24)</f>
      </c>
      <c r="AH275" s="0">
        <f>MAX(0,P275-Calculator!$E$25)</f>
      </c>
      <c r="AI275" s="0">
        <f>MAX(0,Q275-Calculator!$E$26)</f>
      </c>
      <c r="AJ275" s="0">
        <f>MAX(0,R275-Calculator!$E$27)</f>
      </c>
      <c r="AK275" s="0">
        <f>MAX(0,S275-Calculator!$E$28)</f>
      </c>
      <c r="AL275" s="0">
        <f>MAX(0,MIN(T275,BX275-SUMPRODUCT(($T$2:$AK$2&lt;T$2)*($T275:$AK275))))</f>
      </c>
      <c r="AM275" s="0">
        <f>MAX(0,MIN(U275,BX275-SUMPRODUCT(($T$2:$AK$2&lt;U$2)*($T275:$AK275))))</f>
      </c>
      <c r="AN275" s="0">
        <f>MAX(0,MIN(V275,BX275-SUMPRODUCT(($T$2:$AK$2&lt;V$2)*($T275:$AK275))))</f>
      </c>
      <c r="AO275" s="0">
        <f>MAX(0,MIN(W275,BX275-SUMPRODUCT(($T$2:$AK$2&lt;W$2)*($T275:$AK275))))</f>
      </c>
      <c r="AP275" s="0">
        <f>MAX(0,MIN(X275,BX275-SUMPRODUCT(($T$2:$AK$2&lt;X$2)*($T275:$AK275))))</f>
      </c>
      <c r="AQ275" s="0">
        <f>MAX(0,MIN(Y275,BX275-SUMPRODUCT(($T$2:$AK$2&lt;Y$2)*($T275:$AK275))))</f>
      </c>
      <c r="AR275" s="0">
        <f>MAX(0,MIN(Z275,BX275-SUMPRODUCT(($T$2:$AK$2&lt;Z$2)*($T275:$AK275))))</f>
      </c>
      <c r="AS275" s="0">
        <f>MAX(0,MIN(AA275,BX275-SUMPRODUCT(($T$2:$AK$2&lt;AA$2)*($T275:$AK275))))</f>
      </c>
      <c r="AT275" s="0">
        <f>MAX(0,MIN(AB275,BX275-SUMPRODUCT(($T$2:$AK$2&lt;AB$2)*($T275:$AK275))))</f>
      </c>
      <c r="AU275" s="0">
        <f>MAX(0,MIN(AC275,BX275-SUMPRODUCT(($T$2:$AK$2&lt;AC$2)*($T275:$AK275))))</f>
      </c>
      <c r="AV275" s="0">
        <f>MAX(0,MIN(AD275,BX275-SUMPRODUCT(($T$2:$AK$2&lt;AD$2)*($T275:$AK275))))</f>
      </c>
      <c r="AW275" s="0">
        <f>MAX(0,MIN(AE275,BX275-SUMPRODUCT(($T$2:$AK$2&lt;AE$2)*($T275:$AK275))))</f>
      </c>
      <c r="AX275" s="0">
        <f>MAX(0,MIN(AF275,BX275-SUMPRODUCT(($T$2:$AK$2&lt;AF$2)*($T275:$AK275))))</f>
      </c>
      <c r="AY275" s="0">
        <f>MAX(0,MIN(AG275,BX275-SUMPRODUCT(($T$2:$AK$2&lt;AG$2)*($T275:$AK275))))</f>
      </c>
      <c r="AZ275" s="0">
        <f>MAX(0,MIN(AH275,BX275-SUMPRODUCT(($T$2:$AK$2&lt;AH$2)*($T275:$AK275))))</f>
      </c>
      <c r="BA275" s="0">
        <f>MAX(0,MIN(AI275,BX275-SUMPRODUCT(($T$2:$AK$2&lt;AI$2)*($T275:$AK275))))</f>
      </c>
      <c r="BB275" s="0">
        <f>MAX(0,MIN(AJ275,BX275-SUMPRODUCT(($T$2:$AK$2&lt;AJ$2)*($T275:$AK275))))</f>
      </c>
      <c r="BC275" s="0">
        <f>MAX(0,MIN(AK275,BX275-SUMPRODUCT(($T$2:$AK$2&lt;AK$2)*($T275:$AK275))))</f>
      </c>
      <c r="BD275" s="0">
        <f>T275-AL275</f>
      </c>
      <c r="BE275" s="0">
        <f>U275-AM275</f>
      </c>
      <c r="BF275" s="0">
        <f>V275-AN275</f>
      </c>
      <c r="BG275" s="0">
        <f>W275-AO275</f>
      </c>
      <c r="BH275" s="0">
        <f>X275-AP275</f>
      </c>
      <c r="BI275" s="0">
        <f>Y275-AQ275</f>
      </c>
      <c r="BJ275" s="0">
        <f>Z275-AR275</f>
      </c>
      <c r="BK275" s="0">
        <f>AA275-AS275</f>
      </c>
      <c r="BL275" s="0">
        <f>AB275-AT275</f>
      </c>
      <c r="BM275" s="0">
        <f>AC275-AU275</f>
      </c>
      <c r="BN275" s="0">
        <f>AD275-AV275</f>
      </c>
      <c r="BO275" s="0">
        <f>AE275-AW275</f>
      </c>
      <c r="BP275" s="0">
        <f>AF275-AX275</f>
      </c>
      <c r="BQ275" s="0">
        <f>AG275-AY275</f>
      </c>
      <c r="BR275" s="0">
        <f>AH275-AZ275</f>
      </c>
      <c r="BS275" s="0">
        <f>AI275-BA275</f>
      </c>
      <c r="BT275" s="0">
        <f>AJ275-BB275</f>
      </c>
      <c r="BU275" s="0">
        <f>AK275-BC275</f>
      </c>
      <c r="BV275" s="0">
        <f>SUM(B275:S275)</f>
      </c>
      <c r="BW275" s="0">
        <f>SUM(T275:AK275)</f>
      </c>
      <c r="BX275" s="0">
        <f>MAX(0,(SUM(Calculator!$E$11:$E$28)+Calculator!$C$6)-BV275+BW275)</f>
      </c>
      <c r="BY275" s="0">
        <f>SUM(BD275:BU275)</f>
      </c>
      <c r="BZ275" s="0">
        <f>BV275-BY274</f>
      </c>
      <c r="CA275" s="0">
        <f>IF(A275&lt;=IF($CD$1=0,999,$CD$1),BY275,NA())</f>
      </c>
      <c r="CB275" s="0">
        <f>IF(A275&lt;=IF($CD$1=0,999,$CD$1),A275,NA())</f>
      </c>
    </row>
    <row r="276">
      <c r="A276" s="0">
        <v>273</v>
      </c>
      <c r="B276" s="0">
        <f>BD275*(1+Calculator!$D$11/100/12)</f>
      </c>
      <c r="C276" s="0">
        <f>BE275*(1+Calculator!$D$12/100/12)</f>
      </c>
      <c r="D276" s="0">
        <f>BF275*(1+Calculator!$D$13/100/12)</f>
      </c>
      <c r="E276" s="0">
        <f>BG275*(1+Calculator!$D$14/100/12)</f>
      </c>
      <c r="F276" s="0">
        <f>BH275*(1+Calculator!$D$15/100/12)</f>
      </c>
      <c r="G276" s="0">
        <f>BI275*(1+Calculator!$D$16/100/12)</f>
      </c>
      <c r="H276" s="0">
        <f>BJ275*(1+Calculator!$D$17/100/12)</f>
      </c>
      <c r="I276" s="0">
        <f>BK275*(1+Calculator!$D$18/100/12)</f>
      </c>
      <c r="J276" s="0">
        <f>BL275*(1+Calculator!$D$19/100/12)</f>
      </c>
      <c r="K276" s="0">
        <f>BM275*(1+Calculator!$D$20/100/12)</f>
      </c>
      <c r="L276" s="0">
        <f>BN275*(1+Calculator!$D$21/100/12)</f>
      </c>
      <c r="M276" s="0">
        <f>BO275*(1+Calculator!$D$22/100/12)</f>
      </c>
      <c r="N276" s="0">
        <f>BP275*(1+Calculator!$D$23/100/12)</f>
      </c>
      <c r="O276" s="0">
        <f>BQ275*(1+Calculator!$D$24/100/12)</f>
      </c>
      <c r="P276" s="0">
        <f>BR275*(1+Calculator!$D$25/100/12)</f>
      </c>
      <c r="Q276" s="0">
        <f>BS275*(1+Calculator!$D$26/100/12)</f>
      </c>
      <c r="R276" s="0">
        <f>BT275*(1+Calculator!$D$27/100/12)</f>
      </c>
      <c r="S276" s="0">
        <f>BU275*(1+Calculator!$D$28/100/12)</f>
      </c>
      <c r="T276" s="0">
        <f>MAX(0,B276-Calculator!$E$11)</f>
      </c>
      <c r="U276" s="0">
        <f>MAX(0,C276-Calculator!$E$12)</f>
      </c>
      <c r="V276" s="0">
        <f>MAX(0,D276-Calculator!$E$13)</f>
      </c>
      <c r="W276" s="0">
        <f>MAX(0,E276-Calculator!$E$14)</f>
      </c>
      <c r="X276" s="0">
        <f>MAX(0,F276-Calculator!$E$15)</f>
      </c>
      <c r="Y276" s="0">
        <f>MAX(0,G276-Calculator!$E$16)</f>
      </c>
      <c r="Z276" s="0">
        <f>MAX(0,H276-Calculator!$E$17)</f>
      </c>
      <c r="AA276" s="0">
        <f>MAX(0,I276-Calculator!$E$18)</f>
      </c>
      <c r="AB276" s="0">
        <f>MAX(0,J276-Calculator!$E$19)</f>
      </c>
      <c r="AC276" s="0">
        <f>MAX(0,K276-Calculator!$E$20)</f>
      </c>
      <c r="AD276" s="0">
        <f>MAX(0,L276-Calculator!$E$21)</f>
      </c>
      <c r="AE276" s="0">
        <f>MAX(0,M276-Calculator!$E$22)</f>
      </c>
      <c r="AF276" s="0">
        <f>MAX(0,N276-Calculator!$E$23)</f>
      </c>
      <c r="AG276" s="0">
        <f>MAX(0,O276-Calculator!$E$24)</f>
      </c>
      <c r="AH276" s="0">
        <f>MAX(0,P276-Calculator!$E$25)</f>
      </c>
      <c r="AI276" s="0">
        <f>MAX(0,Q276-Calculator!$E$26)</f>
      </c>
      <c r="AJ276" s="0">
        <f>MAX(0,R276-Calculator!$E$27)</f>
      </c>
      <c r="AK276" s="0">
        <f>MAX(0,S276-Calculator!$E$28)</f>
      </c>
      <c r="AL276" s="0">
        <f>MAX(0,MIN(T276,BX276-SUMPRODUCT(($T$2:$AK$2&lt;T$2)*($T276:$AK276))))</f>
      </c>
      <c r="AM276" s="0">
        <f>MAX(0,MIN(U276,BX276-SUMPRODUCT(($T$2:$AK$2&lt;U$2)*($T276:$AK276))))</f>
      </c>
      <c r="AN276" s="0">
        <f>MAX(0,MIN(V276,BX276-SUMPRODUCT(($T$2:$AK$2&lt;V$2)*($T276:$AK276))))</f>
      </c>
      <c r="AO276" s="0">
        <f>MAX(0,MIN(W276,BX276-SUMPRODUCT(($T$2:$AK$2&lt;W$2)*($T276:$AK276))))</f>
      </c>
      <c r="AP276" s="0">
        <f>MAX(0,MIN(X276,BX276-SUMPRODUCT(($T$2:$AK$2&lt;X$2)*($T276:$AK276))))</f>
      </c>
      <c r="AQ276" s="0">
        <f>MAX(0,MIN(Y276,BX276-SUMPRODUCT(($T$2:$AK$2&lt;Y$2)*($T276:$AK276))))</f>
      </c>
      <c r="AR276" s="0">
        <f>MAX(0,MIN(Z276,BX276-SUMPRODUCT(($T$2:$AK$2&lt;Z$2)*($T276:$AK276))))</f>
      </c>
      <c r="AS276" s="0">
        <f>MAX(0,MIN(AA276,BX276-SUMPRODUCT(($T$2:$AK$2&lt;AA$2)*($T276:$AK276))))</f>
      </c>
      <c r="AT276" s="0">
        <f>MAX(0,MIN(AB276,BX276-SUMPRODUCT(($T$2:$AK$2&lt;AB$2)*($T276:$AK276))))</f>
      </c>
      <c r="AU276" s="0">
        <f>MAX(0,MIN(AC276,BX276-SUMPRODUCT(($T$2:$AK$2&lt;AC$2)*($T276:$AK276))))</f>
      </c>
      <c r="AV276" s="0">
        <f>MAX(0,MIN(AD276,BX276-SUMPRODUCT(($T$2:$AK$2&lt;AD$2)*($T276:$AK276))))</f>
      </c>
      <c r="AW276" s="0">
        <f>MAX(0,MIN(AE276,BX276-SUMPRODUCT(($T$2:$AK$2&lt;AE$2)*($T276:$AK276))))</f>
      </c>
      <c r="AX276" s="0">
        <f>MAX(0,MIN(AF276,BX276-SUMPRODUCT(($T$2:$AK$2&lt;AF$2)*($T276:$AK276))))</f>
      </c>
      <c r="AY276" s="0">
        <f>MAX(0,MIN(AG276,BX276-SUMPRODUCT(($T$2:$AK$2&lt;AG$2)*($T276:$AK276))))</f>
      </c>
      <c r="AZ276" s="0">
        <f>MAX(0,MIN(AH276,BX276-SUMPRODUCT(($T$2:$AK$2&lt;AH$2)*($T276:$AK276))))</f>
      </c>
      <c r="BA276" s="0">
        <f>MAX(0,MIN(AI276,BX276-SUMPRODUCT(($T$2:$AK$2&lt;AI$2)*($T276:$AK276))))</f>
      </c>
      <c r="BB276" s="0">
        <f>MAX(0,MIN(AJ276,BX276-SUMPRODUCT(($T$2:$AK$2&lt;AJ$2)*($T276:$AK276))))</f>
      </c>
      <c r="BC276" s="0">
        <f>MAX(0,MIN(AK276,BX276-SUMPRODUCT(($T$2:$AK$2&lt;AK$2)*($T276:$AK276))))</f>
      </c>
      <c r="BD276" s="0">
        <f>T276-AL276</f>
      </c>
      <c r="BE276" s="0">
        <f>U276-AM276</f>
      </c>
      <c r="BF276" s="0">
        <f>V276-AN276</f>
      </c>
      <c r="BG276" s="0">
        <f>W276-AO276</f>
      </c>
      <c r="BH276" s="0">
        <f>X276-AP276</f>
      </c>
      <c r="BI276" s="0">
        <f>Y276-AQ276</f>
      </c>
      <c r="BJ276" s="0">
        <f>Z276-AR276</f>
      </c>
      <c r="BK276" s="0">
        <f>AA276-AS276</f>
      </c>
      <c r="BL276" s="0">
        <f>AB276-AT276</f>
      </c>
      <c r="BM276" s="0">
        <f>AC276-AU276</f>
      </c>
      <c r="BN276" s="0">
        <f>AD276-AV276</f>
      </c>
      <c r="BO276" s="0">
        <f>AE276-AW276</f>
      </c>
      <c r="BP276" s="0">
        <f>AF276-AX276</f>
      </c>
      <c r="BQ276" s="0">
        <f>AG276-AY276</f>
      </c>
      <c r="BR276" s="0">
        <f>AH276-AZ276</f>
      </c>
      <c r="BS276" s="0">
        <f>AI276-BA276</f>
      </c>
      <c r="BT276" s="0">
        <f>AJ276-BB276</f>
      </c>
      <c r="BU276" s="0">
        <f>AK276-BC276</f>
      </c>
      <c r="BV276" s="0">
        <f>SUM(B276:S276)</f>
      </c>
      <c r="BW276" s="0">
        <f>SUM(T276:AK276)</f>
      </c>
      <c r="BX276" s="0">
        <f>MAX(0,(SUM(Calculator!$E$11:$E$28)+Calculator!$C$6)-BV276+BW276)</f>
      </c>
      <c r="BY276" s="0">
        <f>SUM(BD276:BU276)</f>
      </c>
      <c r="BZ276" s="0">
        <f>BV276-BY275</f>
      </c>
      <c r="CA276" s="0">
        <f>IF(A276&lt;=IF($CD$1=0,999,$CD$1),BY276,NA())</f>
      </c>
      <c r="CB276" s="0">
        <f>IF(A276&lt;=IF($CD$1=0,999,$CD$1),A276,NA())</f>
      </c>
    </row>
    <row r="277">
      <c r="A277" s="0">
        <v>274</v>
      </c>
      <c r="B277" s="0">
        <f>BD276*(1+Calculator!$D$11/100/12)</f>
      </c>
      <c r="C277" s="0">
        <f>BE276*(1+Calculator!$D$12/100/12)</f>
      </c>
      <c r="D277" s="0">
        <f>BF276*(1+Calculator!$D$13/100/12)</f>
      </c>
      <c r="E277" s="0">
        <f>BG276*(1+Calculator!$D$14/100/12)</f>
      </c>
      <c r="F277" s="0">
        <f>BH276*(1+Calculator!$D$15/100/12)</f>
      </c>
      <c r="G277" s="0">
        <f>BI276*(1+Calculator!$D$16/100/12)</f>
      </c>
      <c r="H277" s="0">
        <f>BJ276*(1+Calculator!$D$17/100/12)</f>
      </c>
      <c r="I277" s="0">
        <f>BK276*(1+Calculator!$D$18/100/12)</f>
      </c>
      <c r="J277" s="0">
        <f>BL276*(1+Calculator!$D$19/100/12)</f>
      </c>
      <c r="K277" s="0">
        <f>BM276*(1+Calculator!$D$20/100/12)</f>
      </c>
      <c r="L277" s="0">
        <f>BN276*(1+Calculator!$D$21/100/12)</f>
      </c>
      <c r="M277" s="0">
        <f>BO276*(1+Calculator!$D$22/100/12)</f>
      </c>
      <c r="N277" s="0">
        <f>BP276*(1+Calculator!$D$23/100/12)</f>
      </c>
      <c r="O277" s="0">
        <f>BQ276*(1+Calculator!$D$24/100/12)</f>
      </c>
      <c r="P277" s="0">
        <f>BR276*(1+Calculator!$D$25/100/12)</f>
      </c>
      <c r="Q277" s="0">
        <f>BS276*(1+Calculator!$D$26/100/12)</f>
      </c>
      <c r="R277" s="0">
        <f>BT276*(1+Calculator!$D$27/100/12)</f>
      </c>
      <c r="S277" s="0">
        <f>BU276*(1+Calculator!$D$28/100/12)</f>
      </c>
      <c r="T277" s="0">
        <f>MAX(0,B277-Calculator!$E$11)</f>
      </c>
      <c r="U277" s="0">
        <f>MAX(0,C277-Calculator!$E$12)</f>
      </c>
      <c r="V277" s="0">
        <f>MAX(0,D277-Calculator!$E$13)</f>
      </c>
      <c r="W277" s="0">
        <f>MAX(0,E277-Calculator!$E$14)</f>
      </c>
      <c r="X277" s="0">
        <f>MAX(0,F277-Calculator!$E$15)</f>
      </c>
      <c r="Y277" s="0">
        <f>MAX(0,G277-Calculator!$E$16)</f>
      </c>
      <c r="Z277" s="0">
        <f>MAX(0,H277-Calculator!$E$17)</f>
      </c>
      <c r="AA277" s="0">
        <f>MAX(0,I277-Calculator!$E$18)</f>
      </c>
      <c r="AB277" s="0">
        <f>MAX(0,J277-Calculator!$E$19)</f>
      </c>
      <c r="AC277" s="0">
        <f>MAX(0,K277-Calculator!$E$20)</f>
      </c>
      <c r="AD277" s="0">
        <f>MAX(0,L277-Calculator!$E$21)</f>
      </c>
      <c r="AE277" s="0">
        <f>MAX(0,M277-Calculator!$E$22)</f>
      </c>
      <c r="AF277" s="0">
        <f>MAX(0,N277-Calculator!$E$23)</f>
      </c>
      <c r="AG277" s="0">
        <f>MAX(0,O277-Calculator!$E$24)</f>
      </c>
      <c r="AH277" s="0">
        <f>MAX(0,P277-Calculator!$E$25)</f>
      </c>
      <c r="AI277" s="0">
        <f>MAX(0,Q277-Calculator!$E$26)</f>
      </c>
      <c r="AJ277" s="0">
        <f>MAX(0,R277-Calculator!$E$27)</f>
      </c>
      <c r="AK277" s="0">
        <f>MAX(0,S277-Calculator!$E$28)</f>
      </c>
      <c r="AL277" s="0">
        <f>MAX(0,MIN(T277,BX277-SUMPRODUCT(($T$2:$AK$2&lt;T$2)*($T277:$AK277))))</f>
      </c>
      <c r="AM277" s="0">
        <f>MAX(0,MIN(U277,BX277-SUMPRODUCT(($T$2:$AK$2&lt;U$2)*($T277:$AK277))))</f>
      </c>
      <c r="AN277" s="0">
        <f>MAX(0,MIN(V277,BX277-SUMPRODUCT(($T$2:$AK$2&lt;V$2)*($T277:$AK277))))</f>
      </c>
      <c r="AO277" s="0">
        <f>MAX(0,MIN(W277,BX277-SUMPRODUCT(($T$2:$AK$2&lt;W$2)*($T277:$AK277))))</f>
      </c>
      <c r="AP277" s="0">
        <f>MAX(0,MIN(X277,BX277-SUMPRODUCT(($T$2:$AK$2&lt;X$2)*($T277:$AK277))))</f>
      </c>
      <c r="AQ277" s="0">
        <f>MAX(0,MIN(Y277,BX277-SUMPRODUCT(($T$2:$AK$2&lt;Y$2)*($T277:$AK277))))</f>
      </c>
      <c r="AR277" s="0">
        <f>MAX(0,MIN(Z277,BX277-SUMPRODUCT(($T$2:$AK$2&lt;Z$2)*($T277:$AK277))))</f>
      </c>
      <c r="AS277" s="0">
        <f>MAX(0,MIN(AA277,BX277-SUMPRODUCT(($T$2:$AK$2&lt;AA$2)*($T277:$AK277))))</f>
      </c>
      <c r="AT277" s="0">
        <f>MAX(0,MIN(AB277,BX277-SUMPRODUCT(($T$2:$AK$2&lt;AB$2)*($T277:$AK277))))</f>
      </c>
      <c r="AU277" s="0">
        <f>MAX(0,MIN(AC277,BX277-SUMPRODUCT(($T$2:$AK$2&lt;AC$2)*($T277:$AK277))))</f>
      </c>
      <c r="AV277" s="0">
        <f>MAX(0,MIN(AD277,BX277-SUMPRODUCT(($T$2:$AK$2&lt;AD$2)*($T277:$AK277))))</f>
      </c>
      <c r="AW277" s="0">
        <f>MAX(0,MIN(AE277,BX277-SUMPRODUCT(($T$2:$AK$2&lt;AE$2)*($T277:$AK277))))</f>
      </c>
      <c r="AX277" s="0">
        <f>MAX(0,MIN(AF277,BX277-SUMPRODUCT(($T$2:$AK$2&lt;AF$2)*($T277:$AK277))))</f>
      </c>
      <c r="AY277" s="0">
        <f>MAX(0,MIN(AG277,BX277-SUMPRODUCT(($T$2:$AK$2&lt;AG$2)*($T277:$AK277))))</f>
      </c>
      <c r="AZ277" s="0">
        <f>MAX(0,MIN(AH277,BX277-SUMPRODUCT(($T$2:$AK$2&lt;AH$2)*($T277:$AK277))))</f>
      </c>
      <c r="BA277" s="0">
        <f>MAX(0,MIN(AI277,BX277-SUMPRODUCT(($T$2:$AK$2&lt;AI$2)*($T277:$AK277))))</f>
      </c>
      <c r="BB277" s="0">
        <f>MAX(0,MIN(AJ277,BX277-SUMPRODUCT(($T$2:$AK$2&lt;AJ$2)*($T277:$AK277))))</f>
      </c>
      <c r="BC277" s="0">
        <f>MAX(0,MIN(AK277,BX277-SUMPRODUCT(($T$2:$AK$2&lt;AK$2)*($T277:$AK277))))</f>
      </c>
      <c r="BD277" s="0">
        <f>T277-AL277</f>
      </c>
      <c r="BE277" s="0">
        <f>U277-AM277</f>
      </c>
      <c r="BF277" s="0">
        <f>V277-AN277</f>
      </c>
      <c r="BG277" s="0">
        <f>W277-AO277</f>
      </c>
      <c r="BH277" s="0">
        <f>X277-AP277</f>
      </c>
      <c r="BI277" s="0">
        <f>Y277-AQ277</f>
      </c>
      <c r="BJ277" s="0">
        <f>Z277-AR277</f>
      </c>
      <c r="BK277" s="0">
        <f>AA277-AS277</f>
      </c>
      <c r="BL277" s="0">
        <f>AB277-AT277</f>
      </c>
      <c r="BM277" s="0">
        <f>AC277-AU277</f>
      </c>
      <c r="BN277" s="0">
        <f>AD277-AV277</f>
      </c>
      <c r="BO277" s="0">
        <f>AE277-AW277</f>
      </c>
      <c r="BP277" s="0">
        <f>AF277-AX277</f>
      </c>
      <c r="BQ277" s="0">
        <f>AG277-AY277</f>
      </c>
      <c r="BR277" s="0">
        <f>AH277-AZ277</f>
      </c>
      <c r="BS277" s="0">
        <f>AI277-BA277</f>
      </c>
      <c r="BT277" s="0">
        <f>AJ277-BB277</f>
      </c>
      <c r="BU277" s="0">
        <f>AK277-BC277</f>
      </c>
      <c r="BV277" s="0">
        <f>SUM(B277:S277)</f>
      </c>
      <c r="BW277" s="0">
        <f>SUM(T277:AK277)</f>
      </c>
      <c r="BX277" s="0">
        <f>MAX(0,(SUM(Calculator!$E$11:$E$28)+Calculator!$C$6)-BV277+BW277)</f>
      </c>
      <c r="BY277" s="0">
        <f>SUM(BD277:BU277)</f>
      </c>
      <c r="BZ277" s="0">
        <f>BV277-BY276</f>
      </c>
      <c r="CA277" s="0">
        <f>IF(A277&lt;=IF($CD$1=0,999,$CD$1),BY277,NA())</f>
      </c>
      <c r="CB277" s="0">
        <f>IF(A277&lt;=IF($CD$1=0,999,$CD$1),A277,NA())</f>
      </c>
    </row>
    <row r="278">
      <c r="A278" s="0">
        <v>275</v>
      </c>
      <c r="B278" s="0">
        <f>BD277*(1+Calculator!$D$11/100/12)</f>
      </c>
      <c r="C278" s="0">
        <f>BE277*(1+Calculator!$D$12/100/12)</f>
      </c>
      <c r="D278" s="0">
        <f>BF277*(1+Calculator!$D$13/100/12)</f>
      </c>
      <c r="E278" s="0">
        <f>BG277*(1+Calculator!$D$14/100/12)</f>
      </c>
      <c r="F278" s="0">
        <f>BH277*(1+Calculator!$D$15/100/12)</f>
      </c>
      <c r="G278" s="0">
        <f>BI277*(1+Calculator!$D$16/100/12)</f>
      </c>
      <c r="H278" s="0">
        <f>BJ277*(1+Calculator!$D$17/100/12)</f>
      </c>
      <c r="I278" s="0">
        <f>BK277*(1+Calculator!$D$18/100/12)</f>
      </c>
      <c r="J278" s="0">
        <f>BL277*(1+Calculator!$D$19/100/12)</f>
      </c>
      <c r="K278" s="0">
        <f>BM277*(1+Calculator!$D$20/100/12)</f>
      </c>
      <c r="L278" s="0">
        <f>BN277*(1+Calculator!$D$21/100/12)</f>
      </c>
      <c r="M278" s="0">
        <f>BO277*(1+Calculator!$D$22/100/12)</f>
      </c>
      <c r="N278" s="0">
        <f>BP277*(1+Calculator!$D$23/100/12)</f>
      </c>
      <c r="O278" s="0">
        <f>BQ277*(1+Calculator!$D$24/100/12)</f>
      </c>
      <c r="P278" s="0">
        <f>BR277*(1+Calculator!$D$25/100/12)</f>
      </c>
      <c r="Q278" s="0">
        <f>BS277*(1+Calculator!$D$26/100/12)</f>
      </c>
      <c r="R278" s="0">
        <f>BT277*(1+Calculator!$D$27/100/12)</f>
      </c>
      <c r="S278" s="0">
        <f>BU277*(1+Calculator!$D$28/100/12)</f>
      </c>
      <c r="T278" s="0">
        <f>MAX(0,B278-Calculator!$E$11)</f>
      </c>
      <c r="U278" s="0">
        <f>MAX(0,C278-Calculator!$E$12)</f>
      </c>
      <c r="V278" s="0">
        <f>MAX(0,D278-Calculator!$E$13)</f>
      </c>
      <c r="W278" s="0">
        <f>MAX(0,E278-Calculator!$E$14)</f>
      </c>
      <c r="X278" s="0">
        <f>MAX(0,F278-Calculator!$E$15)</f>
      </c>
      <c r="Y278" s="0">
        <f>MAX(0,G278-Calculator!$E$16)</f>
      </c>
      <c r="Z278" s="0">
        <f>MAX(0,H278-Calculator!$E$17)</f>
      </c>
      <c r="AA278" s="0">
        <f>MAX(0,I278-Calculator!$E$18)</f>
      </c>
      <c r="AB278" s="0">
        <f>MAX(0,J278-Calculator!$E$19)</f>
      </c>
      <c r="AC278" s="0">
        <f>MAX(0,K278-Calculator!$E$20)</f>
      </c>
      <c r="AD278" s="0">
        <f>MAX(0,L278-Calculator!$E$21)</f>
      </c>
      <c r="AE278" s="0">
        <f>MAX(0,M278-Calculator!$E$22)</f>
      </c>
      <c r="AF278" s="0">
        <f>MAX(0,N278-Calculator!$E$23)</f>
      </c>
      <c r="AG278" s="0">
        <f>MAX(0,O278-Calculator!$E$24)</f>
      </c>
      <c r="AH278" s="0">
        <f>MAX(0,P278-Calculator!$E$25)</f>
      </c>
      <c r="AI278" s="0">
        <f>MAX(0,Q278-Calculator!$E$26)</f>
      </c>
      <c r="AJ278" s="0">
        <f>MAX(0,R278-Calculator!$E$27)</f>
      </c>
      <c r="AK278" s="0">
        <f>MAX(0,S278-Calculator!$E$28)</f>
      </c>
      <c r="AL278" s="0">
        <f>MAX(0,MIN(T278,BX278-SUMPRODUCT(($T$2:$AK$2&lt;T$2)*($T278:$AK278))))</f>
      </c>
      <c r="AM278" s="0">
        <f>MAX(0,MIN(U278,BX278-SUMPRODUCT(($T$2:$AK$2&lt;U$2)*($T278:$AK278))))</f>
      </c>
      <c r="AN278" s="0">
        <f>MAX(0,MIN(V278,BX278-SUMPRODUCT(($T$2:$AK$2&lt;V$2)*($T278:$AK278))))</f>
      </c>
      <c r="AO278" s="0">
        <f>MAX(0,MIN(W278,BX278-SUMPRODUCT(($T$2:$AK$2&lt;W$2)*($T278:$AK278))))</f>
      </c>
      <c r="AP278" s="0">
        <f>MAX(0,MIN(X278,BX278-SUMPRODUCT(($T$2:$AK$2&lt;X$2)*($T278:$AK278))))</f>
      </c>
      <c r="AQ278" s="0">
        <f>MAX(0,MIN(Y278,BX278-SUMPRODUCT(($T$2:$AK$2&lt;Y$2)*($T278:$AK278))))</f>
      </c>
      <c r="AR278" s="0">
        <f>MAX(0,MIN(Z278,BX278-SUMPRODUCT(($T$2:$AK$2&lt;Z$2)*($T278:$AK278))))</f>
      </c>
      <c r="AS278" s="0">
        <f>MAX(0,MIN(AA278,BX278-SUMPRODUCT(($T$2:$AK$2&lt;AA$2)*($T278:$AK278))))</f>
      </c>
      <c r="AT278" s="0">
        <f>MAX(0,MIN(AB278,BX278-SUMPRODUCT(($T$2:$AK$2&lt;AB$2)*($T278:$AK278))))</f>
      </c>
      <c r="AU278" s="0">
        <f>MAX(0,MIN(AC278,BX278-SUMPRODUCT(($T$2:$AK$2&lt;AC$2)*($T278:$AK278))))</f>
      </c>
      <c r="AV278" s="0">
        <f>MAX(0,MIN(AD278,BX278-SUMPRODUCT(($T$2:$AK$2&lt;AD$2)*($T278:$AK278))))</f>
      </c>
      <c r="AW278" s="0">
        <f>MAX(0,MIN(AE278,BX278-SUMPRODUCT(($T$2:$AK$2&lt;AE$2)*($T278:$AK278))))</f>
      </c>
      <c r="AX278" s="0">
        <f>MAX(0,MIN(AF278,BX278-SUMPRODUCT(($T$2:$AK$2&lt;AF$2)*($T278:$AK278))))</f>
      </c>
      <c r="AY278" s="0">
        <f>MAX(0,MIN(AG278,BX278-SUMPRODUCT(($T$2:$AK$2&lt;AG$2)*($T278:$AK278))))</f>
      </c>
      <c r="AZ278" s="0">
        <f>MAX(0,MIN(AH278,BX278-SUMPRODUCT(($T$2:$AK$2&lt;AH$2)*($T278:$AK278))))</f>
      </c>
      <c r="BA278" s="0">
        <f>MAX(0,MIN(AI278,BX278-SUMPRODUCT(($T$2:$AK$2&lt;AI$2)*($T278:$AK278))))</f>
      </c>
      <c r="BB278" s="0">
        <f>MAX(0,MIN(AJ278,BX278-SUMPRODUCT(($T$2:$AK$2&lt;AJ$2)*($T278:$AK278))))</f>
      </c>
      <c r="BC278" s="0">
        <f>MAX(0,MIN(AK278,BX278-SUMPRODUCT(($T$2:$AK$2&lt;AK$2)*($T278:$AK278))))</f>
      </c>
      <c r="BD278" s="0">
        <f>T278-AL278</f>
      </c>
      <c r="BE278" s="0">
        <f>U278-AM278</f>
      </c>
      <c r="BF278" s="0">
        <f>V278-AN278</f>
      </c>
      <c r="BG278" s="0">
        <f>W278-AO278</f>
      </c>
      <c r="BH278" s="0">
        <f>X278-AP278</f>
      </c>
      <c r="BI278" s="0">
        <f>Y278-AQ278</f>
      </c>
      <c r="BJ278" s="0">
        <f>Z278-AR278</f>
      </c>
      <c r="BK278" s="0">
        <f>AA278-AS278</f>
      </c>
      <c r="BL278" s="0">
        <f>AB278-AT278</f>
      </c>
      <c r="BM278" s="0">
        <f>AC278-AU278</f>
      </c>
      <c r="BN278" s="0">
        <f>AD278-AV278</f>
      </c>
      <c r="BO278" s="0">
        <f>AE278-AW278</f>
      </c>
      <c r="BP278" s="0">
        <f>AF278-AX278</f>
      </c>
      <c r="BQ278" s="0">
        <f>AG278-AY278</f>
      </c>
      <c r="BR278" s="0">
        <f>AH278-AZ278</f>
      </c>
      <c r="BS278" s="0">
        <f>AI278-BA278</f>
      </c>
      <c r="BT278" s="0">
        <f>AJ278-BB278</f>
      </c>
      <c r="BU278" s="0">
        <f>AK278-BC278</f>
      </c>
      <c r="BV278" s="0">
        <f>SUM(B278:S278)</f>
      </c>
      <c r="BW278" s="0">
        <f>SUM(T278:AK278)</f>
      </c>
      <c r="BX278" s="0">
        <f>MAX(0,(SUM(Calculator!$E$11:$E$28)+Calculator!$C$6)-BV278+BW278)</f>
      </c>
      <c r="BY278" s="0">
        <f>SUM(BD278:BU278)</f>
      </c>
      <c r="BZ278" s="0">
        <f>BV278-BY277</f>
      </c>
      <c r="CA278" s="0">
        <f>IF(A278&lt;=IF($CD$1=0,999,$CD$1),BY278,NA())</f>
      </c>
      <c r="CB278" s="0">
        <f>IF(A278&lt;=IF($CD$1=0,999,$CD$1),A278,NA())</f>
      </c>
    </row>
    <row r="279">
      <c r="A279" s="0">
        <v>276</v>
      </c>
      <c r="B279" s="0">
        <f>BD278*(1+Calculator!$D$11/100/12)</f>
      </c>
      <c r="C279" s="0">
        <f>BE278*(1+Calculator!$D$12/100/12)</f>
      </c>
      <c r="D279" s="0">
        <f>BF278*(1+Calculator!$D$13/100/12)</f>
      </c>
      <c r="E279" s="0">
        <f>BG278*(1+Calculator!$D$14/100/12)</f>
      </c>
      <c r="F279" s="0">
        <f>BH278*(1+Calculator!$D$15/100/12)</f>
      </c>
      <c r="G279" s="0">
        <f>BI278*(1+Calculator!$D$16/100/12)</f>
      </c>
      <c r="H279" s="0">
        <f>BJ278*(1+Calculator!$D$17/100/12)</f>
      </c>
      <c r="I279" s="0">
        <f>BK278*(1+Calculator!$D$18/100/12)</f>
      </c>
      <c r="J279" s="0">
        <f>BL278*(1+Calculator!$D$19/100/12)</f>
      </c>
      <c r="K279" s="0">
        <f>BM278*(1+Calculator!$D$20/100/12)</f>
      </c>
      <c r="L279" s="0">
        <f>BN278*(1+Calculator!$D$21/100/12)</f>
      </c>
      <c r="M279" s="0">
        <f>BO278*(1+Calculator!$D$22/100/12)</f>
      </c>
      <c r="N279" s="0">
        <f>BP278*(1+Calculator!$D$23/100/12)</f>
      </c>
      <c r="O279" s="0">
        <f>BQ278*(1+Calculator!$D$24/100/12)</f>
      </c>
      <c r="P279" s="0">
        <f>BR278*(1+Calculator!$D$25/100/12)</f>
      </c>
      <c r="Q279" s="0">
        <f>BS278*(1+Calculator!$D$26/100/12)</f>
      </c>
      <c r="R279" s="0">
        <f>BT278*(1+Calculator!$D$27/100/12)</f>
      </c>
      <c r="S279" s="0">
        <f>BU278*(1+Calculator!$D$28/100/12)</f>
      </c>
      <c r="T279" s="0">
        <f>MAX(0,B279-Calculator!$E$11)</f>
      </c>
      <c r="U279" s="0">
        <f>MAX(0,C279-Calculator!$E$12)</f>
      </c>
      <c r="V279" s="0">
        <f>MAX(0,D279-Calculator!$E$13)</f>
      </c>
      <c r="W279" s="0">
        <f>MAX(0,E279-Calculator!$E$14)</f>
      </c>
      <c r="X279" s="0">
        <f>MAX(0,F279-Calculator!$E$15)</f>
      </c>
      <c r="Y279" s="0">
        <f>MAX(0,G279-Calculator!$E$16)</f>
      </c>
      <c r="Z279" s="0">
        <f>MAX(0,H279-Calculator!$E$17)</f>
      </c>
      <c r="AA279" s="0">
        <f>MAX(0,I279-Calculator!$E$18)</f>
      </c>
      <c r="AB279" s="0">
        <f>MAX(0,J279-Calculator!$E$19)</f>
      </c>
      <c r="AC279" s="0">
        <f>MAX(0,K279-Calculator!$E$20)</f>
      </c>
      <c r="AD279" s="0">
        <f>MAX(0,L279-Calculator!$E$21)</f>
      </c>
      <c r="AE279" s="0">
        <f>MAX(0,M279-Calculator!$E$22)</f>
      </c>
      <c r="AF279" s="0">
        <f>MAX(0,N279-Calculator!$E$23)</f>
      </c>
      <c r="AG279" s="0">
        <f>MAX(0,O279-Calculator!$E$24)</f>
      </c>
      <c r="AH279" s="0">
        <f>MAX(0,P279-Calculator!$E$25)</f>
      </c>
      <c r="AI279" s="0">
        <f>MAX(0,Q279-Calculator!$E$26)</f>
      </c>
      <c r="AJ279" s="0">
        <f>MAX(0,R279-Calculator!$E$27)</f>
      </c>
      <c r="AK279" s="0">
        <f>MAX(0,S279-Calculator!$E$28)</f>
      </c>
      <c r="AL279" s="0">
        <f>MAX(0,MIN(T279,BX279-SUMPRODUCT(($T$2:$AK$2&lt;T$2)*($T279:$AK279))))</f>
      </c>
      <c r="AM279" s="0">
        <f>MAX(0,MIN(U279,BX279-SUMPRODUCT(($T$2:$AK$2&lt;U$2)*($T279:$AK279))))</f>
      </c>
      <c r="AN279" s="0">
        <f>MAX(0,MIN(V279,BX279-SUMPRODUCT(($T$2:$AK$2&lt;V$2)*($T279:$AK279))))</f>
      </c>
      <c r="AO279" s="0">
        <f>MAX(0,MIN(W279,BX279-SUMPRODUCT(($T$2:$AK$2&lt;W$2)*($T279:$AK279))))</f>
      </c>
      <c r="AP279" s="0">
        <f>MAX(0,MIN(X279,BX279-SUMPRODUCT(($T$2:$AK$2&lt;X$2)*($T279:$AK279))))</f>
      </c>
      <c r="AQ279" s="0">
        <f>MAX(0,MIN(Y279,BX279-SUMPRODUCT(($T$2:$AK$2&lt;Y$2)*($T279:$AK279))))</f>
      </c>
      <c r="AR279" s="0">
        <f>MAX(0,MIN(Z279,BX279-SUMPRODUCT(($T$2:$AK$2&lt;Z$2)*($T279:$AK279))))</f>
      </c>
      <c r="AS279" s="0">
        <f>MAX(0,MIN(AA279,BX279-SUMPRODUCT(($T$2:$AK$2&lt;AA$2)*($T279:$AK279))))</f>
      </c>
      <c r="AT279" s="0">
        <f>MAX(0,MIN(AB279,BX279-SUMPRODUCT(($T$2:$AK$2&lt;AB$2)*($T279:$AK279))))</f>
      </c>
      <c r="AU279" s="0">
        <f>MAX(0,MIN(AC279,BX279-SUMPRODUCT(($T$2:$AK$2&lt;AC$2)*($T279:$AK279))))</f>
      </c>
      <c r="AV279" s="0">
        <f>MAX(0,MIN(AD279,BX279-SUMPRODUCT(($T$2:$AK$2&lt;AD$2)*($T279:$AK279))))</f>
      </c>
      <c r="AW279" s="0">
        <f>MAX(0,MIN(AE279,BX279-SUMPRODUCT(($T$2:$AK$2&lt;AE$2)*($T279:$AK279))))</f>
      </c>
      <c r="AX279" s="0">
        <f>MAX(0,MIN(AF279,BX279-SUMPRODUCT(($T$2:$AK$2&lt;AF$2)*($T279:$AK279))))</f>
      </c>
      <c r="AY279" s="0">
        <f>MAX(0,MIN(AG279,BX279-SUMPRODUCT(($T$2:$AK$2&lt;AG$2)*($T279:$AK279))))</f>
      </c>
      <c r="AZ279" s="0">
        <f>MAX(0,MIN(AH279,BX279-SUMPRODUCT(($T$2:$AK$2&lt;AH$2)*($T279:$AK279))))</f>
      </c>
      <c r="BA279" s="0">
        <f>MAX(0,MIN(AI279,BX279-SUMPRODUCT(($T$2:$AK$2&lt;AI$2)*($T279:$AK279))))</f>
      </c>
      <c r="BB279" s="0">
        <f>MAX(0,MIN(AJ279,BX279-SUMPRODUCT(($T$2:$AK$2&lt;AJ$2)*($T279:$AK279))))</f>
      </c>
      <c r="BC279" s="0">
        <f>MAX(0,MIN(AK279,BX279-SUMPRODUCT(($T$2:$AK$2&lt;AK$2)*($T279:$AK279))))</f>
      </c>
      <c r="BD279" s="0">
        <f>T279-AL279</f>
      </c>
      <c r="BE279" s="0">
        <f>U279-AM279</f>
      </c>
      <c r="BF279" s="0">
        <f>V279-AN279</f>
      </c>
      <c r="BG279" s="0">
        <f>W279-AO279</f>
      </c>
      <c r="BH279" s="0">
        <f>X279-AP279</f>
      </c>
      <c r="BI279" s="0">
        <f>Y279-AQ279</f>
      </c>
      <c r="BJ279" s="0">
        <f>Z279-AR279</f>
      </c>
      <c r="BK279" s="0">
        <f>AA279-AS279</f>
      </c>
      <c r="BL279" s="0">
        <f>AB279-AT279</f>
      </c>
      <c r="BM279" s="0">
        <f>AC279-AU279</f>
      </c>
      <c r="BN279" s="0">
        <f>AD279-AV279</f>
      </c>
      <c r="BO279" s="0">
        <f>AE279-AW279</f>
      </c>
      <c r="BP279" s="0">
        <f>AF279-AX279</f>
      </c>
      <c r="BQ279" s="0">
        <f>AG279-AY279</f>
      </c>
      <c r="BR279" s="0">
        <f>AH279-AZ279</f>
      </c>
      <c r="BS279" s="0">
        <f>AI279-BA279</f>
      </c>
      <c r="BT279" s="0">
        <f>AJ279-BB279</f>
      </c>
      <c r="BU279" s="0">
        <f>AK279-BC279</f>
      </c>
      <c r="BV279" s="0">
        <f>SUM(B279:S279)</f>
      </c>
      <c r="BW279" s="0">
        <f>SUM(T279:AK279)</f>
      </c>
      <c r="BX279" s="0">
        <f>MAX(0,(SUM(Calculator!$E$11:$E$28)+Calculator!$C$6)-BV279+BW279)</f>
      </c>
      <c r="BY279" s="0">
        <f>SUM(BD279:BU279)</f>
      </c>
      <c r="BZ279" s="0">
        <f>BV279-BY278</f>
      </c>
      <c r="CA279" s="0">
        <f>IF(A279&lt;=IF($CD$1=0,999,$CD$1),BY279,NA())</f>
      </c>
      <c r="CB279" s="0">
        <f>IF(A279&lt;=IF($CD$1=0,999,$CD$1),A279,NA())</f>
      </c>
    </row>
    <row r="280">
      <c r="A280" s="0">
        <v>277</v>
      </c>
      <c r="B280" s="0">
        <f>BD279*(1+Calculator!$D$11/100/12)</f>
      </c>
      <c r="C280" s="0">
        <f>BE279*(1+Calculator!$D$12/100/12)</f>
      </c>
      <c r="D280" s="0">
        <f>BF279*(1+Calculator!$D$13/100/12)</f>
      </c>
      <c r="E280" s="0">
        <f>BG279*(1+Calculator!$D$14/100/12)</f>
      </c>
      <c r="F280" s="0">
        <f>BH279*(1+Calculator!$D$15/100/12)</f>
      </c>
      <c r="G280" s="0">
        <f>BI279*(1+Calculator!$D$16/100/12)</f>
      </c>
      <c r="H280" s="0">
        <f>BJ279*(1+Calculator!$D$17/100/12)</f>
      </c>
      <c r="I280" s="0">
        <f>BK279*(1+Calculator!$D$18/100/12)</f>
      </c>
      <c r="J280" s="0">
        <f>BL279*(1+Calculator!$D$19/100/12)</f>
      </c>
      <c r="K280" s="0">
        <f>BM279*(1+Calculator!$D$20/100/12)</f>
      </c>
      <c r="L280" s="0">
        <f>BN279*(1+Calculator!$D$21/100/12)</f>
      </c>
      <c r="M280" s="0">
        <f>BO279*(1+Calculator!$D$22/100/12)</f>
      </c>
      <c r="N280" s="0">
        <f>BP279*(1+Calculator!$D$23/100/12)</f>
      </c>
      <c r="O280" s="0">
        <f>BQ279*(1+Calculator!$D$24/100/12)</f>
      </c>
      <c r="P280" s="0">
        <f>BR279*(1+Calculator!$D$25/100/12)</f>
      </c>
      <c r="Q280" s="0">
        <f>BS279*(1+Calculator!$D$26/100/12)</f>
      </c>
      <c r="R280" s="0">
        <f>BT279*(1+Calculator!$D$27/100/12)</f>
      </c>
      <c r="S280" s="0">
        <f>BU279*(1+Calculator!$D$28/100/12)</f>
      </c>
      <c r="T280" s="0">
        <f>MAX(0,B280-Calculator!$E$11)</f>
      </c>
      <c r="U280" s="0">
        <f>MAX(0,C280-Calculator!$E$12)</f>
      </c>
      <c r="V280" s="0">
        <f>MAX(0,D280-Calculator!$E$13)</f>
      </c>
      <c r="W280" s="0">
        <f>MAX(0,E280-Calculator!$E$14)</f>
      </c>
      <c r="X280" s="0">
        <f>MAX(0,F280-Calculator!$E$15)</f>
      </c>
      <c r="Y280" s="0">
        <f>MAX(0,G280-Calculator!$E$16)</f>
      </c>
      <c r="Z280" s="0">
        <f>MAX(0,H280-Calculator!$E$17)</f>
      </c>
      <c r="AA280" s="0">
        <f>MAX(0,I280-Calculator!$E$18)</f>
      </c>
      <c r="AB280" s="0">
        <f>MAX(0,J280-Calculator!$E$19)</f>
      </c>
      <c r="AC280" s="0">
        <f>MAX(0,K280-Calculator!$E$20)</f>
      </c>
      <c r="AD280" s="0">
        <f>MAX(0,L280-Calculator!$E$21)</f>
      </c>
      <c r="AE280" s="0">
        <f>MAX(0,M280-Calculator!$E$22)</f>
      </c>
      <c r="AF280" s="0">
        <f>MAX(0,N280-Calculator!$E$23)</f>
      </c>
      <c r="AG280" s="0">
        <f>MAX(0,O280-Calculator!$E$24)</f>
      </c>
      <c r="AH280" s="0">
        <f>MAX(0,P280-Calculator!$E$25)</f>
      </c>
      <c r="AI280" s="0">
        <f>MAX(0,Q280-Calculator!$E$26)</f>
      </c>
      <c r="AJ280" s="0">
        <f>MAX(0,R280-Calculator!$E$27)</f>
      </c>
      <c r="AK280" s="0">
        <f>MAX(0,S280-Calculator!$E$28)</f>
      </c>
      <c r="AL280" s="0">
        <f>MAX(0,MIN(T280,BX280-SUMPRODUCT(($T$2:$AK$2&lt;T$2)*($T280:$AK280))))</f>
      </c>
      <c r="AM280" s="0">
        <f>MAX(0,MIN(U280,BX280-SUMPRODUCT(($T$2:$AK$2&lt;U$2)*($T280:$AK280))))</f>
      </c>
      <c r="AN280" s="0">
        <f>MAX(0,MIN(V280,BX280-SUMPRODUCT(($T$2:$AK$2&lt;V$2)*($T280:$AK280))))</f>
      </c>
      <c r="AO280" s="0">
        <f>MAX(0,MIN(W280,BX280-SUMPRODUCT(($T$2:$AK$2&lt;W$2)*($T280:$AK280))))</f>
      </c>
      <c r="AP280" s="0">
        <f>MAX(0,MIN(X280,BX280-SUMPRODUCT(($T$2:$AK$2&lt;X$2)*($T280:$AK280))))</f>
      </c>
      <c r="AQ280" s="0">
        <f>MAX(0,MIN(Y280,BX280-SUMPRODUCT(($T$2:$AK$2&lt;Y$2)*($T280:$AK280))))</f>
      </c>
      <c r="AR280" s="0">
        <f>MAX(0,MIN(Z280,BX280-SUMPRODUCT(($T$2:$AK$2&lt;Z$2)*($T280:$AK280))))</f>
      </c>
      <c r="AS280" s="0">
        <f>MAX(0,MIN(AA280,BX280-SUMPRODUCT(($T$2:$AK$2&lt;AA$2)*($T280:$AK280))))</f>
      </c>
      <c r="AT280" s="0">
        <f>MAX(0,MIN(AB280,BX280-SUMPRODUCT(($T$2:$AK$2&lt;AB$2)*($T280:$AK280))))</f>
      </c>
      <c r="AU280" s="0">
        <f>MAX(0,MIN(AC280,BX280-SUMPRODUCT(($T$2:$AK$2&lt;AC$2)*($T280:$AK280))))</f>
      </c>
      <c r="AV280" s="0">
        <f>MAX(0,MIN(AD280,BX280-SUMPRODUCT(($T$2:$AK$2&lt;AD$2)*($T280:$AK280))))</f>
      </c>
      <c r="AW280" s="0">
        <f>MAX(0,MIN(AE280,BX280-SUMPRODUCT(($T$2:$AK$2&lt;AE$2)*($T280:$AK280))))</f>
      </c>
      <c r="AX280" s="0">
        <f>MAX(0,MIN(AF280,BX280-SUMPRODUCT(($T$2:$AK$2&lt;AF$2)*($T280:$AK280))))</f>
      </c>
      <c r="AY280" s="0">
        <f>MAX(0,MIN(AG280,BX280-SUMPRODUCT(($T$2:$AK$2&lt;AG$2)*($T280:$AK280))))</f>
      </c>
      <c r="AZ280" s="0">
        <f>MAX(0,MIN(AH280,BX280-SUMPRODUCT(($T$2:$AK$2&lt;AH$2)*($T280:$AK280))))</f>
      </c>
      <c r="BA280" s="0">
        <f>MAX(0,MIN(AI280,BX280-SUMPRODUCT(($T$2:$AK$2&lt;AI$2)*($T280:$AK280))))</f>
      </c>
      <c r="BB280" s="0">
        <f>MAX(0,MIN(AJ280,BX280-SUMPRODUCT(($T$2:$AK$2&lt;AJ$2)*($T280:$AK280))))</f>
      </c>
      <c r="BC280" s="0">
        <f>MAX(0,MIN(AK280,BX280-SUMPRODUCT(($T$2:$AK$2&lt;AK$2)*($T280:$AK280))))</f>
      </c>
      <c r="BD280" s="0">
        <f>T280-AL280</f>
      </c>
      <c r="BE280" s="0">
        <f>U280-AM280</f>
      </c>
      <c r="BF280" s="0">
        <f>V280-AN280</f>
      </c>
      <c r="BG280" s="0">
        <f>W280-AO280</f>
      </c>
      <c r="BH280" s="0">
        <f>X280-AP280</f>
      </c>
      <c r="BI280" s="0">
        <f>Y280-AQ280</f>
      </c>
      <c r="BJ280" s="0">
        <f>Z280-AR280</f>
      </c>
      <c r="BK280" s="0">
        <f>AA280-AS280</f>
      </c>
      <c r="BL280" s="0">
        <f>AB280-AT280</f>
      </c>
      <c r="BM280" s="0">
        <f>AC280-AU280</f>
      </c>
      <c r="BN280" s="0">
        <f>AD280-AV280</f>
      </c>
      <c r="BO280" s="0">
        <f>AE280-AW280</f>
      </c>
      <c r="BP280" s="0">
        <f>AF280-AX280</f>
      </c>
      <c r="BQ280" s="0">
        <f>AG280-AY280</f>
      </c>
      <c r="BR280" s="0">
        <f>AH280-AZ280</f>
      </c>
      <c r="BS280" s="0">
        <f>AI280-BA280</f>
      </c>
      <c r="BT280" s="0">
        <f>AJ280-BB280</f>
      </c>
      <c r="BU280" s="0">
        <f>AK280-BC280</f>
      </c>
      <c r="BV280" s="0">
        <f>SUM(B280:S280)</f>
      </c>
      <c r="BW280" s="0">
        <f>SUM(T280:AK280)</f>
      </c>
      <c r="BX280" s="0">
        <f>MAX(0,(SUM(Calculator!$E$11:$E$28)+Calculator!$C$6)-BV280+BW280)</f>
      </c>
      <c r="BY280" s="0">
        <f>SUM(BD280:BU280)</f>
      </c>
      <c r="BZ280" s="0">
        <f>BV280-BY279</f>
      </c>
      <c r="CA280" s="0">
        <f>IF(A280&lt;=IF($CD$1=0,999,$CD$1),BY280,NA())</f>
      </c>
      <c r="CB280" s="0">
        <f>IF(A280&lt;=IF($CD$1=0,999,$CD$1),A280,NA())</f>
      </c>
    </row>
    <row r="281">
      <c r="A281" s="0">
        <v>278</v>
      </c>
      <c r="B281" s="0">
        <f>BD280*(1+Calculator!$D$11/100/12)</f>
      </c>
      <c r="C281" s="0">
        <f>BE280*(1+Calculator!$D$12/100/12)</f>
      </c>
      <c r="D281" s="0">
        <f>BF280*(1+Calculator!$D$13/100/12)</f>
      </c>
      <c r="E281" s="0">
        <f>BG280*(1+Calculator!$D$14/100/12)</f>
      </c>
      <c r="F281" s="0">
        <f>BH280*(1+Calculator!$D$15/100/12)</f>
      </c>
      <c r="G281" s="0">
        <f>BI280*(1+Calculator!$D$16/100/12)</f>
      </c>
      <c r="H281" s="0">
        <f>BJ280*(1+Calculator!$D$17/100/12)</f>
      </c>
      <c r="I281" s="0">
        <f>BK280*(1+Calculator!$D$18/100/12)</f>
      </c>
      <c r="J281" s="0">
        <f>BL280*(1+Calculator!$D$19/100/12)</f>
      </c>
      <c r="K281" s="0">
        <f>BM280*(1+Calculator!$D$20/100/12)</f>
      </c>
      <c r="L281" s="0">
        <f>BN280*(1+Calculator!$D$21/100/12)</f>
      </c>
      <c r="M281" s="0">
        <f>BO280*(1+Calculator!$D$22/100/12)</f>
      </c>
      <c r="N281" s="0">
        <f>BP280*(1+Calculator!$D$23/100/12)</f>
      </c>
      <c r="O281" s="0">
        <f>BQ280*(1+Calculator!$D$24/100/12)</f>
      </c>
      <c r="P281" s="0">
        <f>BR280*(1+Calculator!$D$25/100/12)</f>
      </c>
      <c r="Q281" s="0">
        <f>BS280*(1+Calculator!$D$26/100/12)</f>
      </c>
      <c r="R281" s="0">
        <f>BT280*(1+Calculator!$D$27/100/12)</f>
      </c>
      <c r="S281" s="0">
        <f>BU280*(1+Calculator!$D$28/100/12)</f>
      </c>
      <c r="T281" s="0">
        <f>MAX(0,B281-Calculator!$E$11)</f>
      </c>
      <c r="U281" s="0">
        <f>MAX(0,C281-Calculator!$E$12)</f>
      </c>
      <c r="V281" s="0">
        <f>MAX(0,D281-Calculator!$E$13)</f>
      </c>
      <c r="W281" s="0">
        <f>MAX(0,E281-Calculator!$E$14)</f>
      </c>
      <c r="X281" s="0">
        <f>MAX(0,F281-Calculator!$E$15)</f>
      </c>
      <c r="Y281" s="0">
        <f>MAX(0,G281-Calculator!$E$16)</f>
      </c>
      <c r="Z281" s="0">
        <f>MAX(0,H281-Calculator!$E$17)</f>
      </c>
      <c r="AA281" s="0">
        <f>MAX(0,I281-Calculator!$E$18)</f>
      </c>
      <c r="AB281" s="0">
        <f>MAX(0,J281-Calculator!$E$19)</f>
      </c>
      <c r="AC281" s="0">
        <f>MAX(0,K281-Calculator!$E$20)</f>
      </c>
      <c r="AD281" s="0">
        <f>MAX(0,L281-Calculator!$E$21)</f>
      </c>
      <c r="AE281" s="0">
        <f>MAX(0,M281-Calculator!$E$22)</f>
      </c>
      <c r="AF281" s="0">
        <f>MAX(0,N281-Calculator!$E$23)</f>
      </c>
      <c r="AG281" s="0">
        <f>MAX(0,O281-Calculator!$E$24)</f>
      </c>
      <c r="AH281" s="0">
        <f>MAX(0,P281-Calculator!$E$25)</f>
      </c>
      <c r="AI281" s="0">
        <f>MAX(0,Q281-Calculator!$E$26)</f>
      </c>
      <c r="AJ281" s="0">
        <f>MAX(0,R281-Calculator!$E$27)</f>
      </c>
      <c r="AK281" s="0">
        <f>MAX(0,S281-Calculator!$E$28)</f>
      </c>
      <c r="AL281" s="0">
        <f>MAX(0,MIN(T281,BX281-SUMPRODUCT(($T$2:$AK$2&lt;T$2)*($T281:$AK281))))</f>
      </c>
      <c r="AM281" s="0">
        <f>MAX(0,MIN(U281,BX281-SUMPRODUCT(($T$2:$AK$2&lt;U$2)*($T281:$AK281))))</f>
      </c>
      <c r="AN281" s="0">
        <f>MAX(0,MIN(V281,BX281-SUMPRODUCT(($T$2:$AK$2&lt;V$2)*($T281:$AK281))))</f>
      </c>
      <c r="AO281" s="0">
        <f>MAX(0,MIN(W281,BX281-SUMPRODUCT(($T$2:$AK$2&lt;W$2)*($T281:$AK281))))</f>
      </c>
      <c r="AP281" s="0">
        <f>MAX(0,MIN(X281,BX281-SUMPRODUCT(($T$2:$AK$2&lt;X$2)*($T281:$AK281))))</f>
      </c>
      <c r="AQ281" s="0">
        <f>MAX(0,MIN(Y281,BX281-SUMPRODUCT(($T$2:$AK$2&lt;Y$2)*($T281:$AK281))))</f>
      </c>
      <c r="AR281" s="0">
        <f>MAX(0,MIN(Z281,BX281-SUMPRODUCT(($T$2:$AK$2&lt;Z$2)*($T281:$AK281))))</f>
      </c>
      <c r="AS281" s="0">
        <f>MAX(0,MIN(AA281,BX281-SUMPRODUCT(($T$2:$AK$2&lt;AA$2)*($T281:$AK281))))</f>
      </c>
      <c r="AT281" s="0">
        <f>MAX(0,MIN(AB281,BX281-SUMPRODUCT(($T$2:$AK$2&lt;AB$2)*($T281:$AK281))))</f>
      </c>
      <c r="AU281" s="0">
        <f>MAX(0,MIN(AC281,BX281-SUMPRODUCT(($T$2:$AK$2&lt;AC$2)*($T281:$AK281))))</f>
      </c>
      <c r="AV281" s="0">
        <f>MAX(0,MIN(AD281,BX281-SUMPRODUCT(($T$2:$AK$2&lt;AD$2)*($T281:$AK281))))</f>
      </c>
      <c r="AW281" s="0">
        <f>MAX(0,MIN(AE281,BX281-SUMPRODUCT(($T$2:$AK$2&lt;AE$2)*($T281:$AK281))))</f>
      </c>
      <c r="AX281" s="0">
        <f>MAX(0,MIN(AF281,BX281-SUMPRODUCT(($T$2:$AK$2&lt;AF$2)*($T281:$AK281))))</f>
      </c>
      <c r="AY281" s="0">
        <f>MAX(0,MIN(AG281,BX281-SUMPRODUCT(($T$2:$AK$2&lt;AG$2)*($T281:$AK281))))</f>
      </c>
      <c r="AZ281" s="0">
        <f>MAX(0,MIN(AH281,BX281-SUMPRODUCT(($T$2:$AK$2&lt;AH$2)*($T281:$AK281))))</f>
      </c>
      <c r="BA281" s="0">
        <f>MAX(0,MIN(AI281,BX281-SUMPRODUCT(($T$2:$AK$2&lt;AI$2)*($T281:$AK281))))</f>
      </c>
      <c r="BB281" s="0">
        <f>MAX(0,MIN(AJ281,BX281-SUMPRODUCT(($T$2:$AK$2&lt;AJ$2)*($T281:$AK281))))</f>
      </c>
      <c r="BC281" s="0">
        <f>MAX(0,MIN(AK281,BX281-SUMPRODUCT(($T$2:$AK$2&lt;AK$2)*($T281:$AK281))))</f>
      </c>
      <c r="BD281" s="0">
        <f>T281-AL281</f>
      </c>
      <c r="BE281" s="0">
        <f>U281-AM281</f>
      </c>
      <c r="BF281" s="0">
        <f>V281-AN281</f>
      </c>
      <c r="BG281" s="0">
        <f>W281-AO281</f>
      </c>
      <c r="BH281" s="0">
        <f>X281-AP281</f>
      </c>
      <c r="BI281" s="0">
        <f>Y281-AQ281</f>
      </c>
      <c r="BJ281" s="0">
        <f>Z281-AR281</f>
      </c>
      <c r="BK281" s="0">
        <f>AA281-AS281</f>
      </c>
      <c r="BL281" s="0">
        <f>AB281-AT281</f>
      </c>
      <c r="BM281" s="0">
        <f>AC281-AU281</f>
      </c>
      <c r="BN281" s="0">
        <f>AD281-AV281</f>
      </c>
      <c r="BO281" s="0">
        <f>AE281-AW281</f>
      </c>
      <c r="BP281" s="0">
        <f>AF281-AX281</f>
      </c>
      <c r="BQ281" s="0">
        <f>AG281-AY281</f>
      </c>
      <c r="BR281" s="0">
        <f>AH281-AZ281</f>
      </c>
      <c r="BS281" s="0">
        <f>AI281-BA281</f>
      </c>
      <c r="BT281" s="0">
        <f>AJ281-BB281</f>
      </c>
      <c r="BU281" s="0">
        <f>AK281-BC281</f>
      </c>
      <c r="BV281" s="0">
        <f>SUM(B281:S281)</f>
      </c>
      <c r="BW281" s="0">
        <f>SUM(T281:AK281)</f>
      </c>
      <c r="BX281" s="0">
        <f>MAX(0,(SUM(Calculator!$E$11:$E$28)+Calculator!$C$6)-BV281+BW281)</f>
      </c>
      <c r="BY281" s="0">
        <f>SUM(BD281:BU281)</f>
      </c>
      <c r="BZ281" s="0">
        <f>BV281-BY280</f>
      </c>
      <c r="CA281" s="0">
        <f>IF(A281&lt;=IF($CD$1=0,999,$CD$1),BY281,NA())</f>
      </c>
      <c r="CB281" s="0">
        <f>IF(A281&lt;=IF($CD$1=0,999,$CD$1),A281,NA())</f>
      </c>
    </row>
    <row r="282">
      <c r="A282" s="0">
        <v>279</v>
      </c>
      <c r="B282" s="0">
        <f>BD281*(1+Calculator!$D$11/100/12)</f>
      </c>
      <c r="C282" s="0">
        <f>BE281*(1+Calculator!$D$12/100/12)</f>
      </c>
      <c r="D282" s="0">
        <f>BF281*(1+Calculator!$D$13/100/12)</f>
      </c>
      <c r="E282" s="0">
        <f>BG281*(1+Calculator!$D$14/100/12)</f>
      </c>
      <c r="F282" s="0">
        <f>BH281*(1+Calculator!$D$15/100/12)</f>
      </c>
      <c r="G282" s="0">
        <f>BI281*(1+Calculator!$D$16/100/12)</f>
      </c>
      <c r="H282" s="0">
        <f>BJ281*(1+Calculator!$D$17/100/12)</f>
      </c>
      <c r="I282" s="0">
        <f>BK281*(1+Calculator!$D$18/100/12)</f>
      </c>
      <c r="J282" s="0">
        <f>BL281*(1+Calculator!$D$19/100/12)</f>
      </c>
      <c r="K282" s="0">
        <f>BM281*(1+Calculator!$D$20/100/12)</f>
      </c>
      <c r="L282" s="0">
        <f>BN281*(1+Calculator!$D$21/100/12)</f>
      </c>
      <c r="M282" s="0">
        <f>BO281*(1+Calculator!$D$22/100/12)</f>
      </c>
      <c r="N282" s="0">
        <f>BP281*(1+Calculator!$D$23/100/12)</f>
      </c>
      <c r="O282" s="0">
        <f>BQ281*(1+Calculator!$D$24/100/12)</f>
      </c>
      <c r="P282" s="0">
        <f>BR281*(1+Calculator!$D$25/100/12)</f>
      </c>
      <c r="Q282" s="0">
        <f>BS281*(1+Calculator!$D$26/100/12)</f>
      </c>
      <c r="R282" s="0">
        <f>BT281*(1+Calculator!$D$27/100/12)</f>
      </c>
      <c r="S282" s="0">
        <f>BU281*(1+Calculator!$D$28/100/12)</f>
      </c>
      <c r="T282" s="0">
        <f>MAX(0,B282-Calculator!$E$11)</f>
      </c>
      <c r="U282" s="0">
        <f>MAX(0,C282-Calculator!$E$12)</f>
      </c>
      <c r="V282" s="0">
        <f>MAX(0,D282-Calculator!$E$13)</f>
      </c>
      <c r="W282" s="0">
        <f>MAX(0,E282-Calculator!$E$14)</f>
      </c>
      <c r="X282" s="0">
        <f>MAX(0,F282-Calculator!$E$15)</f>
      </c>
      <c r="Y282" s="0">
        <f>MAX(0,G282-Calculator!$E$16)</f>
      </c>
      <c r="Z282" s="0">
        <f>MAX(0,H282-Calculator!$E$17)</f>
      </c>
      <c r="AA282" s="0">
        <f>MAX(0,I282-Calculator!$E$18)</f>
      </c>
      <c r="AB282" s="0">
        <f>MAX(0,J282-Calculator!$E$19)</f>
      </c>
      <c r="AC282" s="0">
        <f>MAX(0,K282-Calculator!$E$20)</f>
      </c>
      <c r="AD282" s="0">
        <f>MAX(0,L282-Calculator!$E$21)</f>
      </c>
      <c r="AE282" s="0">
        <f>MAX(0,M282-Calculator!$E$22)</f>
      </c>
      <c r="AF282" s="0">
        <f>MAX(0,N282-Calculator!$E$23)</f>
      </c>
      <c r="AG282" s="0">
        <f>MAX(0,O282-Calculator!$E$24)</f>
      </c>
      <c r="AH282" s="0">
        <f>MAX(0,P282-Calculator!$E$25)</f>
      </c>
      <c r="AI282" s="0">
        <f>MAX(0,Q282-Calculator!$E$26)</f>
      </c>
      <c r="AJ282" s="0">
        <f>MAX(0,R282-Calculator!$E$27)</f>
      </c>
      <c r="AK282" s="0">
        <f>MAX(0,S282-Calculator!$E$28)</f>
      </c>
      <c r="AL282" s="0">
        <f>MAX(0,MIN(T282,BX282-SUMPRODUCT(($T$2:$AK$2&lt;T$2)*($T282:$AK282))))</f>
      </c>
      <c r="AM282" s="0">
        <f>MAX(0,MIN(U282,BX282-SUMPRODUCT(($T$2:$AK$2&lt;U$2)*($T282:$AK282))))</f>
      </c>
      <c r="AN282" s="0">
        <f>MAX(0,MIN(V282,BX282-SUMPRODUCT(($T$2:$AK$2&lt;V$2)*($T282:$AK282))))</f>
      </c>
      <c r="AO282" s="0">
        <f>MAX(0,MIN(W282,BX282-SUMPRODUCT(($T$2:$AK$2&lt;W$2)*($T282:$AK282))))</f>
      </c>
      <c r="AP282" s="0">
        <f>MAX(0,MIN(X282,BX282-SUMPRODUCT(($T$2:$AK$2&lt;X$2)*($T282:$AK282))))</f>
      </c>
      <c r="AQ282" s="0">
        <f>MAX(0,MIN(Y282,BX282-SUMPRODUCT(($T$2:$AK$2&lt;Y$2)*($T282:$AK282))))</f>
      </c>
      <c r="AR282" s="0">
        <f>MAX(0,MIN(Z282,BX282-SUMPRODUCT(($T$2:$AK$2&lt;Z$2)*($T282:$AK282))))</f>
      </c>
      <c r="AS282" s="0">
        <f>MAX(0,MIN(AA282,BX282-SUMPRODUCT(($T$2:$AK$2&lt;AA$2)*($T282:$AK282))))</f>
      </c>
      <c r="AT282" s="0">
        <f>MAX(0,MIN(AB282,BX282-SUMPRODUCT(($T$2:$AK$2&lt;AB$2)*($T282:$AK282))))</f>
      </c>
      <c r="AU282" s="0">
        <f>MAX(0,MIN(AC282,BX282-SUMPRODUCT(($T$2:$AK$2&lt;AC$2)*($T282:$AK282))))</f>
      </c>
      <c r="AV282" s="0">
        <f>MAX(0,MIN(AD282,BX282-SUMPRODUCT(($T$2:$AK$2&lt;AD$2)*($T282:$AK282))))</f>
      </c>
      <c r="AW282" s="0">
        <f>MAX(0,MIN(AE282,BX282-SUMPRODUCT(($T$2:$AK$2&lt;AE$2)*($T282:$AK282))))</f>
      </c>
      <c r="AX282" s="0">
        <f>MAX(0,MIN(AF282,BX282-SUMPRODUCT(($T$2:$AK$2&lt;AF$2)*($T282:$AK282))))</f>
      </c>
      <c r="AY282" s="0">
        <f>MAX(0,MIN(AG282,BX282-SUMPRODUCT(($T$2:$AK$2&lt;AG$2)*($T282:$AK282))))</f>
      </c>
      <c r="AZ282" s="0">
        <f>MAX(0,MIN(AH282,BX282-SUMPRODUCT(($T$2:$AK$2&lt;AH$2)*($T282:$AK282))))</f>
      </c>
      <c r="BA282" s="0">
        <f>MAX(0,MIN(AI282,BX282-SUMPRODUCT(($T$2:$AK$2&lt;AI$2)*($T282:$AK282))))</f>
      </c>
      <c r="BB282" s="0">
        <f>MAX(0,MIN(AJ282,BX282-SUMPRODUCT(($T$2:$AK$2&lt;AJ$2)*($T282:$AK282))))</f>
      </c>
      <c r="BC282" s="0">
        <f>MAX(0,MIN(AK282,BX282-SUMPRODUCT(($T$2:$AK$2&lt;AK$2)*($T282:$AK282))))</f>
      </c>
      <c r="BD282" s="0">
        <f>T282-AL282</f>
      </c>
      <c r="BE282" s="0">
        <f>U282-AM282</f>
      </c>
      <c r="BF282" s="0">
        <f>V282-AN282</f>
      </c>
      <c r="BG282" s="0">
        <f>W282-AO282</f>
      </c>
      <c r="BH282" s="0">
        <f>X282-AP282</f>
      </c>
      <c r="BI282" s="0">
        <f>Y282-AQ282</f>
      </c>
      <c r="BJ282" s="0">
        <f>Z282-AR282</f>
      </c>
      <c r="BK282" s="0">
        <f>AA282-AS282</f>
      </c>
      <c r="BL282" s="0">
        <f>AB282-AT282</f>
      </c>
      <c r="BM282" s="0">
        <f>AC282-AU282</f>
      </c>
      <c r="BN282" s="0">
        <f>AD282-AV282</f>
      </c>
      <c r="BO282" s="0">
        <f>AE282-AW282</f>
      </c>
      <c r="BP282" s="0">
        <f>AF282-AX282</f>
      </c>
      <c r="BQ282" s="0">
        <f>AG282-AY282</f>
      </c>
      <c r="BR282" s="0">
        <f>AH282-AZ282</f>
      </c>
      <c r="BS282" s="0">
        <f>AI282-BA282</f>
      </c>
      <c r="BT282" s="0">
        <f>AJ282-BB282</f>
      </c>
      <c r="BU282" s="0">
        <f>AK282-BC282</f>
      </c>
      <c r="BV282" s="0">
        <f>SUM(B282:S282)</f>
      </c>
      <c r="BW282" s="0">
        <f>SUM(T282:AK282)</f>
      </c>
      <c r="BX282" s="0">
        <f>MAX(0,(SUM(Calculator!$E$11:$E$28)+Calculator!$C$6)-BV282+BW282)</f>
      </c>
      <c r="BY282" s="0">
        <f>SUM(BD282:BU282)</f>
      </c>
      <c r="BZ282" s="0">
        <f>BV282-BY281</f>
      </c>
      <c r="CA282" s="0">
        <f>IF(A282&lt;=IF($CD$1=0,999,$CD$1),BY282,NA())</f>
      </c>
      <c r="CB282" s="0">
        <f>IF(A282&lt;=IF($CD$1=0,999,$CD$1),A282,NA())</f>
      </c>
    </row>
    <row r="283">
      <c r="A283" s="0">
        <v>280</v>
      </c>
      <c r="B283" s="0">
        <f>BD282*(1+Calculator!$D$11/100/12)</f>
      </c>
      <c r="C283" s="0">
        <f>BE282*(1+Calculator!$D$12/100/12)</f>
      </c>
      <c r="D283" s="0">
        <f>BF282*(1+Calculator!$D$13/100/12)</f>
      </c>
      <c r="E283" s="0">
        <f>BG282*(1+Calculator!$D$14/100/12)</f>
      </c>
      <c r="F283" s="0">
        <f>BH282*(1+Calculator!$D$15/100/12)</f>
      </c>
      <c r="G283" s="0">
        <f>BI282*(1+Calculator!$D$16/100/12)</f>
      </c>
      <c r="H283" s="0">
        <f>BJ282*(1+Calculator!$D$17/100/12)</f>
      </c>
      <c r="I283" s="0">
        <f>BK282*(1+Calculator!$D$18/100/12)</f>
      </c>
      <c r="J283" s="0">
        <f>BL282*(1+Calculator!$D$19/100/12)</f>
      </c>
      <c r="K283" s="0">
        <f>BM282*(1+Calculator!$D$20/100/12)</f>
      </c>
      <c r="L283" s="0">
        <f>BN282*(1+Calculator!$D$21/100/12)</f>
      </c>
      <c r="M283" s="0">
        <f>BO282*(1+Calculator!$D$22/100/12)</f>
      </c>
      <c r="N283" s="0">
        <f>BP282*(1+Calculator!$D$23/100/12)</f>
      </c>
      <c r="O283" s="0">
        <f>BQ282*(1+Calculator!$D$24/100/12)</f>
      </c>
      <c r="P283" s="0">
        <f>BR282*(1+Calculator!$D$25/100/12)</f>
      </c>
      <c r="Q283" s="0">
        <f>BS282*(1+Calculator!$D$26/100/12)</f>
      </c>
      <c r="R283" s="0">
        <f>BT282*(1+Calculator!$D$27/100/12)</f>
      </c>
      <c r="S283" s="0">
        <f>BU282*(1+Calculator!$D$28/100/12)</f>
      </c>
      <c r="T283" s="0">
        <f>MAX(0,B283-Calculator!$E$11)</f>
      </c>
      <c r="U283" s="0">
        <f>MAX(0,C283-Calculator!$E$12)</f>
      </c>
      <c r="V283" s="0">
        <f>MAX(0,D283-Calculator!$E$13)</f>
      </c>
      <c r="W283" s="0">
        <f>MAX(0,E283-Calculator!$E$14)</f>
      </c>
      <c r="X283" s="0">
        <f>MAX(0,F283-Calculator!$E$15)</f>
      </c>
      <c r="Y283" s="0">
        <f>MAX(0,G283-Calculator!$E$16)</f>
      </c>
      <c r="Z283" s="0">
        <f>MAX(0,H283-Calculator!$E$17)</f>
      </c>
      <c r="AA283" s="0">
        <f>MAX(0,I283-Calculator!$E$18)</f>
      </c>
      <c r="AB283" s="0">
        <f>MAX(0,J283-Calculator!$E$19)</f>
      </c>
      <c r="AC283" s="0">
        <f>MAX(0,K283-Calculator!$E$20)</f>
      </c>
      <c r="AD283" s="0">
        <f>MAX(0,L283-Calculator!$E$21)</f>
      </c>
      <c r="AE283" s="0">
        <f>MAX(0,M283-Calculator!$E$22)</f>
      </c>
      <c r="AF283" s="0">
        <f>MAX(0,N283-Calculator!$E$23)</f>
      </c>
      <c r="AG283" s="0">
        <f>MAX(0,O283-Calculator!$E$24)</f>
      </c>
      <c r="AH283" s="0">
        <f>MAX(0,P283-Calculator!$E$25)</f>
      </c>
      <c r="AI283" s="0">
        <f>MAX(0,Q283-Calculator!$E$26)</f>
      </c>
      <c r="AJ283" s="0">
        <f>MAX(0,R283-Calculator!$E$27)</f>
      </c>
      <c r="AK283" s="0">
        <f>MAX(0,S283-Calculator!$E$28)</f>
      </c>
      <c r="AL283" s="0">
        <f>MAX(0,MIN(T283,BX283-SUMPRODUCT(($T$2:$AK$2&lt;T$2)*($T283:$AK283))))</f>
      </c>
      <c r="AM283" s="0">
        <f>MAX(0,MIN(U283,BX283-SUMPRODUCT(($T$2:$AK$2&lt;U$2)*($T283:$AK283))))</f>
      </c>
      <c r="AN283" s="0">
        <f>MAX(0,MIN(V283,BX283-SUMPRODUCT(($T$2:$AK$2&lt;V$2)*($T283:$AK283))))</f>
      </c>
      <c r="AO283" s="0">
        <f>MAX(0,MIN(W283,BX283-SUMPRODUCT(($T$2:$AK$2&lt;W$2)*($T283:$AK283))))</f>
      </c>
      <c r="AP283" s="0">
        <f>MAX(0,MIN(X283,BX283-SUMPRODUCT(($T$2:$AK$2&lt;X$2)*($T283:$AK283))))</f>
      </c>
      <c r="AQ283" s="0">
        <f>MAX(0,MIN(Y283,BX283-SUMPRODUCT(($T$2:$AK$2&lt;Y$2)*($T283:$AK283))))</f>
      </c>
      <c r="AR283" s="0">
        <f>MAX(0,MIN(Z283,BX283-SUMPRODUCT(($T$2:$AK$2&lt;Z$2)*($T283:$AK283))))</f>
      </c>
      <c r="AS283" s="0">
        <f>MAX(0,MIN(AA283,BX283-SUMPRODUCT(($T$2:$AK$2&lt;AA$2)*($T283:$AK283))))</f>
      </c>
      <c r="AT283" s="0">
        <f>MAX(0,MIN(AB283,BX283-SUMPRODUCT(($T$2:$AK$2&lt;AB$2)*($T283:$AK283))))</f>
      </c>
      <c r="AU283" s="0">
        <f>MAX(0,MIN(AC283,BX283-SUMPRODUCT(($T$2:$AK$2&lt;AC$2)*($T283:$AK283))))</f>
      </c>
      <c r="AV283" s="0">
        <f>MAX(0,MIN(AD283,BX283-SUMPRODUCT(($T$2:$AK$2&lt;AD$2)*($T283:$AK283))))</f>
      </c>
      <c r="AW283" s="0">
        <f>MAX(0,MIN(AE283,BX283-SUMPRODUCT(($T$2:$AK$2&lt;AE$2)*($T283:$AK283))))</f>
      </c>
      <c r="AX283" s="0">
        <f>MAX(0,MIN(AF283,BX283-SUMPRODUCT(($T$2:$AK$2&lt;AF$2)*($T283:$AK283))))</f>
      </c>
      <c r="AY283" s="0">
        <f>MAX(0,MIN(AG283,BX283-SUMPRODUCT(($T$2:$AK$2&lt;AG$2)*($T283:$AK283))))</f>
      </c>
      <c r="AZ283" s="0">
        <f>MAX(0,MIN(AH283,BX283-SUMPRODUCT(($T$2:$AK$2&lt;AH$2)*($T283:$AK283))))</f>
      </c>
      <c r="BA283" s="0">
        <f>MAX(0,MIN(AI283,BX283-SUMPRODUCT(($T$2:$AK$2&lt;AI$2)*($T283:$AK283))))</f>
      </c>
      <c r="BB283" s="0">
        <f>MAX(0,MIN(AJ283,BX283-SUMPRODUCT(($T$2:$AK$2&lt;AJ$2)*($T283:$AK283))))</f>
      </c>
      <c r="BC283" s="0">
        <f>MAX(0,MIN(AK283,BX283-SUMPRODUCT(($T$2:$AK$2&lt;AK$2)*($T283:$AK283))))</f>
      </c>
      <c r="BD283" s="0">
        <f>T283-AL283</f>
      </c>
      <c r="BE283" s="0">
        <f>U283-AM283</f>
      </c>
      <c r="BF283" s="0">
        <f>V283-AN283</f>
      </c>
      <c r="BG283" s="0">
        <f>W283-AO283</f>
      </c>
      <c r="BH283" s="0">
        <f>X283-AP283</f>
      </c>
      <c r="BI283" s="0">
        <f>Y283-AQ283</f>
      </c>
      <c r="BJ283" s="0">
        <f>Z283-AR283</f>
      </c>
      <c r="BK283" s="0">
        <f>AA283-AS283</f>
      </c>
      <c r="BL283" s="0">
        <f>AB283-AT283</f>
      </c>
      <c r="BM283" s="0">
        <f>AC283-AU283</f>
      </c>
      <c r="BN283" s="0">
        <f>AD283-AV283</f>
      </c>
      <c r="BO283" s="0">
        <f>AE283-AW283</f>
      </c>
      <c r="BP283" s="0">
        <f>AF283-AX283</f>
      </c>
      <c r="BQ283" s="0">
        <f>AG283-AY283</f>
      </c>
      <c r="BR283" s="0">
        <f>AH283-AZ283</f>
      </c>
      <c r="BS283" s="0">
        <f>AI283-BA283</f>
      </c>
      <c r="BT283" s="0">
        <f>AJ283-BB283</f>
      </c>
      <c r="BU283" s="0">
        <f>AK283-BC283</f>
      </c>
      <c r="BV283" s="0">
        <f>SUM(B283:S283)</f>
      </c>
      <c r="BW283" s="0">
        <f>SUM(T283:AK283)</f>
      </c>
      <c r="BX283" s="0">
        <f>MAX(0,(SUM(Calculator!$E$11:$E$28)+Calculator!$C$6)-BV283+BW283)</f>
      </c>
      <c r="BY283" s="0">
        <f>SUM(BD283:BU283)</f>
      </c>
      <c r="BZ283" s="0">
        <f>BV283-BY282</f>
      </c>
      <c r="CA283" s="0">
        <f>IF(A283&lt;=IF($CD$1=0,999,$CD$1),BY283,NA())</f>
      </c>
      <c r="CB283" s="0">
        <f>IF(A283&lt;=IF($CD$1=0,999,$CD$1),A283,NA())</f>
      </c>
    </row>
    <row r="284">
      <c r="A284" s="0">
        <v>281</v>
      </c>
      <c r="B284" s="0">
        <f>BD283*(1+Calculator!$D$11/100/12)</f>
      </c>
      <c r="C284" s="0">
        <f>BE283*(1+Calculator!$D$12/100/12)</f>
      </c>
      <c r="D284" s="0">
        <f>BF283*(1+Calculator!$D$13/100/12)</f>
      </c>
      <c r="E284" s="0">
        <f>BG283*(1+Calculator!$D$14/100/12)</f>
      </c>
      <c r="F284" s="0">
        <f>BH283*(1+Calculator!$D$15/100/12)</f>
      </c>
      <c r="G284" s="0">
        <f>BI283*(1+Calculator!$D$16/100/12)</f>
      </c>
      <c r="H284" s="0">
        <f>BJ283*(1+Calculator!$D$17/100/12)</f>
      </c>
      <c r="I284" s="0">
        <f>BK283*(1+Calculator!$D$18/100/12)</f>
      </c>
      <c r="J284" s="0">
        <f>BL283*(1+Calculator!$D$19/100/12)</f>
      </c>
      <c r="K284" s="0">
        <f>BM283*(1+Calculator!$D$20/100/12)</f>
      </c>
      <c r="L284" s="0">
        <f>BN283*(1+Calculator!$D$21/100/12)</f>
      </c>
      <c r="M284" s="0">
        <f>BO283*(1+Calculator!$D$22/100/12)</f>
      </c>
      <c r="N284" s="0">
        <f>BP283*(1+Calculator!$D$23/100/12)</f>
      </c>
      <c r="O284" s="0">
        <f>BQ283*(1+Calculator!$D$24/100/12)</f>
      </c>
      <c r="P284" s="0">
        <f>BR283*(1+Calculator!$D$25/100/12)</f>
      </c>
      <c r="Q284" s="0">
        <f>BS283*(1+Calculator!$D$26/100/12)</f>
      </c>
      <c r="R284" s="0">
        <f>BT283*(1+Calculator!$D$27/100/12)</f>
      </c>
      <c r="S284" s="0">
        <f>BU283*(1+Calculator!$D$28/100/12)</f>
      </c>
      <c r="T284" s="0">
        <f>MAX(0,B284-Calculator!$E$11)</f>
      </c>
      <c r="U284" s="0">
        <f>MAX(0,C284-Calculator!$E$12)</f>
      </c>
      <c r="V284" s="0">
        <f>MAX(0,D284-Calculator!$E$13)</f>
      </c>
      <c r="W284" s="0">
        <f>MAX(0,E284-Calculator!$E$14)</f>
      </c>
      <c r="X284" s="0">
        <f>MAX(0,F284-Calculator!$E$15)</f>
      </c>
      <c r="Y284" s="0">
        <f>MAX(0,G284-Calculator!$E$16)</f>
      </c>
      <c r="Z284" s="0">
        <f>MAX(0,H284-Calculator!$E$17)</f>
      </c>
      <c r="AA284" s="0">
        <f>MAX(0,I284-Calculator!$E$18)</f>
      </c>
      <c r="AB284" s="0">
        <f>MAX(0,J284-Calculator!$E$19)</f>
      </c>
      <c r="AC284" s="0">
        <f>MAX(0,K284-Calculator!$E$20)</f>
      </c>
      <c r="AD284" s="0">
        <f>MAX(0,L284-Calculator!$E$21)</f>
      </c>
      <c r="AE284" s="0">
        <f>MAX(0,M284-Calculator!$E$22)</f>
      </c>
      <c r="AF284" s="0">
        <f>MAX(0,N284-Calculator!$E$23)</f>
      </c>
      <c r="AG284" s="0">
        <f>MAX(0,O284-Calculator!$E$24)</f>
      </c>
      <c r="AH284" s="0">
        <f>MAX(0,P284-Calculator!$E$25)</f>
      </c>
      <c r="AI284" s="0">
        <f>MAX(0,Q284-Calculator!$E$26)</f>
      </c>
      <c r="AJ284" s="0">
        <f>MAX(0,R284-Calculator!$E$27)</f>
      </c>
      <c r="AK284" s="0">
        <f>MAX(0,S284-Calculator!$E$28)</f>
      </c>
      <c r="AL284" s="0">
        <f>MAX(0,MIN(T284,BX284-SUMPRODUCT(($T$2:$AK$2&lt;T$2)*($T284:$AK284))))</f>
      </c>
      <c r="AM284" s="0">
        <f>MAX(0,MIN(U284,BX284-SUMPRODUCT(($T$2:$AK$2&lt;U$2)*($T284:$AK284))))</f>
      </c>
      <c r="AN284" s="0">
        <f>MAX(0,MIN(V284,BX284-SUMPRODUCT(($T$2:$AK$2&lt;V$2)*($T284:$AK284))))</f>
      </c>
      <c r="AO284" s="0">
        <f>MAX(0,MIN(W284,BX284-SUMPRODUCT(($T$2:$AK$2&lt;W$2)*($T284:$AK284))))</f>
      </c>
      <c r="AP284" s="0">
        <f>MAX(0,MIN(X284,BX284-SUMPRODUCT(($T$2:$AK$2&lt;X$2)*($T284:$AK284))))</f>
      </c>
      <c r="AQ284" s="0">
        <f>MAX(0,MIN(Y284,BX284-SUMPRODUCT(($T$2:$AK$2&lt;Y$2)*($T284:$AK284))))</f>
      </c>
      <c r="AR284" s="0">
        <f>MAX(0,MIN(Z284,BX284-SUMPRODUCT(($T$2:$AK$2&lt;Z$2)*($T284:$AK284))))</f>
      </c>
      <c r="AS284" s="0">
        <f>MAX(0,MIN(AA284,BX284-SUMPRODUCT(($T$2:$AK$2&lt;AA$2)*($T284:$AK284))))</f>
      </c>
      <c r="AT284" s="0">
        <f>MAX(0,MIN(AB284,BX284-SUMPRODUCT(($T$2:$AK$2&lt;AB$2)*($T284:$AK284))))</f>
      </c>
      <c r="AU284" s="0">
        <f>MAX(0,MIN(AC284,BX284-SUMPRODUCT(($T$2:$AK$2&lt;AC$2)*($T284:$AK284))))</f>
      </c>
      <c r="AV284" s="0">
        <f>MAX(0,MIN(AD284,BX284-SUMPRODUCT(($T$2:$AK$2&lt;AD$2)*($T284:$AK284))))</f>
      </c>
      <c r="AW284" s="0">
        <f>MAX(0,MIN(AE284,BX284-SUMPRODUCT(($T$2:$AK$2&lt;AE$2)*($T284:$AK284))))</f>
      </c>
      <c r="AX284" s="0">
        <f>MAX(0,MIN(AF284,BX284-SUMPRODUCT(($T$2:$AK$2&lt;AF$2)*($T284:$AK284))))</f>
      </c>
      <c r="AY284" s="0">
        <f>MAX(0,MIN(AG284,BX284-SUMPRODUCT(($T$2:$AK$2&lt;AG$2)*($T284:$AK284))))</f>
      </c>
      <c r="AZ284" s="0">
        <f>MAX(0,MIN(AH284,BX284-SUMPRODUCT(($T$2:$AK$2&lt;AH$2)*($T284:$AK284))))</f>
      </c>
      <c r="BA284" s="0">
        <f>MAX(0,MIN(AI284,BX284-SUMPRODUCT(($T$2:$AK$2&lt;AI$2)*($T284:$AK284))))</f>
      </c>
      <c r="BB284" s="0">
        <f>MAX(0,MIN(AJ284,BX284-SUMPRODUCT(($T$2:$AK$2&lt;AJ$2)*($T284:$AK284))))</f>
      </c>
      <c r="BC284" s="0">
        <f>MAX(0,MIN(AK284,BX284-SUMPRODUCT(($T$2:$AK$2&lt;AK$2)*($T284:$AK284))))</f>
      </c>
      <c r="BD284" s="0">
        <f>T284-AL284</f>
      </c>
      <c r="BE284" s="0">
        <f>U284-AM284</f>
      </c>
      <c r="BF284" s="0">
        <f>V284-AN284</f>
      </c>
      <c r="BG284" s="0">
        <f>W284-AO284</f>
      </c>
      <c r="BH284" s="0">
        <f>X284-AP284</f>
      </c>
      <c r="BI284" s="0">
        <f>Y284-AQ284</f>
      </c>
      <c r="BJ284" s="0">
        <f>Z284-AR284</f>
      </c>
      <c r="BK284" s="0">
        <f>AA284-AS284</f>
      </c>
      <c r="BL284" s="0">
        <f>AB284-AT284</f>
      </c>
      <c r="BM284" s="0">
        <f>AC284-AU284</f>
      </c>
      <c r="BN284" s="0">
        <f>AD284-AV284</f>
      </c>
      <c r="BO284" s="0">
        <f>AE284-AW284</f>
      </c>
      <c r="BP284" s="0">
        <f>AF284-AX284</f>
      </c>
      <c r="BQ284" s="0">
        <f>AG284-AY284</f>
      </c>
      <c r="BR284" s="0">
        <f>AH284-AZ284</f>
      </c>
      <c r="BS284" s="0">
        <f>AI284-BA284</f>
      </c>
      <c r="BT284" s="0">
        <f>AJ284-BB284</f>
      </c>
      <c r="BU284" s="0">
        <f>AK284-BC284</f>
      </c>
      <c r="BV284" s="0">
        <f>SUM(B284:S284)</f>
      </c>
      <c r="BW284" s="0">
        <f>SUM(T284:AK284)</f>
      </c>
      <c r="BX284" s="0">
        <f>MAX(0,(SUM(Calculator!$E$11:$E$28)+Calculator!$C$6)-BV284+BW284)</f>
      </c>
      <c r="BY284" s="0">
        <f>SUM(BD284:BU284)</f>
      </c>
      <c r="BZ284" s="0">
        <f>BV284-BY283</f>
      </c>
      <c r="CA284" s="0">
        <f>IF(A284&lt;=IF($CD$1=0,999,$CD$1),BY284,NA())</f>
      </c>
      <c r="CB284" s="0">
        <f>IF(A284&lt;=IF($CD$1=0,999,$CD$1),A284,NA())</f>
      </c>
    </row>
    <row r="285">
      <c r="A285" s="0">
        <v>282</v>
      </c>
      <c r="B285" s="0">
        <f>BD284*(1+Calculator!$D$11/100/12)</f>
      </c>
      <c r="C285" s="0">
        <f>BE284*(1+Calculator!$D$12/100/12)</f>
      </c>
      <c r="D285" s="0">
        <f>BF284*(1+Calculator!$D$13/100/12)</f>
      </c>
      <c r="E285" s="0">
        <f>BG284*(1+Calculator!$D$14/100/12)</f>
      </c>
      <c r="F285" s="0">
        <f>BH284*(1+Calculator!$D$15/100/12)</f>
      </c>
      <c r="G285" s="0">
        <f>BI284*(1+Calculator!$D$16/100/12)</f>
      </c>
      <c r="H285" s="0">
        <f>BJ284*(1+Calculator!$D$17/100/12)</f>
      </c>
      <c r="I285" s="0">
        <f>BK284*(1+Calculator!$D$18/100/12)</f>
      </c>
      <c r="J285" s="0">
        <f>BL284*(1+Calculator!$D$19/100/12)</f>
      </c>
      <c r="K285" s="0">
        <f>BM284*(1+Calculator!$D$20/100/12)</f>
      </c>
      <c r="L285" s="0">
        <f>BN284*(1+Calculator!$D$21/100/12)</f>
      </c>
      <c r="M285" s="0">
        <f>BO284*(1+Calculator!$D$22/100/12)</f>
      </c>
      <c r="N285" s="0">
        <f>BP284*(1+Calculator!$D$23/100/12)</f>
      </c>
      <c r="O285" s="0">
        <f>BQ284*(1+Calculator!$D$24/100/12)</f>
      </c>
      <c r="P285" s="0">
        <f>BR284*(1+Calculator!$D$25/100/12)</f>
      </c>
      <c r="Q285" s="0">
        <f>BS284*(1+Calculator!$D$26/100/12)</f>
      </c>
      <c r="R285" s="0">
        <f>BT284*(1+Calculator!$D$27/100/12)</f>
      </c>
      <c r="S285" s="0">
        <f>BU284*(1+Calculator!$D$28/100/12)</f>
      </c>
      <c r="T285" s="0">
        <f>MAX(0,B285-Calculator!$E$11)</f>
      </c>
      <c r="U285" s="0">
        <f>MAX(0,C285-Calculator!$E$12)</f>
      </c>
      <c r="V285" s="0">
        <f>MAX(0,D285-Calculator!$E$13)</f>
      </c>
      <c r="W285" s="0">
        <f>MAX(0,E285-Calculator!$E$14)</f>
      </c>
      <c r="X285" s="0">
        <f>MAX(0,F285-Calculator!$E$15)</f>
      </c>
      <c r="Y285" s="0">
        <f>MAX(0,G285-Calculator!$E$16)</f>
      </c>
      <c r="Z285" s="0">
        <f>MAX(0,H285-Calculator!$E$17)</f>
      </c>
      <c r="AA285" s="0">
        <f>MAX(0,I285-Calculator!$E$18)</f>
      </c>
      <c r="AB285" s="0">
        <f>MAX(0,J285-Calculator!$E$19)</f>
      </c>
      <c r="AC285" s="0">
        <f>MAX(0,K285-Calculator!$E$20)</f>
      </c>
      <c r="AD285" s="0">
        <f>MAX(0,L285-Calculator!$E$21)</f>
      </c>
      <c r="AE285" s="0">
        <f>MAX(0,M285-Calculator!$E$22)</f>
      </c>
      <c r="AF285" s="0">
        <f>MAX(0,N285-Calculator!$E$23)</f>
      </c>
      <c r="AG285" s="0">
        <f>MAX(0,O285-Calculator!$E$24)</f>
      </c>
      <c r="AH285" s="0">
        <f>MAX(0,P285-Calculator!$E$25)</f>
      </c>
      <c r="AI285" s="0">
        <f>MAX(0,Q285-Calculator!$E$26)</f>
      </c>
      <c r="AJ285" s="0">
        <f>MAX(0,R285-Calculator!$E$27)</f>
      </c>
      <c r="AK285" s="0">
        <f>MAX(0,S285-Calculator!$E$28)</f>
      </c>
      <c r="AL285" s="0">
        <f>MAX(0,MIN(T285,BX285-SUMPRODUCT(($T$2:$AK$2&lt;T$2)*($T285:$AK285))))</f>
      </c>
      <c r="AM285" s="0">
        <f>MAX(0,MIN(U285,BX285-SUMPRODUCT(($T$2:$AK$2&lt;U$2)*($T285:$AK285))))</f>
      </c>
      <c r="AN285" s="0">
        <f>MAX(0,MIN(V285,BX285-SUMPRODUCT(($T$2:$AK$2&lt;V$2)*($T285:$AK285))))</f>
      </c>
      <c r="AO285" s="0">
        <f>MAX(0,MIN(W285,BX285-SUMPRODUCT(($T$2:$AK$2&lt;W$2)*($T285:$AK285))))</f>
      </c>
      <c r="AP285" s="0">
        <f>MAX(0,MIN(X285,BX285-SUMPRODUCT(($T$2:$AK$2&lt;X$2)*($T285:$AK285))))</f>
      </c>
      <c r="AQ285" s="0">
        <f>MAX(0,MIN(Y285,BX285-SUMPRODUCT(($T$2:$AK$2&lt;Y$2)*($T285:$AK285))))</f>
      </c>
      <c r="AR285" s="0">
        <f>MAX(0,MIN(Z285,BX285-SUMPRODUCT(($T$2:$AK$2&lt;Z$2)*($T285:$AK285))))</f>
      </c>
      <c r="AS285" s="0">
        <f>MAX(0,MIN(AA285,BX285-SUMPRODUCT(($T$2:$AK$2&lt;AA$2)*($T285:$AK285))))</f>
      </c>
      <c r="AT285" s="0">
        <f>MAX(0,MIN(AB285,BX285-SUMPRODUCT(($T$2:$AK$2&lt;AB$2)*($T285:$AK285))))</f>
      </c>
      <c r="AU285" s="0">
        <f>MAX(0,MIN(AC285,BX285-SUMPRODUCT(($T$2:$AK$2&lt;AC$2)*($T285:$AK285))))</f>
      </c>
      <c r="AV285" s="0">
        <f>MAX(0,MIN(AD285,BX285-SUMPRODUCT(($T$2:$AK$2&lt;AD$2)*($T285:$AK285))))</f>
      </c>
      <c r="AW285" s="0">
        <f>MAX(0,MIN(AE285,BX285-SUMPRODUCT(($T$2:$AK$2&lt;AE$2)*($T285:$AK285))))</f>
      </c>
      <c r="AX285" s="0">
        <f>MAX(0,MIN(AF285,BX285-SUMPRODUCT(($T$2:$AK$2&lt;AF$2)*($T285:$AK285))))</f>
      </c>
      <c r="AY285" s="0">
        <f>MAX(0,MIN(AG285,BX285-SUMPRODUCT(($T$2:$AK$2&lt;AG$2)*($T285:$AK285))))</f>
      </c>
      <c r="AZ285" s="0">
        <f>MAX(0,MIN(AH285,BX285-SUMPRODUCT(($T$2:$AK$2&lt;AH$2)*($T285:$AK285))))</f>
      </c>
      <c r="BA285" s="0">
        <f>MAX(0,MIN(AI285,BX285-SUMPRODUCT(($T$2:$AK$2&lt;AI$2)*($T285:$AK285))))</f>
      </c>
      <c r="BB285" s="0">
        <f>MAX(0,MIN(AJ285,BX285-SUMPRODUCT(($T$2:$AK$2&lt;AJ$2)*($T285:$AK285))))</f>
      </c>
      <c r="BC285" s="0">
        <f>MAX(0,MIN(AK285,BX285-SUMPRODUCT(($T$2:$AK$2&lt;AK$2)*($T285:$AK285))))</f>
      </c>
      <c r="BD285" s="0">
        <f>T285-AL285</f>
      </c>
      <c r="BE285" s="0">
        <f>U285-AM285</f>
      </c>
      <c r="BF285" s="0">
        <f>V285-AN285</f>
      </c>
      <c r="BG285" s="0">
        <f>W285-AO285</f>
      </c>
      <c r="BH285" s="0">
        <f>X285-AP285</f>
      </c>
      <c r="BI285" s="0">
        <f>Y285-AQ285</f>
      </c>
      <c r="BJ285" s="0">
        <f>Z285-AR285</f>
      </c>
      <c r="BK285" s="0">
        <f>AA285-AS285</f>
      </c>
      <c r="BL285" s="0">
        <f>AB285-AT285</f>
      </c>
      <c r="BM285" s="0">
        <f>AC285-AU285</f>
      </c>
      <c r="BN285" s="0">
        <f>AD285-AV285</f>
      </c>
      <c r="BO285" s="0">
        <f>AE285-AW285</f>
      </c>
      <c r="BP285" s="0">
        <f>AF285-AX285</f>
      </c>
      <c r="BQ285" s="0">
        <f>AG285-AY285</f>
      </c>
      <c r="BR285" s="0">
        <f>AH285-AZ285</f>
      </c>
      <c r="BS285" s="0">
        <f>AI285-BA285</f>
      </c>
      <c r="BT285" s="0">
        <f>AJ285-BB285</f>
      </c>
      <c r="BU285" s="0">
        <f>AK285-BC285</f>
      </c>
      <c r="BV285" s="0">
        <f>SUM(B285:S285)</f>
      </c>
      <c r="BW285" s="0">
        <f>SUM(T285:AK285)</f>
      </c>
      <c r="BX285" s="0">
        <f>MAX(0,(SUM(Calculator!$E$11:$E$28)+Calculator!$C$6)-BV285+BW285)</f>
      </c>
      <c r="BY285" s="0">
        <f>SUM(BD285:BU285)</f>
      </c>
      <c r="BZ285" s="0">
        <f>BV285-BY284</f>
      </c>
      <c r="CA285" s="0">
        <f>IF(A285&lt;=IF($CD$1=0,999,$CD$1),BY285,NA())</f>
      </c>
      <c r="CB285" s="0">
        <f>IF(A285&lt;=IF($CD$1=0,999,$CD$1),A285,NA())</f>
      </c>
    </row>
    <row r="286">
      <c r="A286" s="0">
        <v>283</v>
      </c>
      <c r="B286" s="0">
        <f>BD285*(1+Calculator!$D$11/100/12)</f>
      </c>
      <c r="C286" s="0">
        <f>BE285*(1+Calculator!$D$12/100/12)</f>
      </c>
      <c r="D286" s="0">
        <f>BF285*(1+Calculator!$D$13/100/12)</f>
      </c>
      <c r="E286" s="0">
        <f>BG285*(1+Calculator!$D$14/100/12)</f>
      </c>
      <c r="F286" s="0">
        <f>BH285*(1+Calculator!$D$15/100/12)</f>
      </c>
      <c r="G286" s="0">
        <f>BI285*(1+Calculator!$D$16/100/12)</f>
      </c>
      <c r="H286" s="0">
        <f>BJ285*(1+Calculator!$D$17/100/12)</f>
      </c>
      <c r="I286" s="0">
        <f>BK285*(1+Calculator!$D$18/100/12)</f>
      </c>
      <c r="J286" s="0">
        <f>BL285*(1+Calculator!$D$19/100/12)</f>
      </c>
      <c r="K286" s="0">
        <f>BM285*(1+Calculator!$D$20/100/12)</f>
      </c>
      <c r="L286" s="0">
        <f>BN285*(1+Calculator!$D$21/100/12)</f>
      </c>
      <c r="M286" s="0">
        <f>BO285*(1+Calculator!$D$22/100/12)</f>
      </c>
      <c r="N286" s="0">
        <f>BP285*(1+Calculator!$D$23/100/12)</f>
      </c>
      <c r="O286" s="0">
        <f>BQ285*(1+Calculator!$D$24/100/12)</f>
      </c>
      <c r="P286" s="0">
        <f>BR285*(1+Calculator!$D$25/100/12)</f>
      </c>
      <c r="Q286" s="0">
        <f>BS285*(1+Calculator!$D$26/100/12)</f>
      </c>
      <c r="R286" s="0">
        <f>BT285*(1+Calculator!$D$27/100/12)</f>
      </c>
      <c r="S286" s="0">
        <f>BU285*(1+Calculator!$D$28/100/12)</f>
      </c>
      <c r="T286" s="0">
        <f>MAX(0,B286-Calculator!$E$11)</f>
      </c>
      <c r="U286" s="0">
        <f>MAX(0,C286-Calculator!$E$12)</f>
      </c>
      <c r="V286" s="0">
        <f>MAX(0,D286-Calculator!$E$13)</f>
      </c>
      <c r="W286" s="0">
        <f>MAX(0,E286-Calculator!$E$14)</f>
      </c>
      <c r="X286" s="0">
        <f>MAX(0,F286-Calculator!$E$15)</f>
      </c>
      <c r="Y286" s="0">
        <f>MAX(0,G286-Calculator!$E$16)</f>
      </c>
      <c r="Z286" s="0">
        <f>MAX(0,H286-Calculator!$E$17)</f>
      </c>
      <c r="AA286" s="0">
        <f>MAX(0,I286-Calculator!$E$18)</f>
      </c>
      <c r="AB286" s="0">
        <f>MAX(0,J286-Calculator!$E$19)</f>
      </c>
      <c r="AC286" s="0">
        <f>MAX(0,K286-Calculator!$E$20)</f>
      </c>
      <c r="AD286" s="0">
        <f>MAX(0,L286-Calculator!$E$21)</f>
      </c>
      <c r="AE286" s="0">
        <f>MAX(0,M286-Calculator!$E$22)</f>
      </c>
      <c r="AF286" s="0">
        <f>MAX(0,N286-Calculator!$E$23)</f>
      </c>
      <c r="AG286" s="0">
        <f>MAX(0,O286-Calculator!$E$24)</f>
      </c>
      <c r="AH286" s="0">
        <f>MAX(0,P286-Calculator!$E$25)</f>
      </c>
      <c r="AI286" s="0">
        <f>MAX(0,Q286-Calculator!$E$26)</f>
      </c>
      <c r="AJ286" s="0">
        <f>MAX(0,R286-Calculator!$E$27)</f>
      </c>
      <c r="AK286" s="0">
        <f>MAX(0,S286-Calculator!$E$28)</f>
      </c>
      <c r="AL286" s="0">
        <f>MAX(0,MIN(T286,BX286-SUMPRODUCT(($T$2:$AK$2&lt;T$2)*($T286:$AK286))))</f>
      </c>
      <c r="AM286" s="0">
        <f>MAX(0,MIN(U286,BX286-SUMPRODUCT(($T$2:$AK$2&lt;U$2)*($T286:$AK286))))</f>
      </c>
      <c r="AN286" s="0">
        <f>MAX(0,MIN(V286,BX286-SUMPRODUCT(($T$2:$AK$2&lt;V$2)*($T286:$AK286))))</f>
      </c>
      <c r="AO286" s="0">
        <f>MAX(0,MIN(W286,BX286-SUMPRODUCT(($T$2:$AK$2&lt;W$2)*($T286:$AK286))))</f>
      </c>
      <c r="AP286" s="0">
        <f>MAX(0,MIN(X286,BX286-SUMPRODUCT(($T$2:$AK$2&lt;X$2)*($T286:$AK286))))</f>
      </c>
      <c r="AQ286" s="0">
        <f>MAX(0,MIN(Y286,BX286-SUMPRODUCT(($T$2:$AK$2&lt;Y$2)*($T286:$AK286))))</f>
      </c>
      <c r="AR286" s="0">
        <f>MAX(0,MIN(Z286,BX286-SUMPRODUCT(($T$2:$AK$2&lt;Z$2)*($T286:$AK286))))</f>
      </c>
      <c r="AS286" s="0">
        <f>MAX(0,MIN(AA286,BX286-SUMPRODUCT(($T$2:$AK$2&lt;AA$2)*($T286:$AK286))))</f>
      </c>
      <c r="AT286" s="0">
        <f>MAX(0,MIN(AB286,BX286-SUMPRODUCT(($T$2:$AK$2&lt;AB$2)*($T286:$AK286))))</f>
      </c>
      <c r="AU286" s="0">
        <f>MAX(0,MIN(AC286,BX286-SUMPRODUCT(($T$2:$AK$2&lt;AC$2)*($T286:$AK286))))</f>
      </c>
      <c r="AV286" s="0">
        <f>MAX(0,MIN(AD286,BX286-SUMPRODUCT(($T$2:$AK$2&lt;AD$2)*($T286:$AK286))))</f>
      </c>
      <c r="AW286" s="0">
        <f>MAX(0,MIN(AE286,BX286-SUMPRODUCT(($T$2:$AK$2&lt;AE$2)*($T286:$AK286))))</f>
      </c>
      <c r="AX286" s="0">
        <f>MAX(0,MIN(AF286,BX286-SUMPRODUCT(($T$2:$AK$2&lt;AF$2)*($T286:$AK286))))</f>
      </c>
      <c r="AY286" s="0">
        <f>MAX(0,MIN(AG286,BX286-SUMPRODUCT(($T$2:$AK$2&lt;AG$2)*($T286:$AK286))))</f>
      </c>
      <c r="AZ286" s="0">
        <f>MAX(0,MIN(AH286,BX286-SUMPRODUCT(($T$2:$AK$2&lt;AH$2)*($T286:$AK286))))</f>
      </c>
      <c r="BA286" s="0">
        <f>MAX(0,MIN(AI286,BX286-SUMPRODUCT(($T$2:$AK$2&lt;AI$2)*($T286:$AK286))))</f>
      </c>
      <c r="BB286" s="0">
        <f>MAX(0,MIN(AJ286,BX286-SUMPRODUCT(($T$2:$AK$2&lt;AJ$2)*($T286:$AK286))))</f>
      </c>
      <c r="BC286" s="0">
        <f>MAX(0,MIN(AK286,BX286-SUMPRODUCT(($T$2:$AK$2&lt;AK$2)*($T286:$AK286))))</f>
      </c>
      <c r="BD286" s="0">
        <f>T286-AL286</f>
      </c>
      <c r="BE286" s="0">
        <f>U286-AM286</f>
      </c>
      <c r="BF286" s="0">
        <f>V286-AN286</f>
      </c>
      <c r="BG286" s="0">
        <f>W286-AO286</f>
      </c>
      <c r="BH286" s="0">
        <f>X286-AP286</f>
      </c>
      <c r="BI286" s="0">
        <f>Y286-AQ286</f>
      </c>
      <c r="BJ286" s="0">
        <f>Z286-AR286</f>
      </c>
      <c r="BK286" s="0">
        <f>AA286-AS286</f>
      </c>
      <c r="BL286" s="0">
        <f>AB286-AT286</f>
      </c>
      <c r="BM286" s="0">
        <f>AC286-AU286</f>
      </c>
      <c r="BN286" s="0">
        <f>AD286-AV286</f>
      </c>
      <c r="BO286" s="0">
        <f>AE286-AW286</f>
      </c>
      <c r="BP286" s="0">
        <f>AF286-AX286</f>
      </c>
      <c r="BQ286" s="0">
        <f>AG286-AY286</f>
      </c>
      <c r="BR286" s="0">
        <f>AH286-AZ286</f>
      </c>
      <c r="BS286" s="0">
        <f>AI286-BA286</f>
      </c>
      <c r="BT286" s="0">
        <f>AJ286-BB286</f>
      </c>
      <c r="BU286" s="0">
        <f>AK286-BC286</f>
      </c>
      <c r="BV286" s="0">
        <f>SUM(B286:S286)</f>
      </c>
      <c r="BW286" s="0">
        <f>SUM(T286:AK286)</f>
      </c>
      <c r="BX286" s="0">
        <f>MAX(0,(SUM(Calculator!$E$11:$E$28)+Calculator!$C$6)-BV286+BW286)</f>
      </c>
      <c r="BY286" s="0">
        <f>SUM(BD286:BU286)</f>
      </c>
      <c r="BZ286" s="0">
        <f>BV286-BY285</f>
      </c>
      <c r="CA286" s="0">
        <f>IF(A286&lt;=IF($CD$1=0,999,$CD$1),BY286,NA())</f>
      </c>
      <c r="CB286" s="0">
        <f>IF(A286&lt;=IF($CD$1=0,999,$CD$1),A286,NA())</f>
      </c>
    </row>
    <row r="287">
      <c r="A287" s="0">
        <v>284</v>
      </c>
      <c r="B287" s="0">
        <f>BD286*(1+Calculator!$D$11/100/12)</f>
      </c>
      <c r="C287" s="0">
        <f>BE286*(1+Calculator!$D$12/100/12)</f>
      </c>
      <c r="D287" s="0">
        <f>BF286*(1+Calculator!$D$13/100/12)</f>
      </c>
      <c r="E287" s="0">
        <f>BG286*(1+Calculator!$D$14/100/12)</f>
      </c>
      <c r="F287" s="0">
        <f>BH286*(1+Calculator!$D$15/100/12)</f>
      </c>
      <c r="G287" s="0">
        <f>BI286*(1+Calculator!$D$16/100/12)</f>
      </c>
      <c r="H287" s="0">
        <f>BJ286*(1+Calculator!$D$17/100/12)</f>
      </c>
      <c r="I287" s="0">
        <f>BK286*(1+Calculator!$D$18/100/12)</f>
      </c>
      <c r="J287" s="0">
        <f>BL286*(1+Calculator!$D$19/100/12)</f>
      </c>
      <c r="K287" s="0">
        <f>BM286*(1+Calculator!$D$20/100/12)</f>
      </c>
      <c r="L287" s="0">
        <f>BN286*(1+Calculator!$D$21/100/12)</f>
      </c>
      <c r="M287" s="0">
        <f>BO286*(1+Calculator!$D$22/100/12)</f>
      </c>
      <c r="N287" s="0">
        <f>BP286*(1+Calculator!$D$23/100/12)</f>
      </c>
      <c r="O287" s="0">
        <f>BQ286*(1+Calculator!$D$24/100/12)</f>
      </c>
      <c r="P287" s="0">
        <f>BR286*(1+Calculator!$D$25/100/12)</f>
      </c>
      <c r="Q287" s="0">
        <f>BS286*(1+Calculator!$D$26/100/12)</f>
      </c>
      <c r="R287" s="0">
        <f>BT286*(1+Calculator!$D$27/100/12)</f>
      </c>
      <c r="S287" s="0">
        <f>BU286*(1+Calculator!$D$28/100/12)</f>
      </c>
      <c r="T287" s="0">
        <f>MAX(0,B287-Calculator!$E$11)</f>
      </c>
      <c r="U287" s="0">
        <f>MAX(0,C287-Calculator!$E$12)</f>
      </c>
      <c r="V287" s="0">
        <f>MAX(0,D287-Calculator!$E$13)</f>
      </c>
      <c r="W287" s="0">
        <f>MAX(0,E287-Calculator!$E$14)</f>
      </c>
      <c r="X287" s="0">
        <f>MAX(0,F287-Calculator!$E$15)</f>
      </c>
      <c r="Y287" s="0">
        <f>MAX(0,G287-Calculator!$E$16)</f>
      </c>
      <c r="Z287" s="0">
        <f>MAX(0,H287-Calculator!$E$17)</f>
      </c>
      <c r="AA287" s="0">
        <f>MAX(0,I287-Calculator!$E$18)</f>
      </c>
      <c r="AB287" s="0">
        <f>MAX(0,J287-Calculator!$E$19)</f>
      </c>
      <c r="AC287" s="0">
        <f>MAX(0,K287-Calculator!$E$20)</f>
      </c>
      <c r="AD287" s="0">
        <f>MAX(0,L287-Calculator!$E$21)</f>
      </c>
      <c r="AE287" s="0">
        <f>MAX(0,M287-Calculator!$E$22)</f>
      </c>
      <c r="AF287" s="0">
        <f>MAX(0,N287-Calculator!$E$23)</f>
      </c>
      <c r="AG287" s="0">
        <f>MAX(0,O287-Calculator!$E$24)</f>
      </c>
      <c r="AH287" s="0">
        <f>MAX(0,P287-Calculator!$E$25)</f>
      </c>
      <c r="AI287" s="0">
        <f>MAX(0,Q287-Calculator!$E$26)</f>
      </c>
      <c r="AJ287" s="0">
        <f>MAX(0,R287-Calculator!$E$27)</f>
      </c>
      <c r="AK287" s="0">
        <f>MAX(0,S287-Calculator!$E$28)</f>
      </c>
      <c r="AL287" s="0">
        <f>MAX(0,MIN(T287,BX287-SUMPRODUCT(($T$2:$AK$2&lt;T$2)*($T287:$AK287))))</f>
      </c>
      <c r="AM287" s="0">
        <f>MAX(0,MIN(U287,BX287-SUMPRODUCT(($T$2:$AK$2&lt;U$2)*($T287:$AK287))))</f>
      </c>
      <c r="AN287" s="0">
        <f>MAX(0,MIN(V287,BX287-SUMPRODUCT(($T$2:$AK$2&lt;V$2)*($T287:$AK287))))</f>
      </c>
      <c r="AO287" s="0">
        <f>MAX(0,MIN(W287,BX287-SUMPRODUCT(($T$2:$AK$2&lt;W$2)*($T287:$AK287))))</f>
      </c>
      <c r="AP287" s="0">
        <f>MAX(0,MIN(X287,BX287-SUMPRODUCT(($T$2:$AK$2&lt;X$2)*($T287:$AK287))))</f>
      </c>
      <c r="AQ287" s="0">
        <f>MAX(0,MIN(Y287,BX287-SUMPRODUCT(($T$2:$AK$2&lt;Y$2)*($T287:$AK287))))</f>
      </c>
      <c r="AR287" s="0">
        <f>MAX(0,MIN(Z287,BX287-SUMPRODUCT(($T$2:$AK$2&lt;Z$2)*($T287:$AK287))))</f>
      </c>
      <c r="AS287" s="0">
        <f>MAX(0,MIN(AA287,BX287-SUMPRODUCT(($T$2:$AK$2&lt;AA$2)*($T287:$AK287))))</f>
      </c>
      <c r="AT287" s="0">
        <f>MAX(0,MIN(AB287,BX287-SUMPRODUCT(($T$2:$AK$2&lt;AB$2)*($T287:$AK287))))</f>
      </c>
      <c r="AU287" s="0">
        <f>MAX(0,MIN(AC287,BX287-SUMPRODUCT(($T$2:$AK$2&lt;AC$2)*($T287:$AK287))))</f>
      </c>
      <c r="AV287" s="0">
        <f>MAX(0,MIN(AD287,BX287-SUMPRODUCT(($T$2:$AK$2&lt;AD$2)*($T287:$AK287))))</f>
      </c>
      <c r="AW287" s="0">
        <f>MAX(0,MIN(AE287,BX287-SUMPRODUCT(($T$2:$AK$2&lt;AE$2)*($T287:$AK287))))</f>
      </c>
      <c r="AX287" s="0">
        <f>MAX(0,MIN(AF287,BX287-SUMPRODUCT(($T$2:$AK$2&lt;AF$2)*($T287:$AK287))))</f>
      </c>
      <c r="AY287" s="0">
        <f>MAX(0,MIN(AG287,BX287-SUMPRODUCT(($T$2:$AK$2&lt;AG$2)*($T287:$AK287))))</f>
      </c>
      <c r="AZ287" s="0">
        <f>MAX(0,MIN(AH287,BX287-SUMPRODUCT(($T$2:$AK$2&lt;AH$2)*($T287:$AK287))))</f>
      </c>
      <c r="BA287" s="0">
        <f>MAX(0,MIN(AI287,BX287-SUMPRODUCT(($T$2:$AK$2&lt;AI$2)*($T287:$AK287))))</f>
      </c>
      <c r="BB287" s="0">
        <f>MAX(0,MIN(AJ287,BX287-SUMPRODUCT(($T$2:$AK$2&lt;AJ$2)*($T287:$AK287))))</f>
      </c>
      <c r="BC287" s="0">
        <f>MAX(0,MIN(AK287,BX287-SUMPRODUCT(($T$2:$AK$2&lt;AK$2)*($T287:$AK287))))</f>
      </c>
      <c r="BD287" s="0">
        <f>T287-AL287</f>
      </c>
      <c r="BE287" s="0">
        <f>U287-AM287</f>
      </c>
      <c r="BF287" s="0">
        <f>V287-AN287</f>
      </c>
      <c r="BG287" s="0">
        <f>W287-AO287</f>
      </c>
      <c r="BH287" s="0">
        <f>X287-AP287</f>
      </c>
      <c r="BI287" s="0">
        <f>Y287-AQ287</f>
      </c>
      <c r="BJ287" s="0">
        <f>Z287-AR287</f>
      </c>
      <c r="BK287" s="0">
        <f>AA287-AS287</f>
      </c>
      <c r="BL287" s="0">
        <f>AB287-AT287</f>
      </c>
      <c r="BM287" s="0">
        <f>AC287-AU287</f>
      </c>
      <c r="BN287" s="0">
        <f>AD287-AV287</f>
      </c>
      <c r="BO287" s="0">
        <f>AE287-AW287</f>
      </c>
      <c r="BP287" s="0">
        <f>AF287-AX287</f>
      </c>
      <c r="BQ287" s="0">
        <f>AG287-AY287</f>
      </c>
      <c r="BR287" s="0">
        <f>AH287-AZ287</f>
      </c>
      <c r="BS287" s="0">
        <f>AI287-BA287</f>
      </c>
      <c r="BT287" s="0">
        <f>AJ287-BB287</f>
      </c>
      <c r="BU287" s="0">
        <f>AK287-BC287</f>
      </c>
      <c r="BV287" s="0">
        <f>SUM(B287:S287)</f>
      </c>
      <c r="BW287" s="0">
        <f>SUM(T287:AK287)</f>
      </c>
      <c r="BX287" s="0">
        <f>MAX(0,(SUM(Calculator!$E$11:$E$28)+Calculator!$C$6)-BV287+BW287)</f>
      </c>
      <c r="BY287" s="0">
        <f>SUM(BD287:BU287)</f>
      </c>
      <c r="BZ287" s="0">
        <f>BV287-BY286</f>
      </c>
      <c r="CA287" s="0">
        <f>IF(A287&lt;=IF($CD$1=0,999,$CD$1),BY287,NA())</f>
      </c>
      <c r="CB287" s="0">
        <f>IF(A287&lt;=IF($CD$1=0,999,$CD$1),A287,NA())</f>
      </c>
    </row>
    <row r="288">
      <c r="A288" s="0">
        <v>285</v>
      </c>
      <c r="B288" s="0">
        <f>BD287*(1+Calculator!$D$11/100/12)</f>
      </c>
      <c r="C288" s="0">
        <f>BE287*(1+Calculator!$D$12/100/12)</f>
      </c>
      <c r="D288" s="0">
        <f>BF287*(1+Calculator!$D$13/100/12)</f>
      </c>
      <c r="E288" s="0">
        <f>BG287*(1+Calculator!$D$14/100/12)</f>
      </c>
      <c r="F288" s="0">
        <f>BH287*(1+Calculator!$D$15/100/12)</f>
      </c>
      <c r="G288" s="0">
        <f>BI287*(1+Calculator!$D$16/100/12)</f>
      </c>
      <c r="H288" s="0">
        <f>BJ287*(1+Calculator!$D$17/100/12)</f>
      </c>
      <c r="I288" s="0">
        <f>BK287*(1+Calculator!$D$18/100/12)</f>
      </c>
      <c r="J288" s="0">
        <f>BL287*(1+Calculator!$D$19/100/12)</f>
      </c>
      <c r="K288" s="0">
        <f>BM287*(1+Calculator!$D$20/100/12)</f>
      </c>
      <c r="L288" s="0">
        <f>BN287*(1+Calculator!$D$21/100/12)</f>
      </c>
      <c r="M288" s="0">
        <f>BO287*(1+Calculator!$D$22/100/12)</f>
      </c>
      <c r="N288" s="0">
        <f>BP287*(1+Calculator!$D$23/100/12)</f>
      </c>
      <c r="O288" s="0">
        <f>BQ287*(1+Calculator!$D$24/100/12)</f>
      </c>
      <c r="P288" s="0">
        <f>BR287*(1+Calculator!$D$25/100/12)</f>
      </c>
      <c r="Q288" s="0">
        <f>BS287*(1+Calculator!$D$26/100/12)</f>
      </c>
      <c r="R288" s="0">
        <f>BT287*(1+Calculator!$D$27/100/12)</f>
      </c>
      <c r="S288" s="0">
        <f>BU287*(1+Calculator!$D$28/100/12)</f>
      </c>
      <c r="T288" s="0">
        <f>MAX(0,B288-Calculator!$E$11)</f>
      </c>
      <c r="U288" s="0">
        <f>MAX(0,C288-Calculator!$E$12)</f>
      </c>
      <c r="V288" s="0">
        <f>MAX(0,D288-Calculator!$E$13)</f>
      </c>
      <c r="W288" s="0">
        <f>MAX(0,E288-Calculator!$E$14)</f>
      </c>
      <c r="X288" s="0">
        <f>MAX(0,F288-Calculator!$E$15)</f>
      </c>
      <c r="Y288" s="0">
        <f>MAX(0,G288-Calculator!$E$16)</f>
      </c>
      <c r="Z288" s="0">
        <f>MAX(0,H288-Calculator!$E$17)</f>
      </c>
      <c r="AA288" s="0">
        <f>MAX(0,I288-Calculator!$E$18)</f>
      </c>
      <c r="AB288" s="0">
        <f>MAX(0,J288-Calculator!$E$19)</f>
      </c>
      <c r="AC288" s="0">
        <f>MAX(0,K288-Calculator!$E$20)</f>
      </c>
      <c r="AD288" s="0">
        <f>MAX(0,L288-Calculator!$E$21)</f>
      </c>
      <c r="AE288" s="0">
        <f>MAX(0,M288-Calculator!$E$22)</f>
      </c>
      <c r="AF288" s="0">
        <f>MAX(0,N288-Calculator!$E$23)</f>
      </c>
      <c r="AG288" s="0">
        <f>MAX(0,O288-Calculator!$E$24)</f>
      </c>
      <c r="AH288" s="0">
        <f>MAX(0,P288-Calculator!$E$25)</f>
      </c>
      <c r="AI288" s="0">
        <f>MAX(0,Q288-Calculator!$E$26)</f>
      </c>
      <c r="AJ288" s="0">
        <f>MAX(0,R288-Calculator!$E$27)</f>
      </c>
      <c r="AK288" s="0">
        <f>MAX(0,S288-Calculator!$E$28)</f>
      </c>
      <c r="AL288" s="0">
        <f>MAX(0,MIN(T288,BX288-SUMPRODUCT(($T$2:$AK$2&lt;T$2)*($T288:$AK288))))</f>
      </c>
      <c r="AM288" s="0">
        <f>MAX(0,MIN(U288,BX288-SUMPRODUCT(($T$2:$AK$2&lt;U$2)*($T288:$AK288))))</f>
      </c>
      <c r="AN288" s="0">
        <f>MAX(0,MIN(V288,BX288-SUMPRODUCT(($T$2:$AK$2&lt;V$2)*($T288:$AK288))))</f>
      </c>
      <c r="AO288" s="0">
        <f>MAX(0,MIN(W288,BX288-SUMPRODUCT(($T$2:$AK$2&lt;W$2)*($T288:$AK288))))</f>
      </c>
      <c r="AP288" s="0">
        <f>MAX(0,MIN(X288,BX288-SUMPRODUCT(($T$2:$AK$2&lt;X$2)*($T288:$AK288))))</f>
      </c>
      <c r="AQ288" s="0">
        <f>MAX(0,MIN(Y288,BX288-SUMPRODUCT(($T$2:$AK$2&lt;Y$2)*($T288:$AK288))))</f>
      </c>
      <c r="AR288" s="0">
        <f>MAX(0,MIN(Z288,BX288-SUMPRODUCT(($T$2:$AK$2&lt;Z$2)*($T288:$AK288))))</f>
      </c>
      <c r="AS288" s="0">
        <f>MAX(0,MIN(AA288,BX288-SUMPRODUCT(($T$2:$AK$2&lt;AA$2)*($T288:$AK288))))</f>
      </c>
      <c r="AT288" s="0">
        <f>MAX(0,MIN(AB288,BX288-SUMPRODUCT(($T$2:$AK$2&lt;AB$2)*($T288:$AK288))))</f>
      </c>
      <c r="AU288" s="0">
        <f>MAX(0,MIN(AC288,BX288-SUMPRODUCT(($T$2:$AK$2&lt;AC$2)*($T288:$AK288))))</f>
      </c>
      <c r="AV288" s="0">
        <f>MAX(0,MIN(AD288,BX288-SUMPRODUCT(($T$2:$AK$2&lt;AD$2)*($T288:$AK288))))</f>
      </c>
      <c r="AW288" s="0">
        <f>MAX(0,MIN(AE288,BX288-SUMPRODUCT(($T$2:$AK$2&lt;AE$2)*($T288:$AK288))))</f>
      </c>
      <c r="AX288" s="0">
        <f>MAX(0,MIN(AF288,BX288-SUMPRODUCT(($T$2:$AK$2&lt;AF$2)*($T288:$AK288))))</f>
      </c>
      <c r="AY288" s="0">
        <f>MAX(0,MIN(AG288,BX288-SUMPRODUCT(($T$2:$AK$2&lt;AG$2)*($T288:$AK288))))</f>
      </c>
      <c r="AZ288" s="0">
        <f>MAX(0,MIN(AH288,BX288-SUMPRODUCT(($T$2:$AK$2&lt;AH$2)*($T288:$AK288))))</f>
      </c>
      <c r="BA288" s="0">
        <f>MAX(0,MIN(AI288,BX288-SUMPRODUCT(($T$2:$AK$2&lt;AI$2)*($T288:$AK288))))</f>
      </c>
      <c r="BB288" s="0">
        <f>MAX(0,MIN(AJ288,BX288-SUMPRODUCT(($T$2:$AK$2&lt;AJ$2)*($T288:$AK288))))</f>
      </c>
      <c r="BC288" s="0">
        <f>MAX(0,MIN(AK288,BX288-SUMPRODUCT(($T$2:$AK$2&lt;AK$2)*($T288:$AK288))))</f>
      </c>
      <c r="BD288" s="0">
        <f>T288-AL288</f>
      </c>
      <c r="BE288" s="0">
        <f>U288-AM288</f>
      </c>
      <c r="BF288" s="0">
        <f>V288-AN288</f>
      </c>
      <c r="BG288" s="0">
        <f>W288-AO288</f>
      </c>
      <c r="BH288" s="0">
        <f>X288-AP288</f>
      </c>
      <c r="BI288" s="0">
        <f>Y288-AQ288</f>
      </c>
      <c r="BJ288" s="0">
        <f>Z288-AR288</f>
      </c>
      <c r="BK288" s="0">
        <f>AA288-AS288</f>
      </c>
      <c r="BL288" s="0">
        <f>AB288-AT288</f>
      </c>
      <c r="BM288" s="0">
        <f>AC288-AU288</f>
      </c>
      <c r="BN288" s="0">
        <f>AD288-AV288</f>
      </c>
      <c r="BO288" s="0">
        <f>AE288-AW288</f>
      </c>
      <c r="BP288" s="0">
        <f>AF288-AX288</f>
      </c>
      <c r="BQ288" s="0">
        <f>AG288-AY288</f>
      </c>
      <c r="BR288" s="0">
        <f>AH288-AZ288</f>
      </c>
      <c r="BS288" s="0">
        <f>AI288-BA288</f>
      </c>
      <c r="BT288" s="0">
        <f>AJ288-BB288</f>
      </c>
      <c r="BU288" s="0">
        <f>AK288-BC288</f>
      </c>
      <c r="BV288" s="0">
        <f>SUM(B288:S288)</f>
      </c>
      <c r="BW288" s="0">
        <f>SUM(T288:AK288)</f>
      </c>
      <c r="BX288" s="0">
        <f>MAX(0,(SUM(Calculator!$E$11:$E$28)+Calculator!$C$6)-BV288+BW288)</f>
      </c>
      <c r="BY288" s="0">
        <f>SUM(BD288:BU288)</f>
      </c>
      <c r="BZ288" s="0">
        <f>BV288-BY287</f>
      </c>
      <c r="CA288" s="0">
        <f>IF(A288&lt;=IF($CD$1=0,999,$CD$1),BY288,NA())</f>
      </c>
      <c r="CB288" s="0">
        <f>IF(A288&lt;=IF($CD$1=0,999,$CD$1),A288,NA())</f>
      </c>
    </row>
    <row r="289">
      <c r="A289" s="0">
        <v>286</v>
      </c>
      <c r="B289" s="0">
        <f>BD288*(1+Calculator!$D$11/100/12)</f>
      </c>
      <c r="C289" s="0">
        <f>BE288*(1+Calculator!$D$12/100/12)</f>
      </c>
      <c r="D289" s="0">
        <f>BF288*(1+Calculator!$D$13/100/12)</f>
      </c>
      <c r="E289" s="0">
        <f>BG288*(1+Calculator!$D$14/100/12)</f>
      </c>
      <c r="F289" s="0">
        <f>BH288*(1+Calculator!$D$15/100/12)</f>
      </c>
      <c r="G289" s="0">
        <f>BI288*(1+Calculator!$D$16/100/12)</f>
      </c>
      <c r="H289" s="0">
        <f>BJ288*(1+Calculator!$D$17/100/12)</f>
      </c>
      <c r="I289" s="0">
        <f>BK288*(1+Calculator!$D$18/100/12)</f>
      </c>
      <c r="J289" s="0">
        <f>BL288*(1+Calculator!$D$19/100/12)</f>
      </c>
      <c r="K289" s="0">
        <f>BM288*(1+Calculator!$D$20/100/12)</f>
      </c>
      <c r="L289" s="0">
        <f>BN288*(1+Calculator!$D$21/100/12)</f>
      </c>
      <c r="M289" s="0">
        <f>BO288*(1+Calculator!$D$22/100/12)</f>
      </c>
      <c r="N289" s="0">
        <f>BP288*(1+Calculator!$D$23/100/12)</f>
      </c>
      <c r="O289" s="0">
        <f>BQ288*(1+Calculator!$D$24/100/12)</f>
      </c>
      <c r="P289" s="0">
        <f>BR288*(1+Calculator!$D$25/100/12)</f>
      </c>
      <c r="Q289" s="0">
        <f>BS288*(1+Calculator!$D$26/100/12)</f>
      </c>
      <c r="R289" s="0">
        <f>BT288*(1+Calculator!$D$27/100/12)</f>
      </c>
      <c r="S289" s="0">
        <f>BU288*(1+Calculator!$D$28/100/12)</f>
      </c>
      <c r="T289" s="0">
        <f>MAX(0,B289-Calculator!$E$11)</f>
      </c>
      <c r="U289" s="0">
        <f>MAX(0,C289-Calculator!$E$12)</f>
      </c>
      <c r="V289" s="0">
        <f>MAX(0,D289-Calculator!$E$13)</f>
      </c>
      <c r="W289" s="0">
        <f>MAX(0,E289-Calculator!$E$14)</f>
      </c>
      <c r="X289" s="0">
        <f>MAX(0,F289-Calculator!$E$15)</f>
      </c>
      <c r="Y289" s="0">
        <f>MAX(0,G289-Calculator!$E$16)</f>
      </c>
      <c r="Z289" s="0">
        <f>MAX(0,H289-Calculator!$E$17)</f>
      </c>
      <c r="AA289" s="0">
        <f>MAX(0,I289-Calculator!$E$18)</f>
      </c>
      <c r="AB289" s="0">
        <f>MAX(0,J289-Calculator!$E$19)</f>
      </c>
      <c r="AC289" s="0">
        <f>MAX(0,K289-Calculator!$E$20)</f>
      </c>
      <c r="AD289" s="0">
        <f>MAX(0,L289-Calculator!$E$21)</f>
      </c>
      <c r="AE289" s="0">
        <f>MAX(0,M289-Calculator!$E$22)</f>
      </c>
      <c r="AF289" s="0">
        <f>MAX(0,N289-Calculator!$E$23)</f>
      </c>
      <c r="AG289" s="0">
        <f>MAX(0,O289-Calculator!$E$24)</f>
      </c>
      <c r="AH289" s="0">
        <f>MAX(0,P289-Calculator!$E$25)</f>
      </c>
      <c r="AI289" s="0">
        <f>MAX(0,Q289-Calculator!$E$26)</f>
      </c>
      <c r="AJ289" s="0">
        <f>MAX(0,R289-Calculator!$E$27)</f>
      </c>
      <c r="AK289" s="0">
        <f>MAX(0,S289-Calculator!$E$28)</f>
      </c>
      <c r="AL289" s="0">
        <f>MAX(0,MIN(T289,BX289-SUMPRODUCT(($T$2:$AK$2&lt;T$2)*($T289:$AK289))))</f>
      </c>
      <c r="AM289" s="0">
        <f>MAX(0,MIN(U289,BX289-SUMPRODUCT(($T$2:$AK$2&lt;U$2)*($T289:$AK289))))</f>
      </c>
      <c r="AN289" s="0">
        <f>MAX(0,MIN(V289,BX289-SUMPRODUCT(($T$2:$AK$2&lt;V$2)*($T289:$AK289))))</f>
      </c>
      <c r="AO289" s="0">
        <f>MAX(0,MIN(W289,BX289-SUMPRODUCT(($T$2:$AK$2&lt;W$2)*($T289:$AK289))))</f>
      </c>
      <c r="AP289" s="0">
        <f>MAX(0,MIN(X289,BX289-SUMPRODUCT(($T$2:$AK$2&lt;X$2)*($T289:$AK289))))</f>
      </c>
      <c r="AQ289" s="0">
        <f>MAX(0,MIN(Y289,BX289-SUMPRODUCT(($T$2:$AK$2&lt;Y$2)*($T289:$AK289))))</f>
      </c>
      <c r="AR289" s="0">
        <f>MAX(0,MIN(Z289,BX289-SUMPRODUCT(($T$2:$AK$2&lt;Z$2)*($T289:$AK289))))</f>
      </c>
      <c r="AS289" s="0">
        <f>MAX(0,MIN(AA289,BX289-SUMPRODUCT(($T$2:$AK$2&lt;AA$2)*($T289:$AK289))))</f>
      </c>
      <c r="AT289" s="0">
        <f>MAX(0,MIN(AB289,BX289-SUMPRODUCT(($T$2:$AK$2&lt;AB$2)*($T289:$AK289))))</f>
      </c>
      <c r="AU289" s="0">
        <f>MAX(0,MIN(AC289,BX289-SUMPRODUCT(($T$2:$AK$2&lt;AC$2)*($T289:$AK289))))</f>
      </c>
      <c r="AV289" s="0">
        <f>MAX(0,MIN(AD289,BX289-SUMPRODUCT(($T$2:$AK$2&lt;AD$2)*($T289:$AK289))))</f>
      </c>
      <c r="AW289" s="0">
        <f>MAX(0,MIN(AE289,BX289-SUMPRODUCT(($T$2:$AK$2&lt;AE$2)*($T289:$AK289))))</f>
      </c>
      <c r="AX289" s="0">
        <f>MAX(0,MIN(AF289,BX289-SUMPRODUCT(($T$2:$AK$2&lt;AF$2)*($T289:$AK289))))</f>
      </c>
      <c r="AY289" s="0">
        <f>MAX(0,MIN(AG289,BX289-SUMPRODUCT(($T$2:$AK$2&lt;AG$2)*($T289:$AK289))))</f>
      </c>
      <c r="AZ289" s="0">
        <f>MAX(0,MIN(AH289,BX289-SUMPRODUCT(($T$2:$AK$2&lt;AH$2)*($T289:$AK289))))</f>
      </c>
      <c r="BA289" s="0">
        <f>MAX(0,MIN(AI289,BX289-SUMPRODUCT(($T$2:$AK$2&lt;AI$2)*($T289:$AK289))))</f>
      </c>
      <c r="BB289" s="0">
        <f>MAX(0,MIN(AJ289,BX289-SUMPRODUCT(($T$2:$AK$2&lt;AJ$2)*($T289:$AK289))))</f>
      </c>
      <c r="BC289" s="0">
        <f>MAX(0,MIN(AK289,BX289-SUMPRODUCT(($T$2:$AK$2&lt;AK$2)*($T289:$AK289))))</f>
      </c>
      <c r="BD289" s="0">
        <f>T289-AL289</f>
      </c>
      <c r="BE289" s="0">
        <f>U289-AM289</f>
      </c>
      <c r="BF289" s="0">
        <f>V289-AN289</f>
      </c>
      <c r="BG289" s="0">
        <f>W289-AO289</f>
      </c>
      <c r="BH289" s="0">
        <f>X289-AP289</f>
      </c>
      <c r="BI289" s="0">
        <f>Y289-AQ289</f>
      </c>
      <c r="BJ289" s="0">
        <f>Z289-AR289</f>
      </c>
      <c r="BK289" s="0">
        <f>AA289-AS289</f>
      </c>
      <c r="BL289" s="0">
        <f>AB289-AT289</f>
      </c>
      <c r="BM289" s="0">
        <f>AC289-AU289</f>
      </c>
      <c r="BN289" s="0">
        <f>AD289-AV289</f>
      </c>
      <c r="BO289" s="0">
        <f>AE289-AW289</f>
      </c>
      <c r="BP289" s="0">
        <f>AF289-AX289</f>
      </c>
      <c r="BQ289" s="0">
        <f>AG289-AY289</f>
      </c>
      <c r="BR289" s="0">
        <f>AH289-AZ289</f>
      </c>
      <c r="BS289" s="0">
        <f>AI289-BA289</f>
      </c>
      <c r="BT289" s="0">
        <f>AJ289-BB289</f>
      </c>
      <c r="BU289" s="0">
        <f>AK289-BC289</f>
      </c>
      <c r="BV289" s="0">
        <f>SUM(B289:S289)</f>
      </c>
      <c r="BW289" s="0">
        <f>SUM(T289:AK289)</f>
      </c>
      <c r="BX289" s="0">
        <f>MAX(0,(SUM(Calculator!$E$11:$E$28)+Calculator!$C$6)-BV289+BW289)</f>
      </c>
      <c r="BY289" s="0">
        <f>SUM(BD289:BU289)</f>
      </c>
      <c r="BZ289" s="0">
        <f>BV289-BY288</f>
      </c>
      <c r="CA289" s="0">
        <f>IF(A289&lt;=IF($CD$1=0,999,$CD$1),BY289,NA())</f>
      </c>
      <c r="CB289" s="0">
        <f>IF(A289&lt;=IF($CD$1=0,999,$CD$1),A289,NA())</f>
      </c>
    </row>
    <row r="290">
      <c r="A290" s="0">
        <v>287</v>
      </c>
      <c r="B290" s="0">
        <f>BD289*(1+Calculator!$D$11/100/12)</f>
      </c>
      <c r="C290" s="0">
        <f>BE289*(1+Calculator!$D$12/100/12)</f>
      </c>
      <c r="D290" s="0">
        <f>BF289*(1+Calculator!$D$13/100/12)</f>
      </c>
      <c r="E290" s="0">
        <f>BG289*(1+Calculator!$D$14/100/12)</f>
      </c>
      <c r="F290" s="0">
        <f>BH289*(1+Calculator!$D$15/100/12)</f>
      </c>
      <c r="G290" s="0">
        <f>BI289*(1+Calculator!$D$16/100/12)</f>
      </c>
      <c r="H290" s="0">
        <f>BJ289*(1+Calculator!$D$17/100/12)</f>
      </c>
      <c r="I290" s="0">
        <f>BK289*(1+Calculator!$D$18/100/12)</f>
      </c>
      <c r="J290" s="0">
        <f>BL289*(1+Calculator!$D$19/100/12)</f>
      </c>
      <c r="K290" s="0">
        <f>BM289*(1+Calculator!$D$20/100/12)</f>
      </c>
      <c r="L290" s="0">
        <f>BN289*(1+Calculator!$D$21/100/12)</f>
      </c>
      <c r="M290" s="0">
        <f>BO289*(1+Calculator!$D$22/100/12)</f>
      </c>
      <c r="N290" s="0">
        <f>BP289*(1+Calculator!$D$23/100/12)</f>
      </c>
      <c r="O290" s="0">
        <f>BQ289*(1+Calculator!$D$24/100/12)</f>
      </c>
      <c r="P290" s="0">
        <f>BR289*(1+Calculator!$D$25/100/12)</f>
      </c>
      <c r="Q290" s="0">
        <f>BS289*(1+Calculator!$D$26/100/12)</f>
      </c>
      <c r="R290" s="0">
        <f>BT289*(1+Calculator!$D$27/100/12)</f>
      </c>
      <c r="S290" s="0">
        <f>BU289*(1+Calculator!$D$28/100/12)</f>
      </c>
      <c r="T290" s="0">
        <f>MAX(0,B290-Calculator!$E$11)</f>
      </c>
      <c r="U290" s="0">
        <f>MAX(0,C290-Calculator!$E$12)</f>
      </c>
      <c r="V290" s="0">
        <f>MAX(0,D290-Calculator!$E$13)</f>
      </c>
      <c r="W290" s="0">
        <f>MAX(0,E290-Calculator!$E$14)</f>
      </c>
      <c r="X290" s="0">
        <f>MAX(0,F290-Calculator!$E$15)</f>
      </c>
      <c r="Y290" s="0">
        <f>MAX(0,G290-Calculator!$E$16)</f>
      </c>
      <c r="Z290" s="0">
        <f>MAX(0,H290-Calculator!$E$17)</f>
      </c>
      <c r="AA290" s="0">
        <f>MAX(0,I290-Calculator!$E$18)</f>
      </c>
      <c r="AB290" s="0">
        <f>MAX(0,J290-Calculator!$E$19)</f>
      </c>
      <c r="AC290" s="0">
        <f>MAX(0,K290-Calculator!$E$20)</f>
      </c>
      <c r="AD290" s="0">
        <f>MAX(0,L290-Calculator!$E$21)</f>
      </c>
      <c r="AE290" s="0">
        <f>MAX(0,M290-Calculator!$E$22)</f>
      </c>
      <c r="AF290" s="0">
        <f>MAX(0,N290-Calculator!$E$23)</f>
      </c>
      <c r="AG290" s="0">
        <f>MAX(0,O290-Calculator!$E$24)</f>
      </c>
      <c r="AH290" s="0">
        <f>MAX(0,P290-Calculator!$E$25)</f>
      </c>
      <c r="AI290" s="0">
        <f>MAX(0,Q290-Calculator!$E$26)</f>
      </c>
      <c r="AJ290" s="0">
        <f>MAX(0,R290-Calculator!$E$27)</f>
      </c>
      <c r="AK290" s="0">
        <f>MAX(0,S290-Calculator!$E$28)</f>
      </c>
      <c r="AL290" s="0">
        <f>MAX(0,MIN(T290,BX290-SUMPRODUCT(($T$2:$AK$2&lt;T$2)*($T290:$AK290))))</f>
      </c>
      <c r="AM290" s="0">
        <f>MAX(0,MIN(U290,BX290-SUMPRODUCT(($T$2:$AK$2&lt;U$2)*($T290:$AK290))))</f>
      </c>
      <c r="AN290" s="0">
        <f>MAX(0,MIN(V290,BX290-SUMPRODUCT(($T$2:$AK$2&lt;V$2)*($T290:$AK290))))</f>
      </c>
      <c r="AO290" s="0">
        <f>MAX(0,MIN(W290,BX290-SUMPRODUCT(($T$2:$AK$2&lt;W$2)*($T290:$AK290))))</f>
      </c>
      <c r="AP290" s="0">
        <f>MAX(0,MIN(X290,BX290-SUMPRODUCT(($T$2:$AK$2&lt;X$2)*($T290:$AK290))))</f>
      </c>
      <c r="AQ290" s="0">
        <f>MAX(0,MIN(Y290,BX290-SUMPRODUCT(($T$2:$AK$2&lt;Y$2)*($T290:$AK290))))</f>
      </c>
      <c r="AR290" s="0">
        <f>MAX(0,MIN(Z290,BX290-SUMPRODUCT(($T$2:$AK$2&lt;Z$2)*($T290:$AK290))))</f>
      </c>
      <c r="AS290" s="0">
        <f>MAX(0,MIN(AA290,BX290-SUMPRODUCT(($T$2:$AK$2&lt;AA$2)*($T290:$AK290))))</f>
      </c>
      <c r="AT290" s="0">
        <f>MAX(0,MIN(AB290,BX290-SUMPRODUCT(($T$2:$AK$2&lt;AB$2)*($T290:$AK290))))</f>
      </c>
      <c r="AU290" s="0">
        <f>MAX(0,MIN(AC290,BX290-SUMPRODUCT(($T$2:$AK$2&lt;AC$2)*($T290:$AK290))))</f>
      </c>
      <c r="AV290" s="0">
        <f>MAX(0,MIN(AD290,BX290-SUMPRODUCT(($T$2:$AK$2&lt;AD$2)*($T290:$AK290))))</f>
      </c>
      <c r="AW290" s="0">
        <f>MAX(0,MIN(AE290,BX290-SUMPRODUCT(($T$2:$AK$2&lt;AE$2)*($T290:$AK290))))</f>
      </c>
      <c r="AX290" s="0">
        <f>MAX(0,MIN(AF290,BX290-SUMPRODUCT(($T$2:$AK$2&lt;AF$2)*($T290:$AK290))))</f>
      </c>
      <c r="AY290" s="0">
        <f>MAX(0,MIN(AG290,BX290-SUMPRODUCT(($T$2:$AK$2&lt;AG$2)*($T290:$AK290))))</f>
      </c>
      <c r="AZ290" s="0">
        <f>MAX(0,MIN(AH290,BX290-SUMPRODUCT(($T$2:$AK$2&lt;AH$2)*($T290:$AK290))))</f>
      </c>
      <c r="BA290" s="0">
        <f>MAX(0,MIN(AI290,BX290-SUMPRODUCT(($T$2:$AK$2&lt;AI$2)*($T290:$AK290))))</f>
      </c>
      <c r="BB290" s="0">
        <f>MAX(0,MIN(AJ290,BX290-SUMPRODUCT(($T$2:$AK$2&lt;AJ$2)*($T290:$AK290))))</f>
      </c>
      <c r="BC290" s="0">
        <f>MAX(0,MIN(AK290,BX290-SUMPRODUCT(($T$2:$AK$2&lt;AK$2)*($T290:$AK290))))</f>
      </c>
      <c r="BD290" s="0">
        <f>T290-AL290</f>
      </c>
      <c r="BE290" s="0">
        <f>U290-AM290</f>
      </c>
      <c r="BF290" s="0">
        <f>V290-AN290</f>
      </c>
      <c r="BG290" s="0">
        <f>W290-AO290</f>
      </c>
      <c r="BH290" s="0">
        <f>X290-AP290</f>
      </c>
      <c r="BI290" s="0">
        <f>Y290-AQ290</f>
      </c>
      <c r="BJ290" s="0">
        <f>Z290-AR290</f>
      </c>
      <c r="BK290" s="0">
        <f>AA290-AS290</f>
      </c>
      <c r="BL290" s="0">
        <f>AB290-AT290</f>
      </c>
      <c r="BM290" s="0">
        <f>AC290-AU290</f>
      </c>
      <c r="BN290" s="0">
        <f>AD290-AV290</f>
      </c>
      <c r="BO290" s="0">
        <f>AE290-AW290</f>
      </c>
      <c r="BP290" s="0">
        <f>AF290-AX290</f>
      </c>
      <c r="BQ290" s="0">
        <f>AG290-AY290</f>
      </c>
      <c r="BR290" s="0">
        <f>AH290-AZ290</f>
      </c>
      <c r="BS290" s="0">
        <f>AI290-BA290</f>
      </c>
      <c r="BT290" s="0">
        <f>AJ290-BB290</f>
      </c>
      <c r="BU290" s="0">
        <f>AK290-BC290</f>
      </c>
      <c r="BV290" s="0">
        <f>SUM(B290:S290)</f>
      </c>
      <c r="BW290" s="0">
        <f>SUM(T290:AK290)</f>
      </c>
      <c r="BX290" s="0">
        <f>MAX(0,(SUM(Calculator!$E$11:$E$28)+Calculator!$C$6)-BV290+BW290)</f>
      </c>
      <c r="BY290" s="0">
        <f>SUM(BD290:BU290)</f>
      </c>
      <c r="BZ290" s="0">
        <f>BV290-BY289</f>
      </c>
      <c r="CA290" s="0">
        <f>IF(A290&lt;=IF($CD$1=0,999,$CD$1),BY290,NA())</f>
      </c>
      <c r="CB290" s="0">
        <f>IF(A290&lt;=IF($CD$1=0,999,$CD$1),A290,NA())</f>
      </c>
    </row>
    <row r="291">
      <c r="A291" s="0">
        <v>288</v>
      </c>
      <c r="B291" s="0">
        <f>BD290*(1+Calculator!$D$11/100/12)</f>
      </c>
      <c r="C291" s="0">
        <f>BE290*(1+Calculator!$D$12/100/12)</f>
      </c>
      <c r="D291" s="0">
        <f>BF290*(1+Calculator!$D$13/100/12)</f>
      </c>
      <c r="E291" s="0">
        <f>BG290*(1+Calculator!$D$14/100/12)</f>
      </c>
      <c r="F291" s="0">
        <f>BH290*(1+Calculator!$D$15/100/12)</f>
      </c>
      <c r="G291" s="0">
        <f>BI290*(1+Calculator!$D$16/100/12)</f>
      </c>
      <c r="H291" s="0">
        <f>BJ290*(1+Calculator!$D$17/100/12)</f>
      </c>
      <c r="I291" s="0">
        <f>BK290*(1+Calculator!$D$18/100/12)</f>
      </c>
      <c r="J291" s="0">
        <f>BL290*(1+Calculator!$D$19/100/12)</f>
      </c>
      <c r="K291" s="0">
        <f>BM290*(1+Calculator!$D$20/100/12)</f>
      </c>
      <c r="L291" s="0">
        <f>BN290*(1+Calculator!$D$21/100/12)</f>
      </c>
      <c r="M291" s="0">
        <f>BO290*(1+Calculator!$D$22/100/12)</f>
      </c>
      <c r="N291" s="0">
        <f>BP290*(1+Calculator!$D$23/100/12)</f>
      </c>
      <c r="O291" s="0">
        <f>BQ290*(1+Calculator!$D$24/100/12)</f>
      </c>
      <c r="P291" s="0">
        <f>BR290*(1+Calculator!$D$25/100/12)</f>
      </c>
      <c r="Q291" s="0">
        <f>BS290*(1+Calculator!$D$26/100/12)</f>
      </c>
      <c r="R291" s="0">
        <f>BT290*(1+Calculator!$D$27/100/12)</f>
      </c>
      <c r="S291" s="0">
        <f>BU290*(1+Calculator!$D$28/100/12)</f>
      </c>
      <c r="T291" s="0">
        <f>MAX(0,B291-Calculator!$E$11)</f>
      </c>
      <c r="U291" s="0">
        <f>MAX(0,C291-Calculator!$E$12)</f>
      </c>
      <c r="V291" s="0">
        <f>MAX(0,D291-Calculator!$E$13)</f>
      </c>
      <c r="W291" s="0">
        <f>MAX(0,E291-Calculator!$E$14)</f>
      </c>
      <c r="X291" s="0">
        <f>MAX(0,F291-Calculator!$E$15)</f>
      </c>
      <c r="Y291" s="0">
        <f>MAX(0,G291-Calculator!$E$16)</f>
      </c>
      <c r="Z291" s="0">
        <f>MAX(0,H291-Calculator!$E$17)</f>
      </c>
      <c r="AA291" s="0">
        <f>MAX(0,I291-Calculator!$E$18)</f>
      </c>
      <c r="AB291" s="0">
        <f>MAX(0,J291-Calculator!$E$19)</f>
      </c>
      <c r="AC291" s="0">
        <f>MAX(0,K291-Calculator!$E$20)</f>
      </c>
      <c r="AD291" s="0">
        <f>MAX(0,L291-Calculator!$E$21)</f>
      </c>
      <c r="AE291" s="0">
        <f>MAX(0,M291-Calculator!$E$22)</f>
      </c>
      <c r="AF291" s="0">
        <f>MAX(0,N291-Calculator!$E$23)</f>
      </c>
      <c r="AG291" s="0">
        <f>MAX(0,O291-Calculator!$E$24)</f>
      </c>
      <c r="AH291" s="0">
        <f>MAX(0,P291-Calculator!$E$25)</f>
      </c>
      <c r="AI291" s="0">
        <f>MAX(0,Q291-Calculator!$E$26)</f>
      </c>
      <c r="AJ291" s="0">
        <f>MAX(0,R291-Calculator!$E$27)</f>
      </c>
      <c r="AK291" s="0">
        <f>MAX(0,S291-Calculator!$E$28)</f>
      </c>
      <c r="AL291" s="0">
        <f>MAX(0,MIN(T291,BX291-SUMPRODUCT(($T$2:$AK$2&lt;T$2)*($T291:$AK291))))</f>
      </c>
      <c r="AM291" s="0">
        <f>MAX(0,MIN(U291,BX291-SUMPRODUCT(($T$2:$AK$2&lt;U$2)*($T291:$AK291))))</f>
      </c>
      <c r="AN291" s="0">
        <f>MAX(0,MIN(V291,BX291-SUMPRODUCT(($T$2:$AK$2&lt;V$2)*($T291:$AK291))))</f>
      </c>
      <c r="AO291" s="0">
        <f>MAX(0,MIN(W291,BX291-SUMPRODUCT(($T$2:$AK$2&lt;W$2)*($T291:$AK291))))</f>
      </c>
      <c r="AP291" s="0">
        <f>MAX(0,MIN(X291,BX291-SUMPRODUCT(($T$2:$AK$2&lt;X$2)*($T291:$AK291))))</f>
      </c>
      <c r="AQ291" s="0">
        <f>MAX(0,MIN(Y291,BX291-SUMPRODUCT(($T$2:$AK$2&lt;Y$2)*($T291:$AK291))))</f>
      </c>
      <c r="AR291" s="0">
        <f>MAX(0,MIN(Z291,BX291-SUMPRODUCT(($T$2:$AK$2&lt;Z$2)*($T291:$AK291))))</f>
      </c>
      <c r="AS291" s="0">
        <f>MAX(0,MIN(AA291,BX291-SUMPRODUCT(($T$2:$AK$2&lt;AA$2)*($T291:$AK291))))</f>
      </c>
      <c r="AT291" s="0">
        <f>MAX(0,MIN(AB291,BX291-SUMPRODUCT(($T$2:$AK$2&lt;AB$2)*($T291:$AK291))))</f>
      </c>
      <c r="AU291" s="0">
        <f>MAX(0,MIN(AC291,BX291-SUMPRODUCT(($T$2:$AK$2&lt;AC$2)*($T291:$AK291))))</f>
      </c>
      <c r="AV291" s="0">
        <f>MAX(0,MIN(AD291,BX291-SUMPRODUCT(($T$2:$AK$2&lt;AD$2)*($T291:$AK291))))</f>
      </c>
      <c r="AW291" s="0">
        <f>MAX(0,MIN(AE291,BX291-SUMPRODUCT(($T$2:$AK$2&lt;AE$2)*($T291:$AK291))))</f>
      </c>
      <c r="AX291" s="0">
        <f>MAX(0,MIN(AF291,BX291-SUMPRODUCT(($T$2:$AK$2&lt;AF$2)*($T291:$AK291))))</f>
      </c>
      <c r="AY291" s="0">
        <f>MAX(0,MIN(AG291,BX291-SUMPRODUCT(($T$2:$AK$2&lt;AG$2)*($T291:$AK291))))</f>
      </c>
      <c r="AZ291" s="0">
        <f>MAX(0,MIN(AH291,BX291-SUMPRODUCT(($T$2:$AK$2&lt;AH$2)*($T291:$AK291))))</f>
      </c>
      <c r="BA291" s="0">
        <f>MAX(0,MIN(AI291,BX291-SUMPRODUCT(($T$2:$AK$2&lt;AI$2)*($T291:$AK291))))</f>
      </c>
      <c r="BB291" s="0">
        <f>MAX(0,MIN(AJ291,BX291-SUMPRODUCT(($T$2:$AK$2&lt;AJ$2)*($T291:$AK291))))</f>
      </c>
      <c r="BC291" s="0">
        <f>MAX(0,MIN(AK291,BX291-SUMPRODUCT(($T$2:$AK$2&lt;AK$2)*($T291:$AK291))))</f>
      </c>
      <c r="BD291" s="0">
        <f>T291-AL291</f>
      </c>
      <c r="BE291" s="0">
        <f>U291-AM291</f>
      </c>
      <c r="BF291" s="0">
        <f>V291-AN291</f>
      </c>
      <c r="BG291" s="0">
        <f>W291-AO291</f>
      </c>
      <c r="BH291" s="0">
        <f>X291-AP291</f>
      </c>
      <c r="BI291" s="0">
        <f>Y291-AQ291</f>
      </c>
      <c r="BJ291" s="0">
        <f>Z291-AR291</f>
      </c>
      <c r="BK291" s="0">
        <f>AA291-AS291</f>
      </c>
      <c r="BL291" s="0">
        <f>AB291-AT291</f>
      </c>
      <c r="BM291" s="0">
        <f>AC291-AU291</f>
      </c>
      <c r="BN291" s="0">
        <f>AD291-AV291</f>
      </c>
      <c r="BO291" s="0">
        <f>AE291-AW291</f>
      </c>
      <c r="BP291" s="0">
        <f>AF291-AX291</f>
      </c>
      <c r="BQ291" s="0">
        <f>AG291-AY291</f>
      </c>
      <c r="BR291" s="0">
        <f>AH291-AZ291</f>
      </c>
      <c r="BS291" s="0">
        <f>AI291-BA291</f>
      </c>
      <c r="BT291" s="0">
        <f>AJ291-BB291</f>
      </c>
      <c r="BU291" s="0">
        <f>AK291-BC291</f>
      </c>
      <c r="BV291" s="0">
        <f>SUM(B291:S291)</f>
      </c>
      <c r="BW291" s="0">
        <f>SUM(T291:AK291)</f>
      </c>
      <c r="BX291" s="0">
        <f>MAX(0,(SUM(Calculator!$E$11:$E$28)+Calculator!$C$6)-BV291+BW291)</f>
      </c>
      <c r="BY291" s="0">
        <f>SUM(BD291:BU291)</f>
      </c>
      <c r="BZ291" s="0">
        <f>BV291-BY290</f>
      </c>
      <c r="CA291" s="0">
        <f>IF(A291&lt;=IF($CD$1=0,999,$CD$1),BY291,NA())</f>
      </c>
      <c r="CB291" s="0">
        <f>IF(A291&lt;=IF($CD$1=0,999,$CD$1),A291,NA())</f>
      </c>
    </row>
    <row r="292">
      <c r="A292" s="0">
        <v>289</v>
      </c>
      <c r="B292" s="0">
        <f>BD291*(1+Calculator!$D$11/100/12)</f>
      </c>
      <c r="C292" s="0">
        <f>BE291*(1+Calculator!$D$12/100/12)</f>
      </c>
      <c r="D292" s="0">
        <f>BF291*(1+Calculator!$D$13/100/12)</f>
      </c>
      <c r="E292" s="0">
        <f>BG291*(1+Calculator!$D$14/100/12)</f>
      </c>
      <c r="F292" s="0">
        <f>BH291*(1+Calculator!$D$15/100/12)</f>
      </c>
      <c r="G292" s="0">
        <f>BI291*(1+Calculator!$D$16/100/12)</f>
      </c>
      <c r="H292" s="0">
        <f>BJ291*(1+Calculator!$D$17/100/12)</f>
      </c>
      <c r="I292" s="0">
        <f>BK291*(1+Calculator!$D$18/100/12)</f>
      </c>
      <c r="J292" s="0">
        <f>BL291*(1+Calculator!$D$19/100/12)</f>
      </c>
      <c r="K292" s="0">
        <f>BM291*(1+Calculator!$D$20/100/12)</f>
      </c>
      <c r="L292" s="0">
        <f>BN291*(1+Calculator!$D$21/100/12)</f>
      </c>
      <c r="M292" s="0">
        <f>BO291*(1+Calculator!$D$22/100/12)</f>
      </c>
      <c r="N292" s="0">
        <f>BP291*(1+Calculator!$D$23/100/12)</f>
      </c>
      <c r="O292" s="0">
        <f>BQ291*(1+Calculator!$D$24/100/12)</f>
      </c>
      <c r="P292" s="0">
        <f>BR291*(1+Calculator!$D$25/100/12)</f>
      </c>
      <c r="Q292" s="0">
        <f>BS291*(1+Calculator!$D$26/100/12)</f>
      </c>
      <c r="R292" s="0">
        <f>BT291*(1+Calculator!$D$27/100/12)</f>
      </c>
      <c r="S292" s="0">
        <f>BU291*(1+Calculator!$D$28/100/12)</f>
      </c>
      <c r="T292" s="0">
        <f>MAX(0,B292-Calculator!$E$11)</f>
      </c>
      <c r="U292" s="0">
        <f>MAX(0,C292-Calculator!$E$12)</f>
      </c>
      <c r="V292" s="0">
        <f>MAX(0,D292-Calculator!$E$13)</f>
      </c>
      <c r="W292" s="0">
        <f>MAX(0,E292-Calculator!$E$14)</f>
      </c>
      <c r="X292" s="0">
        <f>MAX(0,F292-Calculator!$E$15)</f>
      </c>
      <c r="Y292" s="0">
        <f>MAX(0,G292-Calculator!$E$16)</f>
      </c>
      <c r="Z292" s="0">
        <f>MAX(0,H292-Calculator!$E$17)</f>
      </c>
      <c r="AA292" s="0">
        <f>MAX(0,I292-Calculator!$E$18)</f>
      </c>
      <c r="AB292" s="0">
        <f>MAX(0,J292-Calculator!$E$19)</f>
      </c>
      <c r="AC292" s="0">
        <f>MAX(0,K292-Calculator!$E$20)</f>
      </c>
      <c r="AD292" s="0">
        <f>MAX(0,L292-Calculator!$E$21)</f>
      </c>
      <c r="AE292" s="0">
        <f>MAX(0,M292-Calculator!$E$22)</f>
      </c>
      <c r="AF292" s="0">
        <f>MAX(0,N292-Calculator!$E$23)</f>
      </c>
      <c r="AG292" s="0">
        <f>MAX(0,O292-Calculator!$E$24)</f>
      </c>
      <c r="AH292" s="0">
        <f>MAX(0,P292-Calculator!$E$25)</f>
      </c>
      <c r="AI292" s="0">
        <f>MAX(0,Q292-Calculator!$E$26)</f>
      </c>
      <c r="AJ292" s="0">
        <f>MAX(0,R292-Calculator!$E$27)</f>
      </c>
      <c r="AK292" s="0">
        <f>MAX(0,S292-Calculator!$E$28)</f>
      </c>
      <c r="AL292" s="0">
        <f>MAX(0,MIN(T292,BX292-SUMPRODUCT(($T$2:$AK$2&lt;T$2)*($T292:$AK292))))</f>
      </c>
      <c r="AM292" s="0">
        <f>MAX(0,MIN(U292,BX292-SUMPRODUCT(($T$2:$AK$2&lt;U$2)*($T292:$AK292))))</f>
      </c>
      <c r="AN292" s="0">
        <f>MAX(0,MIN(V292,BX292-SUMPRODUCT(($T$2:$AK$2&lt;V$2)*($T292:$AK292))))</f>
      </c>
      <c r="AO292" s="0">
        <f>MAX(0,MIN(W292,BX292-SUMPRODUCT(($T$2:$AK$2&lt;W$2)*($T292:$AK292))))</f>
      </c>
      <c r="AP292" s="0">
        <f>MAX(0,MIN(X292,BX292-SUMPRODUCT(($T$2:$AK$2&lt;X$2)*($T292:$AK292))))</f>
      </c>
      <c r="AQ292" s="0">
        <f>MAX(0,MIN(Y292,BX292-SUMPRODUCT(($T$2:$AK$2&lt;Y$2)*($T292:$AK292))))</f>
      </c>
      <c r="AR292" s="0">
        <f>MAX(0,MIN(Z292,BX292-SUMPRODUCT(($T$2:$AK$2&lt;Z$2)*($T292:$AK292))))</f>
      </c>
      <c r="AS292" s="0">
        <f>MAX(0,MIN(AA292,BX292-SUMPRODUCT(($T$2:$AK$2&lt;AA$2)*($T292:$AK292))))</f>
      </c>
      <c r="AT292" s="0">
        <f>MAX(0,MIN(AB292,BX292-SUMPRODUCT(($T$2:$AK$2&lt;AB$2)*($T292:$AK292))))</f>
      </c>
      <c r="AU292" s="0">
        <f>MAX(0,MIN(AC292,BX292-SUMPRODUCT(($T$2:$AK$2&lt;AC$2)*($T292:$AK292))))</f>
      </c>
      <c r="AV292" s="0">
        <f>MAX(0,MIN(AD292,BX292-SUMPRODUCT(($T$2:$AK$2&lt;AD$2)*($T292:$AK292))))</f>
      </c>
      <c r="AW292" s="0">
        <f>MAX(0,MIN(AE292,BX292-SUMPRODUCT(($T$2:$AK$2&lt;AE$2)*($T292:$AK292))))</f>
      </c>
      <c r="AX292" s="0">
        <f>MAX(0,MIN(AF292,BX292-SUMPRODUCT(($T$2:$AK$2&lt;AF$2)*($T292:$AK292))))</f>
      </c>
      <c r="AY292" s="0">
        <f>MAX(0,MIN(AG292,BX292-SUMPRODUCT(($T$2:$AK$2&lt;AG$2)*($T292:$AK292))))</f>
      </c>
      <c r="AZ292" s="0">
        <f>MAX(0,MIN(AH292,BX292-SUMPRODUCT(($T$2:$AK$2&lt;AH$2)*($T292:$AK292))))</f>
      </c>
      <c r="BA292" s="0">
        <f>MAX(0,MIN(AI292,BX292-SUMPRODUCT(($T$2:$AK$2&lt;AI$2)*($T292:$AK292))))</f>
      </c>
      <c r="BB292" s="0">
        <f>MAX(0,MIN(AJ292,BX292-SUMPRODUCT(($T$2:$AK$2&lt;AJ$2)*($T292:$AK292))))</f>
      </c>
      <c r="BC292" s="0">
        <f>MAX(0,MIN(AK292,BX292-SUMPRODUCT(($T$2:$AK$2&lt;AK$2)*($T292:$AK292))))</f>
      </c>
      <c r="BD292" s="0">
        <f>T292-AL292</f>
      </c>
      <c r="BE292" s="0">
        <f>U292-AM292</f>
      </c>
      <c r="BF292" s="0">
        <f>V292-AN292</f>
      </c>
      <c r="BG292" s="0">
        <f>W292-AO292</f>
      </c>
      <c r="BH292" s="0">
        <f>X292-AP292</f>
      </c>
      <c r="BI292" s="0">
        <f>Y292-AQ292</f>
      </c>
      <c r="BJ292" s="0">
        <f>Z292-AR292</f>
      </c>
      <c r="BK292" s="0">
        <f>AA292-AS292</f>
      </c>
      <c r="BL292" s="0">
        <f>AB292-AT292</f>
      </c>
      <c r="BM292" s="0">
        <f>AC292-AU292</f>
      </c>
      <c r="BN292" s="0">
        <f>AD292-AV292</f>
      </c>
      <c r="BO292" s="0">
        <f>AE292-AW292</f>
      </c>
      <c r="BP292" s="0">
        <f>AF292-AX292</f>
      </c>
      <c r="BQ292" s="0">
        <f>AG292-AY292</f>
      </c>
      <c r="BR292" s="0">
        <f>AH292-AZ292</f>
      </c>
      <c r="BS292" s="0">
        <f>AI292-BA292</f>
      </c>
      <c r="BT292" s="0">
        <f>AJ292-BB292</f>
      </c>
      <c r="BU292" s="0">
        <f>AK292-BC292</f>
      </c>
      <c r="BV292" s="0">
        <f>SUM(B292:S292)</f>
      </c>
      <c r="BW292" s="0">
        <f>SUM(T292:AK292)</f>
      </c>
      <c r="BX292" s="0">
        <f>MAX(0,(SUM(Calculator!$E$11:$E$28)+Calculator!$C$6)-BV292+BW292)</f>
      </c>
      <c r="BY292" s="0">
        <f>SUM(BD292:BU292)</f>
      </c>
      <c r="BZ292" s="0">
        <f>BV292-BY291</f>
      </c>
      <c r="CA292" s="0">
        <f>IF(A292&lt;=IF($CD$1=0,999,$CD$1),BY292,NA())</f>
      </c>
      <c r="CB292" s="0">
        <f>IF(A292&lt;=IF($CD$1=0,999,$CD$1),A292,NA())</f>
      </c>
    </row>
    <row r="293">
      <c r="A293" s="0">
        <v>290</v>
      </c>
      <c r="B293" s="0">
        <f>BD292*(1+Calculator!$D$11/100/12)</f>
      </c>
      <c r="C293" s="0">
        <f>BE292*(1+Calculator!$D$12/100/12)</f>
      </c>
      <c r="D293" s="0">
        <f>BF292*(1+Calculator!$D$13/100/12)</f>
      </c>
      <c r="E293" s="0">
        <f>BG292*(1+Calculator!$D$14/100/12)</f>
      </c>
      <c r="F293" s="0">
        <f>BH292*(1+Calculator!$D$15/100/12)</f>
      </c>
      <c r="G293" s="0">
        <f>BI292*(1+Calculator!$D$16/100/12)</f>
      </c>
      <c r="H293" s="0">
        <f>BJ292*(1+Calculator!$D$17/100/12)</f>
      </c>
      <c r="I293" s="0">
        <f>BK292*(1+Calculator!$D$18/100/12)</f>
      </c>
      <c r="J293" s="0">
        <f>BL292*(1+Calculator!$D$19/100/12)</f>
      </c>
      <c r="K293" s="0">
        <f>BM292*(1+Calculator!$D$20/100/12)</f>
      </c>
      <c r="L293" s="0">
        <f>BN292*(1+Calculator!$D$21/100/12)</f>
      </c>
      <c r="M293" s="0">
        <f>BO292*(1+Calculator!$D$22/100/12)</f>
      </c>
      <c r="N293" s="0">
        <f>BP292*(1+Calculator!$D$23/100/12)</f>
      </c>
      <c r="O293" s="0">
        <f>BQ292*(1+Calculator!$D$24/100/12)</f>
      </c>
      <c r="P293" s="0">
        <f>BR292*(1+Calculator!$D$25/100/12)</f>
      </c>
      <c r="Q293" s="0">
        <f>BS292*(1+Calculator!$D$26/100/12)</f>
      </c>
      <c r="R293" s="0">
        <f>BT292*(1+Calculator!$D$27/100/12)</f>
      </c>
      <c r="S293" s="0">
        <f>BU292*(1+Calculator!$D$28/100/12)</f>
      </c>
      <c r="T293" s="0">
        <f>MAX(0,B293-Calculator!$E$11)</f>
      </c>
      <c r="U293" s="0">
        <f>MAX(0,C293-Calculator!$E$12)</f>
      </c>
      <c r="V293" s="0">
        <f>MAX(0,D293-Calculator!$E$13)</f>
      </c>
      <c r="W293" s="0">
        <f>MAX(0,E293-Calculator!$E$14)</f>
      </c>
      <c r="X293" s="0">
        <f>MAX(0,F293-Calculator!$E$15)</f>
      </c>
      <c r="Y293" s="0">
        <f>MAX(0,G293-Calculator!$E$16)</f>
      </c>
      <c r="Z293" s="0">
        <f>MAX(0,H293-Calculator!$E$17)</f>
      </c>
      <c r="AA293" s="0">
        <f>MAX(0,I293-Calculator!$E$18)</f>
      </c>
      <c r="AB293" s="0">
        <f>MAX(0,J293-Calculator!$E$19)</f>
      </c>
      <c r="AC293" s="0">
        <f>MAX(0,K293-Calculator!$E$20)</f>
      </c>
      <c r="AD293" s="0">
        <f>MAX(0,L293-Calculator!$E$21)</f>
      </c>
      <c r="AE293" s="0">
        <f>MAX(0,M293-Calculator!$E$22)</f>
      </c>
      <c r="AF293" s="0">
        <f>MAX(0,N293-Calculator!$E$23)</f>
      </c>
      <c r="AG293" s="0">
        <f>MAX(0,O293-Calculator!$E$24)</f>
      </c>
      <c r="AH293" s="0">
        <f>MAX(0,P293-Calculator!$E$25)</f>
      </c>
      <c r="AI293" s="0">
        <f>MAX(0,Q293-Calculator!$E$26)</f>
      </c>
      <c r="AJ293" s="0">
        <f>MAX(0,R293-Calculator!$E$27)</f>
      </c>
      <c r="AK293" s="0">
        <f>MAX(0,S293-Calculator!$E$28)</f>
      </c>
      <c r="AL293" s="0">
        <f>MAX(0,MIN(T293,BX293-SUMPRODUCT(($T$2:$AK$2&lt;T$2)*($T293:$AK293))))</f>
      </c>
      <c r="AM293" s="0">
        <f>MAX(0,MIN(U293,BX293-SUMPRODUCT(($T$2:$AK$2&lt;U$2)*($T293:$AK293))))</f>
      </c>
      <c r="AN293" s="0">
        <f>MAX(0,MIN(V293,BX293-SUMPRODUCT(($T$2:$AK$2&lt;V$2)*($T293:$AK293))))</f>
      </c>
      <c r="AO293" s="0">
        <f>MAX(0,MIN(W293,BX293-SUMPRODUCT(($T$2:$AK$2&lt;W$2)*($T293:$AK293))))</f>
      </c>
      <c r="AP293" s="0">
        <f>MAX(0,MIN(X293,BX293-SUMPRODUCT(($T$2:$AK$2&lt;X$2)*($T293:$AK293))))</f>
      </c>
      <c r="AQ293" s="0">
        <f>MAX(0,MIN(Y293,BX293-SUMPRODUCT(($T$2:$AK$2&lt;Y$2)*($T293:$AK293))))</f>
      </c>
      <c r="AR293" s="0">
        <f>MAX(0,MIN(Z293,BX293-SUMPRODUCT(($T$2:$AK$2&lt;Z$2)*($T293:$AK293))))</f>
      </c>
      <c r="AS293" s="0">
        <f>MAX(0,MIN(AA293,BX293-SUMPRODUCT(($T$2:$AK$2&lt;AA$2)*($T293:$AK293))))</f>
      </c>
      <c r="AT293" s="0">
        <f>MAX(0,MIN(AB293,BX293-SUMPRODUCT(($T$2:$AK$2&lt;AB$2)*($T293:$AK293))))</f>
      </c>
      <c r="AU293" s="0">
        <f>MAX(0,MIN(AC293,BX293-SUMPRODUCT(($T$2:$AK$2&lt;AC$2)*($T293:$AK293))))</f>
      </c>
      <c r="AV293" s="0">
        <f>MAX(0,MIN(AD293,BX293-SUMPRODUCT(($T$2:$AK$2&lt;AD$2)*($T293:$AK293))))</f>
      </c>
      <c r="AW293" s="0">
        <f>MAX(0,MIN(AE293,BX293-SUMPRODUCT(($T$2:$AK$2&lt;AE$2)*($T293:$AK293))))</f>
      </c>
      <c r="AX293" s="0">
        <f>MAX(0,MIN(AF293,BX293-SUMPRODUCT(($T$2:$AK$2&lt;AF$2)*($T293:$AK293))))</f>
      </c>
      <c r="AY293" s="0">
        <f>MAX(0,MIN(AG293,BX293-SUMPRODUCT(($T$2:$AK$2&lt;AG$2)*($T293:$AK293))))</f>
      </c>
      <c r="AZ293" s="0">
        <f>MAX(0,MIN(AH293,BX293-SUMPRODUCT(($T$2:$AK$2&lt;AH$2)*($T293:$AK293))))</f>
      </c>
      <c r="BA293" s="0">
        <f>MAX(0,MIN(AI293,BX293-SUMPRODUCT(($T$2:$AK$2&lt;AI$2)*($T293:$AK293))))</f>
      </c>
      <c r="BB293" s="0">
        <f>MAX(0,MIN(AJ293,BX293-SUMPRODUCT(($T$2:$AK$2&lt;AJ$2)*($T293:$AK293))))</f>
      </c>
      <c r="BC293" s="0">
        <f>MAX(0,MIN(AK293,BX293-SUMPRODUCT(($T$2:$AK$2&lt;AK$2)*($T293:$AK293))))</f>
      </c>
      <c r="BD293" s="0">
        <f>T293-AL293</f>
      </c>
      <c r="BE293" s="0">
        <f>U293-AM293</f>
      </c>
      <c r="BF293" s="0">
        <f>V293-AN293</f>
      </c>
      <c r="BG293" s="0">
        <f>W293-AO293</f>
      </c>
      <c r="BH293" s="0">
        <f>X293-AP293</f>
      </c>
      <c r="BI293" s="0">
        <f>Y293-AQ293</f>
      </c>
      <c r="BJ293" s="0">
        <f>Z293-AR293</f>
      </c>
      <c r="BK293" s="0">
        <f>AA293-AS293</f>
      </c>
      <c r="BL293" s="0">
        <f>AB293-AT293</f>
      </c>
      <c r="BM293" s="0">
        <f>AC293-AU293</f>
      </c>
      <c r="BN293" s="0">
        <f>AD293-AV293</f>
      </c>
      <c r="BO293" s="0">
        <f>AE293-AW293</f>
      </c>
      <c r="BP293" s="0">
        <f>AF293-AX293</f>
      </c>
      <c r="BQ293" s="0">
        <f>AG293-AY293</f>
      </c>
      <c r="BR293" s="0">
        <f>AH293-AZ293</f>
      </c>
      <c r="BS293" s="0">
        <f>AI293-BA293</f>
      </c>
      <c r="BT293" s="0">
        <f>AJ293-BB293</f>
      </c>
      <c r="BU293" s="0">
        <f>AK293-BC293</f>
      </c>
      <c r="BV293" s="0">
        <f>SUM(B293:S293)</f>
      </c>
      <c r="BW293" s="0">
        <f>SUM(T293:AK293)</f>
      </c>
      <c r="BX293" s="0">
        <f>MAX(0,(SUM(Calculator!$E$11:$E$28)+Calculator!$C$6)-BV293+BW293)</f>
      </c>
      <c r="BY293" s="0">
        <f>SUM(BD293:BU293)</f>
      </c>
      <c r="BZ293" s="0">
        <f>BV293-BY292</f>
      </c>
      <c r="CA293" s="0">
        <f>IF(A293&lt;=IF($CD$1=0,999,$CD$1),BY293,NA())</f>
      </c>
      <c r="CB293" s="0">
        <f>IF(A293&lt;=IF($CD$1=0,999,$CD$1),A293,NA())</f>
      </c>
    </row>
    <row r="294">
      <c r="A294" s="0">
        <v>291</v>
      </c>
      <c r="B294" s="0">
        <f>BD293*(1+Calculator!$D$11/100/12)</f>
      </c>
      <c r="C294" s="0">
        <f>BE293*(1+Calculator!$D$12/100/12)</f>
      </c>
      <c r="D294" s="0">
        <f>BF293*(1+Calculator!$D$13/100/12)</f>
      </c>
      <c r="E294" s="0">
        <f>BG293*(1+Calculator!$D$14/100/12)</f>
      </c>
      <c r="F294" s="0">
        <f>BH293*(1+Calculator!$D$15/100/12)</f>
      </c>
      <c r="G294" s="0">
        <f>BI293*(1+Calculator!$D$16/100/12)</f>
      </c>
      <c r="H294" s="0">
        <f>BJ293*(1+Calculator!$D$17/100/12)</f>
      </c>
      <c r="I294" s="0">
        <f>BK293*(1+Calculator!$D$18/100/12)</f>
      </c>
      <c r="J294" s="0">
        <f>BL293*(1+Calculator!$D$19/100/12)</f>
      </c>
      <c r="K294" s="0">
        <f>BM293*(1+Calculator!$D$20/100/12)</f>
      </c>
      <c r="L294" s="0">
        <f>BN293*(1+Calculator!$D$21/100/12)</f>
      </c>
      <c r="M294" s="0">
        <f>BO293*(1+Calculator!$D$22/100/12)</f>
      </c>
      <c r="N294" s="0">
        <f>BP293*(1+Calculator!$D$23/100/12)</f>
      </c>
      <c r="O294" s="0">
        <f>BQ293*(1+Calculator!$D$24/100/12)</f>
      </c>
      <c r="P294" s="0">
        <f>BR293*(1+Calculator!$D$25/100/12)</f>
      </c>
      <c r="Q294" s="0">
        <f>BS293*(1+Calculator!$D$26/100/12)</f>
      </c>
      <c r="R294" s="0">
        <f>BT293*(1+Calculator!$D$27/100/12)</f>
      </c>
      <c r="S294" s="0">
        <f>BU293*(1+Calculator!$D$28/100/12)</f>
      </c>
      <c r="T294" s="0">
        <f>MAX(0,B294-Calculator!$E$11)</f>
      </c>
      <c r="U294" s="0">
        <f>MAX(0,C294-Calculator!$E$12)</f>
      </c>
      <c r="V294" s="0">
        <f>MAX(0,D294-Calculator!$E$13)</f>
      </c>
      <c r="W294" s="0">
        <f>MAX(0,E294-Calculator!$E$14)</f>
      </c>
      <c r="X294" s="0">
        <f>MAX(0,F294-Calculator!$E$15)</f>
      </c>
      <c r="Y294" s="0">
        <f>MAX(0,G294-Calculator!$E$16)</f>
      </c>
      <c r="Z294" s="0">
        <f>MAX(0,H294-Calculator!$E$17)</f>
      </c>
      <c r="AA294" s="0">
        <f>MAX(0,I294-Calculator!$E$18)</f>
      </c>
      <c r="AB294" s="0">
        <f>MAX(0,J294-Calculator!$E$19)</f>
      </c>
      <c r="AC294" s="0">
        <f>MAX(0,K294-Calculator!$E$20)</f>
      </c>
      <c r="AD294" s="0">
        <f>MAX(0,L294-Calculator!$E$21)</f>
      </c>
      <c r="AE294" s="0">
        <f>MAX(0,M294-Calculator!$E$22)</f>
      </c>
      <c r="AF294" s="0">
        <f>MAX(0,N294-Calculator!$E$23)</f>
      </c>
      <c r="AG294" s="0">
        <f>MAX(0,O294-Calculator!$E$24)</f>
      </c>
      <c r="AH294" s="0">
        <f>MAX(0,P294-Calculator!$E$25)</f>
      </c>
      <c r="AI294" s="0">
        <f>MAX(0,Q294-Calculator!$E$26)</f>
      </c>
      <c r="AJ294" s="0">
        <f>MAX(0,R294-Calculator!$E$27)</f>
      </c>
      <c r="AK294" s="0">
        <f>MAX(0,S294-Calculator!$E$28)</f>
      </c>
      <c r="AL294" s="0">
        <f>MAX(0,MIN(T294,BX294-SUMPRODUCT(($T$2:$AK$2&lt;T$2)*($T294:$AK294))))</f>
      </c>
      <c r="AM294" s="0">
        <f>MAX(0,MIN(U294,BX294-SUMPRODUCT(($T$2:$AK$2&lt;U$2)*($T294:$AK294))))</f>
      </c>
      <c r="AN294" s="0">
        <f>MAX(0,MIN(V294,BX294-SUMPRODUCT(($T$2:$AK$2&lt;V$2)*($T294:$AK294))))</f>
      </c>
      <c r="AO294" s="0">
        <f>MAX(0,MIN(W294,BX294-SUMPRODUCT(($T$2:$AK$2&lt;W$2)*($T294:$AK294))))</f>
      </c>
      <c r="AP294" s="0">
        <f>MAX(0,MIN(X294,BX294-SUMPRODUCT(($T$2:$AK$2&lt;X$2)*($T294:$AK294))))</f>
      </c>
      <c r="AQ294" s="0">
        <f>MAX(0,MIN(Y294,BX294-SUMPRODUCT(($T$2:$AK$2&lt;Y$2)*($T294:$AK294))))</f>
      </c>
      <c r="AR294" s="0">
        <f>MAX(0,MIN(Z294,BX294-SUMPRODUCT(($T$2:$AK$2&lt;Z$2)*($T294:$AK294))))</f>
      </c>
      <c r="AS294" s="0">
        <f>MAX(0,MIN(AA294,BX294-SUMPRODUCT(($T$2:$AK$2&lt;AA$2)*($T294:$AK294))))</f>
      </c>
      <c r="AT294" s="0">
        <f>MAX(0,MIN(AB294,BX294-SUMPRODUCT(($T$2:$AK$2&lt;AB$2)*($T294:$AK294))))</f>
      </c>
      <c r="AU294" s="0">
        <f>MAX(0,MIN(AC294,BX294-SUMPRODUCT(($T$2:$AK$2&lt;AC$2)*($T294:$AK294))))</f>
      </c>
      <c r="AV294" s="0">
        <f>MAX(0,MIN(AD294,BX294-SUMPRODUCT(($T$2:$AK$2&lt;AD$2)*($T294:$AK294))))</f>
      </c>
      <c r="AW294" s="0">
        <f>MAX(0,MIN(AE294,BX294-SUMPRODUCT(($T$2:$AK$2&lt;AE$2)*($T294:$AK294))))</f>
      </c>
      <c r="AX294" s="0">
        <f>MAX(0,MIN(AF294,BX294-SUMPRODUCT(($T$2:$AK$2&lt;AF$2)*($T294:$AK294))))</f>
      </c>
      <c r="AY294" s="0">
        <f>MAX(0,MIN(AG294,BX294-SUMPRODUCT(($T$2:$AK$2&lt;AG$2)*($T294:$AK294))))</f>
      </c>
      <c r="AZ294" s="0">
        <f>MAX(0,MIN(AH294,BX294-SUMPRODUCT(($T$2:$AK$2&lt;AH$2)*($T294:$AK294))))</f>
      </c>
      <c r="BA294" s="0">
        <f>MAX(0,MIN(AI294,BX294-SUMPRODUCT(($T$2:$AK$2&lt;AI$2)*($T294:$AK294))))</f>
      </c>
      <c r="BB294" s="0">
        <f>MAX(0,MIN(AJ294,BX294-SUMPRODUCT(($T$2:$AK$2&lt;AJ$2)*($T294:$AK294))))</f>
      </c>
      <c r="BC294" s="0">
        <f>MAX(0,MIN(AK294,BX294-SUMPRODUCT(($T$2:$AK$2&lt;AK$2)*($T294:$AK294))))</f>
      </c>
      <c r="BD294" s="0">
        <f>T294-AL294</f>
      </c>
      <c r="BE294" s="0">
        <f>U294-AM294</f>
      </c>
      <c r="BF294" s="0">
        <f>V294-AN294</f>
      </c>
      <c r="BG294" s="0">
        <f>W294-AO294</f>
      </c>
      <c r="BH294" s="0">
        <f>X294-AP294</f>
      </c>
      <c r="BI294" s="0">
        <f>Y294-AQ294</f>
      </c>
      <c r="BJ294" s="0">
        <f>Z294-AR294</f>
      </c>
      <c r="BK294" s="0">
        <f>AA294-AS294</f>
      </c>
      <c r="BL294" s="0">
        <f>AB294-AT294</f>
      </c>
      <c r="BM294" s="0">
        <f>AC294-AU294</f>
      </c>
      <c r="BN294" s="0">
        <f>AD294-AV294</f>
      </c>
      <c r="BO294" s="0">
        <f>AE294-AW294</f>
      </c>
      <c r="BP294" s="0">
        <f>AF294-AX294</f>
      </c>
      <c r="BQ294" s="0">
        <f>AG294-AY294</f>
      </c>
      <c r="BR294" s="0">
        <f>AH294-AZ294</f>
      </c>
      <c r="BS294" s="0">
        <f>AI294-BA294</f>
      </c>
      <c r="BT294" s="0">
        <f>AJ294-BB294</f>
      </c>
      <c r="BU294" s="0">
        <f>AK294-BC294</f>
      </c>
      <c r="BV294" s="0">
        <f>SUM(B294:S294)</f>
      </c>
      <c r="BW294" s="0">
        <f>SUM(T294:AK294)</f>
      </c>
      <c r="BX294" s="0">
        <f>MAX(0,(SUM(Calculator!$E$11:$E$28)+Calculator!$C$6)-BV294+BW294)</f>
      </c>
      <c r="BY294" s="0">
        <f>SUM(BD294:BU294)</f>
      </c>
      <c r="BZ294" s="0">
        <f>BV294-BY293</f>
      </c>
      <c r="CA294" s="0">
        <f>IF(A294&lt;=IF($CD$1=0,999,$CD$1),BY294,NA())</f>
      </c>
      <c r="CB294" s="0">
        <f>IF(A294&lt;=IF($CD$1=0,999,$CD$1),A294,NA())</f>
      </c>
    </row>
    <row r="295">
      <c r="A295" s="0">
        <v>292</v>
      </c>
      <c r="B295" s="0">
        <f>BD294*(1+Calculator!$D$11/100/12)</f>
      </c>
      <c r="C295" s="0">
        <f>BE294*(1+Calculator!$D$12/100/12)</f>
      </c>
      <c r="D295" s="0">
        <f>BF294*(1+Calculator!$D$13/100/12)</f>
      </c>
      <c r="E295" s="0">
        <f>BG294*(1+Calculator!$D$14/100/12)</f>
      </c>
      <c r="F295" s="0">
        <f>BH294*(1+Calculator!$D$15/100/12)</f>
      </c>
      <c r="G295" s="0">
        <f>BI294*(1+Calculator!$D$16/100/12)</f>
      </c>
      <c r="H295" s="0">
        <f>BJ294*(1+Calculator!$D$17/100/12)</f>
      </c>
      <c r="I295" s="0">
        <f>BK294*(1+Calculator!$D$18/100/12)</f>
      </c>
      <c r="J295" s="0">
        <f>BL294*(1+Calculator!$D$19/100/12)</f>
      </c>
      <c r="K295" s="0">
        <f>BM294*(1+Calculator!$D$20/100/12)</f>
      </c>
      <c r="L295" s="0">
        <f>BN294*(1+Calculator!$D$21/100/12)</f>
      </c>
      <c r="M295" s="0">
        <f>BO294*(1+Calculator!$D$22/100/12)</f>
      </c>
      <c r="N295" s="0">
        <f>BP294*(1+Calculator!$D$23/100/12)</f>
      </c>
      <c r="O295" s="0">
        <f>BQ294*(1+Calculator!$D$24/100/12)</f>
      </c>
      <c r="P295" s="0">
        <f>BR294*(1+Calculator!$D$25/100/12)</f>
      </c>
      <c r="Q295" s="0">
        <f>BS294*(1+Calculator!$D$26/100/12)</f>
      </c>
      <c r="R295" s="0">
        <f>BT294*(1+Calculator!$D$27/100/12)</f>
      </c>
      <c r="S295" s="0">
        <f>BU294*(1+Calculator!$D$28/100/12)</f>
      </c>
      <c r="T295" s="0">
        <f>MAX(0,B295-Calculator!$E$11)</f>
      </c>
      <c r="U295" s="0">
        <f>MAX(0,C295-Calculator!$E$12)</f>
      </c>
      <c r="V295" s="0">
        <f>MAX(0,D295-Calculator!$E$13)</f>
      </c>
      <c r="W295" s="0">
        <f>MAX(0,E295-Calculator!$E$14)</f>
      </c>
      <c r="X295" s="0">
        <f>MAX(0,F295-Calculator!$E$15)</f>
      </c>
      <c r="Y295" s="0">
        <f>MAX(0,G295-Calculator!$E$16)</f>
      </c>
      <c r="Z295" s="0">
        <f>MAX(0,H295-Calculator!$E$17)</f>
      </c>
      <c r="AA295" s="0">
        <f>MAX(0,I295-Calculator!$E$18)</f>
      </c>
      <c r="AB295" s="0">
        <f>MAX(0,J295-Calculator!$E$19)</f>
      </c>
      <c r="AC295" s="0">
        <f>MAX(0,K295-Calculator!$E$20)</f>
      </c>
      <c r="AD295" s="0">
        <f>MAX(0,L295-Calculator!$E$21)</f>
      </c>
      <c r="AE295" s="0">
        <f>MAX(0,M295-Calculator!$E$22)</f>
      </c>
      <c r="AF295" s="0">
        <f>MAX(0,N295-Calculator!$E$23)</f>
      </c>
      <c r="AG295" s="0">
        <f>MAX(0,O295-Calculator!$E$24)</f>
      </c>
      <c r="AH295" s="0">
        <f>MAX(0,P295-Calculator!$E$25)</f>
      </c>
      <c r="AI295" s="0">
        <f>MAX(0,Q295-Calculator!$E$26)</f>
      </c>
      <c r="AJ295" s="0">
        <f>MAX(0,R295-Calculator!$E$27)</f>
      </c>
      <c r="AK295" s="0">
        <f>MAX(0,S295-Calculator!$E$28)</f>
      </c>
      <c r="AL295" s="0">
        <f>MAX(0,MIN(T295,BX295-SUMPRODUCT(($T$2:$AK$2&lt;T$2)*($T295:$AK295))))</f>
      </c>
      <c r="AM295" s="0">
        <f>MAX(0,MIN(U295,BX295-SUMPRODUCT(($T$2:$AK$2&lt;U$2)*($T295:$AK295))))</f>
      </c>
      <c r="AN295" s="0">
        <f>MAX(0,MIN(V295,BX295-SUMPRODUCT(($T$2:$AK$2&lt;V$2)*($T295:$AK295))))</f>
      </c>
      <c r="AO295" s="0">
        <f>MAX(0,MIN(W295,BX295-SUMPRODUCT(($T$2:$AK$2&lt;W$2)*($T295:$AK295))))</f>
      </c>
      <c r="AP295" s="0">
        <f>MAX(0,MIN(X295,BX295-SUMPRODUCT(($T$2:$AK$2&lt;X$2)*($T295:$AK295))))</f>
      </c>
      <c r="AQ295" s="0">
        <f>MAX(0,MIN(Y295,BX295-SUMPRODUCT(($T$2:$AK$2&lt;Y$2)*($T295:$AK295))))</f>
      </c>
      <c r="AR295" s="0">
        <f>MAX(0,MIN(Z295,BX295-SUMPRODUCT(($T$2:$AK$2&lt;Z$2)*($T295:$AK295))))</f>
      </c>
      <c r="AS295" s="0">
        <f>MAX(0,MIN(AA295,BX295-SUMPRODUCT(($T$2:$AK$2&lt;AA$2)*($T295:$AK295))))</f>
      </c>
      <c r="AT295" s="0">
        <f>MAX(0,MIN(AB295,BX295-SUMPRODUCT(($T$2:$AK$2&lt;AB$2)*($T295:$AK295))))</f>
      </c>
      <c r="AU295" s="0">
        <f>MAX(0,MIN(AC295,BX295-SUMPRODUCT(($T$2:$AK$2&lt;AC$2)*($T295:$AK295))))</f>
      </c>
      <c r="AV295" s="0">
        <f>MAX(0,MIN(AD295,BX295-SUMPRODUCT(($T$2:$AK$2&lt;AD$2)*($T295:$AK295))))</f>
      </c>
      <c r="AW295" s="0">
        <f>MAX(0,MIN(AE295,BX295-SUMPRODUCT(($T$2:$AK$2&lt;AE$2)*($T295:$AK295))))</f>
      </c>
      <c r="AX295" s="0">
        <f>MAX(0,MIN(AF295,BX295-SUMPRODUCT(($T$2:$AK$2&lt;AF$2)*($T295:$AK295))))</f>
      </c>
      <c r="AY295" s="0">
        <f>MAX(0,MIN(AG295,BX295-SUMPRODUCT(($T$2:$AK$2&lt;AG$2)*($T295:$AK295))))</f>
      </c>
      <c r="AZ295" s="0">
        <f>MAX(0,MIN(AH295,BX295-SUMPRODUCT(($T$2:$AK$2&lt;AH$2)*($T295:$AK295))))</f>
      </c>
      <c r="BA295" s="0">
        <f>MAX(0,MIN(AI295,BX295-SUMPRODUCT(($T$2:$AK$2&lt;AI$2)*($T295:$AK295))))</f>
      </c>
      <c r="BB295" s="0">
        <f>MAX(0,MIN(AJ295,BX295-SUMPRODUCT(($T$2:$AK$2&lt;AJ$2)*($T295:$AK295))))</f>
      </c>
      <c r="BC295" s="0">
        <f>MAX(0,MIN(AK295,BX295-SUMPRODUCT(($T$2:$AK$2&lt;AK$2)*($T295:$AK295))))</f>
      </c>
      <c r="BD295" s="0">
        <f>T295-AL295</f>
      </c>
      <c r="BE295" s="0">
        <f>U295-AM295</f>
      </c>
      <c r="BF295" s="0">
        <f>V295-AN295</f>
      </c>
      <c r="BG295" s="0">
        <f>W295-AO295</f>
      </c>
      <c r="BH295" s="0">
        <f>X295-AP295</f>
      </c>
      <c r="BI295" s="0">
        <f>Y295-AQ295</f>
      </c>
      <c r="BJ295" s="0">
        <f>Z295-AR295</f>
      </c>
      <c r="BK295" s="0">
        <f>AA295-AS295</f>
      </c>
      <c r="BL295" s="0">
        <f>AB295-AT295</f>
      </c>
      <c r="BM295" s="0">
        <f>AC295-AU295</f>
      </c>
      <c r="BN295" s="0">
        <f>AD295-AV295</f>
      </c>
      <c r="BO295" s="0">
        <f>AE295-AW295</f>
      </c>
      <c r="BP295" s="0">
        <f>AF295-AX295</f>
      </c>
      <c r="BQ295" s="0">
        <f>AG295-AY295</f>
      </c>
      <c r="BR295" s="0">
        <f>AH295-AZ295</f>
      </c>
      <c r="BS295" s="0">
        <f>AI295-BA295</f>
      </c>
      <c r="BT295" s="0">
        <f>AJ295-BB295</f>
      </c>
      <c r="BU295" s="0">
        <f>AK295-BC295</f>
      </c>
      <c r="BV295" s="0">
        <f>SUM(B295:S295)</f>
      </c>
      <c r="BW295" s="0">
        <f>SUM(T295:AK295)</f>
      </c>
      <c r="BX295" s="0">
        <f>MAX(0,(SUM(Calculator!$E$11:$E$28)+Calculator!$C$6)-BV295+BW295)</f>
      </c>
      <c r="BY295" s="0">
        <f>SUM(BD295:BU295)</f>
      </c>
      <c r="BZ295" s="0">
        <f>BV295-BY294</f>
      </c>
      <c r="CA295" s="0">
        <f>IF(A295&lt;=IF($CD$1=0,999,$CD$1),BY295,NA())</f>
      </c>
      <c r="CB295" s="0">
        <f>IF(A295&lt;=IF($CD$1=0,999,$CD$1),A295,NA())</f>
      </c>
    </row>
    <row r="296">
      <c r="A296" s="0">
        <v>293</v>
      </c>
      <c r="B296" s="0">
        <f>BD295*(1+Calculator!$D$11/100/12)</f>
      </c>
      <c r="C296" s="0">
        <f>BE295*(1+Calculator!$D$12/100/12)</f>
      </c>
      <c r="D296" s="0">
        <f>BF295*(1+Calculator!$D$13/100/12)</f>
      </c>
      <c r="E296" s="0">
        <f>BG295*(1+Calculator!$D$14/100/12)</f>
      </c>
      <c r="F296" s="0">
        <f>BH295*(1+Calculator!$D$15/100/12)</f>
      </c>
      <c r="G296" s="0">
        <f>BI295*(1+Calculator!$D$16/100/12)</f>
      </c>
      <c r="H296" s="0">
        <f>BJ295*(1+Calculator!$D$17/100/12)</f>
      </c>
      <c r="I296" s="0">
        <f>BK295*(1+Calculator!$D$18/100/12)</f>
      </c>
      <c r="J296" s="0">
        <f>BL295*(1+Calculator!$D$19/100/12)</f>
      </c>
      <c r="K296" s="0">
        <f>BM295*(1+Calculator!$D$20/100/12)</f>
      </c>
      <c r="L296" s="0">
        <f>BN295*(1+Calculator!$D$21/100/12)</f>
      </c>
      <c r="M296" s="0">
        <f>BO295*(1+Calculator!$D$22/100/12)</f>
      </c>
      <c r="N296" s="0">
        <f>BP295*(1+Calculator!$D$23/100/12)</f>
      </c>
      <c r="O296" s="0">
        <f>BQ295*(1+Calculator!$D$24/100/12)</f>
      </c>
      <c r="P296" s="0">
        <f>BR295*(1+Calculator!$D$25/100/12)</f>
      </c>
      <c r="Q296" s="0">
        <f>BS295*(1+Calculator!$D$26/100/12)</f>
      </c>
      <c r="R296" s="0">
        <f>BT295*(1+Calculator!$D$27/100/12)</f>
      </c>
      <c r="S296" s="0">
        <f>BU295*(1+Calculator!$D$28/100/12)</f>
      </c>
      <c r="T296" s="0">
        <f>MAX(0,B296-Calculator!$E$11)</f>
      </c>
      <c r="U296" s="0">
        <f>MAX(0,C296-Calculator!$E$12)</f>
      </c>
      <c r="V296" s="0">
        <f>MAX(0,D296-Calculator!$E$13)</f>
      </c>
      <c r="W296" s="0">
        <f>MAX(0,E296-Calculator!$E$14)</f>
      </c>
      <c r="X296" s="0">
        <f>MAX(0,F296-Calculator!$E$15)</f>
      </c>
      <c r="Y296" s="0">
        <f>MAX(0,G296-Calculator!$E$16)</f>
      </c>
      <c r="Z296" s="0">
        <f>MAX(0,H296-Calculator!$E$17)</f>
      </c>
      <c r="AA296" s="0">
        <f>MAX(0,I296-Calculator!$E$18)</f>
      </c>
      <c r="AB296" s="0">
        <f>MAX(0,J296-Calculator!$E$19)</f>
      </c>
      <c r="AC296" s="0">
        <f>MAX(0,K296-Calculator!$E$20)</f>
      </c>
      <c r="AD296" s="0">
        <f>MAX(0,L296-Calculator!$E$21)</f>
      </c>
      <c r="AE296" s="0">
        <f>MAX(0,M296-Calculator!$E$22)</f>
      </c>
      <c r="AF296" s="0">
        <f>MAX(0,N296-Calculator!$E$23)</f>
      </c>
      <c r="AG296" s="0">
        <f>MAX(0,O296-Calculator!$E$24)</f>
      </c>
      <c r="AH296" s="0">
        <f>MAX(0,P296-Calculator!$E$25)</f>
      </c>
      <c r="AI296" s="0">
        <f>MAX(0,Q296-Calculator!$E$26)</f>
      </c>
      <c r="AJ296" s="0">
        <f>MAX(0,R296-Calculator!$E$27)</f>
      </c>
      <c r="AK296" s="0">
        <f>MAX(0,S296-Calculator!$E$28)</f>
      </c>
      <c r="AL296" s="0">
        <f>MAX(0,MIN(T296,BX296-SUMPRODUCT(($T$2:$AK$2&lt;T$2)*($T296:$AK296))))</f>
      </c>
      <c r="AM296" s="0">
        <f>MAX(0,MIN(U296,BX296-SUMPRODUCT(($T$2:$AK$2&lt;U$2)*($T296:$AK296))))</f>
      </c>
      <c r="AN296" s="0">
        <f>MAX(0,MIN(V296,BX296-SUMPRODUCT(($T$2:$AK$2&lt;V$2)*($T296:$AK296))))</f>
      </c>
      <c r="AO296" s="0">
        <f>MAX(0,MIN(W296,BX296-SUMPRODUCT(($T$2:$AK$2&lt;W$2)*($T296:$AK296))))</f>
      </c>
      <c r="AP296" s="0">
        <f>MAX(0,MIN(X296,BX296-SUMPRODUCT(($T$2:$AK$2&lt;X$2)*($T296:$AK296))))</f>
      </c>
      <c r="AQ296" s="0">
        <f>MAX(0,MIN(Y296,BX296-SUMPRODUCT(($T$2:$AK$2&lt;Y$2)*($T296:$AK296))))</f>
      </c>
      <c r="AR296" s="0">
        <f>MAX(0,MIN(Z296,BX296-SUMPRODUCT(($T$2:$AK$2&lt;Z$2)*($T296:$AK296))))</f>
      </c>
      <c r="AS296" s="0">
        <f>MAX(0,MIN(AA296,BX296-SUMPRODUCT(($T$2:$AK$2&lt;AA$2)*($T296:$AK296))))</f>
      </c>
      <c r="AT296" s="0">
        <f>MAX(0,MIN(AB296,BX296-SUMPRODUCT(($T$2:$AK$2&lt;AB$2)*($T296:$AK296))))</f>
      </c>
      <c r="AU296" s="0">
        <f>MAX(0,MIN(AC296,BX296-SUMPRODUCT(($T$2:$AK$2&lt;AC$2)*($T296:$AK296))))</f>
      </c>
      <c r="AV296" s="0">
        <f>MAX(0,MIN(AD296,BX296-SUMPRODUCT(($T$2:$AK$2&lt;AD$2)*($T296:$AK296))))</f>
      </c>
      <c r="AW296" s="0">
        <f>MAX(0,MIN(AE296,BX296-SUMPRODUCT(($T$2:$AK$2&lt;AE$2)*($T296:$AK296))))</f>
      </c>
      <c r="AX296" s="0">
        <f>MAX(0,MIN(AF296,BX296-SUMPRODUCT(($T$2:$AK$2&lt;AF$2)*($T296:$AK296))))</f>
      </c>
      <c r="AY296" s="0">
        <f>MAX(0,MIN(AG296,BX296-SUMPRODUCT(($T$2:$AK$2&lt;AG$2)*($T296:$AK296))))</f>
      </c>
      <c r="AZ296" s="0">
        <f>MAX(0,MIN(AH296,BX296-SUMPRODUCT(($T$2:$AK$2&lt;AH$2)*($T296:$AK296))))</f>
      </c>
      <c r="BA296" s="0">
        <f>MAX(0,MIN(AI296,BX296-SUMPRODUCT(($T$2:$AK$2&lt;AI$2)*($T296:$AK296))))</f>
      </c>
      <c r="BB296" s="0">
        <f>MAX(0,MIN(AJ296,BX296-SUMPRODUCT(($T$2:$AK$2&lt;AJ$2)*($T296:$AK296))))</f>
      </c>
      <c r="BC296" s="0">
        <f>MAX(0,MIN(AK296,BX296-SUMPRODUCT(($T$2:$AK$2&lt;AK$2)*($T296:$AK296))))</f>
      </c>
      <c r="BD296" s="0">
        <f>T296-AL296</f>
      </c>
      <c r="BE296" s="0">
        <f>U296-AM296</f>
      </c>
      <c r="BF296" s="0">
        <f>V296-AN296</f>
      </c>
      <c r="BG296" s="0">
        <f>W296-AO296</f>
      </c>
      <c r="BH296" s="0">
        <f>X296-AP296</f>
      </c>
      <c r="BI296" s="0">
        <f>Y296-AQ296</f>
      </c>
      <c r="BJ296" s="0">
        <f>Z296-AR296</f>
      </c>
      <c r="BK296" s="0">
        <f>AA296-AS296</f>
      </c>
      <c r="BL296" s="0">
        <f>AB296-AT296</f>
      </c>
      <c r="BM296" s="0">
        <f>AC296-AU296</f>
      </c>
      <c r="BN296" s="0">
        <f>AD296-AV296</f>
      </c>
      <c r="BO296" s="0">
        <f>AE296-AW296</f>
      </c>
      <c r="BP296" s="0">
        <f>AF296-AX296</f>
      </c>
      <c r="BQ296" s="0">
        <f>AG296-AY296</f>
      </c>
      <c r="BR296" s="0">
        <f>AH296-AZ296</f>
      </c>
      <c r="BS296" s="0">
        <f>AI296-BA296</f>
      </c>
      <c r="BT296" s="0">
        <f>AJ296-BB296</f>
      </c>
      <c r="BU296" s="0">
        <f>AK296-BC296</f>
      </c>
      <c r="BV296" s="0">
        <f>SUM(B296:S296)</f>
      </c>
      <c r="BW296" s="0">
        <f>SUM(T296:AK296)</f>
      </c>
      <c r="BX296" s="0">
        <f>MAX(0,(SUM(Calculator!$E$11:$E$28)+Calculator!$C$6)-BV296+BW296)</f>
      </c>
      <c r="BY296" s="0">
        <f>SUM(BD296:BU296)</f>
      </c>
      <c r="BZ296" s="0">
        <f>BV296-BY295</f>
      </c>
      <c r="CA296" s="0">
        <f>IF(A296&lt;=IF($CD$1=0,999,$CD$1),BY296,NA())</f>
      </c>
      <c r="CB296" s="0">
        <f>IF(A296&lt;=IF($CD$1=0,999,$CD$1),A296,NA())</f>
      </c>
    </row>
    <row r="297">
      <c r="A297" s="0">
        <v>294</v>
      </c>
      <c r="B297" s="0">
        <f>BD296*(1+Calculator!$D$11/100/12)</f>
      </c>
      <c r="C297" s="0">
        <f>BE296*(1+Calculator!$D$12/100/12)</f>
      </c>
      <c r="D297" s="0">
        <f>BF296*(1+Calculator!$D$13/100/12)</f>
      </c>
      <c r="E297" s="0">
        <f>BG296*(1+Calculator!$D$14/100/12)</f>
      </c>
      <c r="F297" s="0">
        <f>BH296*(1+Calculator!$D$15/100/12)</f>
      </c>
      <c r="G297" s="0">
        <f>BI296*(1+Calculator!$D$16/100/12)</f>
      </c>
      <c r="H297" s="0">
        <f>BJ296*(1+Calculator!$D$17/100/12)</f>
      </c>
      <c r="I297" s="0">
        <f>BK296*(1+Calculator!$D$18/100/12)</f>
      </c>
      <c r="J297" s="0">
        <f>BL296*(1+Calculator!$D$19/100/12)</f>
      </c>
      <c r="K297" s="0">
        <f>BM296*(1+Calculator!$D$20/100/12)</f>
      </c>
      <c r="L297" s="0">
        <f>BN296*(1+Calculator!$D$21/100/12)</f>
      </c>
      <c r="M297" s="0">
        <f>BO296*(1+Calculator!$D$22/100/12)</f>
      </c>
      <c r="N297" s="0">
        <f>BP296*(1+Calculator!$D$23/100/12)</f>
      </c>
      <c r="O297" s="0">
        <f>BQ296*(1+Calculator!$D$24/100/12)</f>
      </c>
      <c r="P297" s="0">
        <f>BR296*(1+Calculator!$D$25/100/12)</f>
      </c>
      <c r="Q297" s="0">
        <f>BS296*(1+Calculator!$D$26/100/12)</f>
      </c>
      <c r="R297" s="0">
        <f>BT296*(1+Calculator!$D$27/100/12)</f>
      </c>
      <c r="S297" s="0">
        <f>BU296*(1+Calculator!$D$28/100/12)</f>
      </c>
      <c r="T297" s="0">
        <f>MAX(0,B297-Calculator!$E$11)</f>
      </c>
      <c r="U297" s="0">
        <f>MAX(0,C297-Calculator!$E$12)</f>
      </c>
      <c r="V297" s="0">
        <f>MAX(0,D297-Calculator!$E$13)</f>
      </c>
      <c r="W297" s="0">
        <f>MAX(0,E297-Calculator!$E$14)</f>
      </c>
      <c r="X297" s="0">
        <f>MAX(0,F297-Calculator!$E$15)</f>
      </c>
      <c r="Y297" s="0">
        <f>MAX(0,G297-Calculator!$E$16)</f>
      </c>
      <c r="Z297" s="0">
        <f>MAX(0,H297-Calculator!$E$17)</f>
      </c>
      <c r="AA297" s="0">
        <f>MAX(0,I297-Calculator!$E$18)</f>
      </c>
      <c r="AB297" s="0">
        <f>MAX(0,J297-Calculator!$E$19)</f>
      </c>
      <c r="AC297" s="0">
        <f>MAX(0,K297-Calculator!$E$20)</f>
      </c>
      <c r="AD297" s="0">
        <f>MAX(0,L297-Calculator!$E$21)</f>
      </c>
      <c r="AE297" s="0">
        <f>MAX(0,M297-Calculator!$E$22)</f>
      </c>
      <c r="AF297" s="0">
        <f>MAX(0,N297-Calculator!$E$23)</f>
      </c>
      <c r="AG297" s="0">
        <f>MAX(0,O297-Calculator!$E$24)</f>
      </c>
      <c r="AH297" s="0">
        <f>MAX(0,P297-Calculator!$E$25)</f>
      </c>
      <c r="AI297" s="0">
        <f>MAX(0,Q297-Calculator!$E$26)</f>
      </c>
      <c r="AJ297" s="0">
        <f>MAX(0,R297-Calculator!$E$27)</f>
      </c>
      <c r="AK297" s="0">
        <f>MAX(0,S297-Calculator!$E$28)</f>
      </c>
      <c r="AL297" s="0">
        <f>MAX(0,MIN(T297,BX297-SUMPRODUCT(($T$2:$AK$2&lt;T$2)*($T297:$AK297))))</f>
      </c>
      <c r="AM297" s="0">
        <f>MAX(0,MIN(U297,BX297-SUMPRODUCT(($T$2:$AK$2&lt;U$2)*($T297:$AK297))))</f>
      </c>
      <c r="AN297" s="0">
        <f>MAX(0,MIN(V297,BX297-SUMPRODUCT(($T$2:$AK$2&lt;V$2)*($T297:$AK297))))</f>
      </c>
      <c r="AO297" s="0">
        <f>MAX(0,MIN(W297,BX297-SUMPRODUCT(($T$2:$AK$2&lt;W$2)*($T297:$AK297))))</f>
      </c>
      <c r="AP297" s="0">
        <f>MAX(0,MIN(X297,BX297-SUMPRODUCT(($T$2:$AK$2&lt;X$2)*($T297:$AK297))))</f>
      </c>
      <c r="AQ297" s="0">
        <f>MAX(0,MIN(Y297,BX297-SUMPRODUCT(($T$2:$AK$2&lt;Y$2)*($T297:$AK297))))</f>
      </c>
      <c r="AR297" s="0">
        <f>MAX(0,MIN(Z297,BX297-SUMPRODUCT(($T$2:$AK$2&lt;Z$2)*($T297:$AK297))))</f>
      </c>
      <c r="AS297" s="0">
        <f>MAX(0,MIN(AA297,BX297-SUMPRODUCT(($T$2:$AK$2&lt;AA$2)*($T297:$AK297))))</f>
      </c>
      <c r="AT297" s="0">
        <f>MAX(0,MIN(AB297,BX297-SUMPRODUCT(($T$2:$AK$2&lt;AB$2)*($T297:$AK297))))</f>
      </c>
      <c r="AU297" s="0">
        <f>MAX(0,MIN(AC297,BX297-SUMPRODUCT(($T$2:$AK$2&lt;AC$2)*($T297:$AK297))))</f>
      </c>
      <c r="AV297" s="0">
        <f>MAX(0,MIN(AD297,BX297-SUMPRODUCT(($T$2:$AK$2&lt;AD$2)*($T297:$AK297))))</f>
      </c>
      <c r="AW297" s="0">
        <f>MAX(0,MIN(AE297,BX297-SUMPRODUCT(($T$2:$AK$2&lt;AE$2)*($T297:$AK297))))</f>
      </c>
      <c r="AX297" s="0">
        <f>MAX(0,MIN(AF297,BX297-SUMPRODUCT(($T$2:$AK$2&lt;AF$2)*($T297:$AK297))))</f>
      </c>
      <c r="AY297" s="0">
        <f>MAX(0,MIN(AG297,BX297-SUMPRODUCT(($T$2:$AK$2&lt;AG$2)*($T297:$AK297))))</f>
      </c>
      <c r="AZ297" s="0">
        <f>MAX(0,MIN(AH297,BX297-SUMPRODUCT(($T$2:$AK$2&lt;AH$2)*($T297:$AK297))))</f>
      </c>
      <c r="BA297" s="0">
        <f>MAX(0,MIN(AI297,BX297-SUMPRODUCT(($T$2:$AK$2&lt;AI$2)*($T297:$AK297))))</f>
      </c>
      <c r="BB297" s="0">
        <f>MAX(0,MIN(AJ297,BX297-SUMPRODUCT(($T$2:$AK$2&lt;AJ$2)*($T297:$AK297))))</f>
      </c>
      <c r="BC297" s="0">
        <f>MAX(0,MIN(AK297,BX297-SUMPRODUCT(($T$2:$AK$2&lt;AK$2)*($T297:$AK297))))</f>
      </c>
      <c r="BD297" s="0">
        <f>T297-AL297</f>
      </c>
      <c r="BE297" s="0">
        <f>U297-AM297</f>
      </c>
      <c r="BF297" s="0">
        <f>V297-AN297</f>
      </c>
      <c r="BG297" s="0">
        <f>W297-AO297</f>
      </c>
      <c r="BH297" s="0">
        <f>X297-AP297</f>
      </c>
      <c r="BI297" s="0">
        <f>Y297-AQ297</f>
      </c>
      <c r="BJ297" s="0">
        <f>Z297-AR297</f>
      </c>
      <c r="BK297" s="0">
        <f>AA297-AS297</f>
      </c>
      <c r="BL297" s="0">
        <f>AB297-AT297</f>
      </c>
      <c r="BM297" s="0">
        <f>AC297-AU297</f>
      </c>
      <c r="BN297" s="0">
        <f>AD297-AV297</f>
      </c>
      <c r="BO297" s="0">
        <f>AE297-AW297</f>
      </c>
      <c r="BP297" s="0">
        <f>AF297-AX297</f>
      </c>
      <c r="BQ297" s="0">
        <f>AG297-AY297</f>
      </c>
      <c r="BR297" s="0">
        <f>AH297-AZ297</f>
      </c>
      <c r="BS297" s="0">
        <f>AI297-BA297</f>
      </c>
      <c r="BT297" s="0">
        <f>AJ297-BB297</f>
      </c>
      <c r="BU297" s="0">
        <f>AK297-BC297</f>
      </c>
      <c r="BV297" s="0">
        <f>SUM(B297:S297)</f>
      </c>
      <c r="BW297" s="0">
        <f>SUM(T297:AK297)</f>
      </c>
      <c r="BX297" s="0">
        <f>MAX(0,(SUM(Calculator!$E$11:$E$28)+Calculator!$C$6)-BV297+BW297)</f>
      </c>
      <c r="BY297" s="0">
        <f>SUM(BD297:BU297)</f>
      </c>
      <c r="BZ297" s="0">
        <f>BV297-BY296</f>
      </c>
      <c r="CA297" s="0">
        <f>IF(A297&lt;=IF($CD$1=0,999,$CD$1),BY297,NA())</f>
      </c>
      <c r="CB297" s="0">
        <f>IF(A297&lt;=IF($CD$1=0,999,$CD$1),A297,NA())</f>
      </c>
    </row>
    <row r="298">
      <c r="A298" s="0">
        <v>295</v>
      </c>
      <c r="B298" s="0">
        <f>BD297*(1+Calculator!$D$11/100/12)</f>
      </c>
      <c r="C298" s="0">
        <f>BE297*(1+Calculator!$D$12/100/12)</f>
      </c>
      <c r="D298" s="0">
        <f>BF297*(1+Calculator!$D$13/100/12)</f>
      </c>
      <c r="E298" s="0">
        <f>BG297*(1+Calculator!$D$14/100/12)</f>
      </c>
      <c r="F298" s="0">
        <f>BH297*(1+Calculator!$D$15/100/12)</f>
      </c>
      <c r="G298" s="0">
        <f>BI297*(1+Calculator!$D$16/100/12)</f>
      </c>
      <c r="H298" s="0">
        <f>BJ297*(1+Calculator!$D$17/100/12)</f>
      </c>
      <c r="I298" s="0">
        <f>BK297*(1+Calculator!$D$18/100/12)</f>
      </c>
      <c r="J298" s="0">
        <f>BL297*(1+Calculator!$D$19/100/12)</f>
      </c>
      <c r="K298" s="0">
        <f>BM297*(1+Calculator!$D$20/100/12)</f>
      </c>
      <c r="L298" s="0">
        <f>BN297*(1+Calculator!$D$21/100/12)</f>
      </c>
      <c r="M298" s="0">
        <f>BO297*(1+Calculator!$D$22/100/12)</f>
      </c>
      <c r="N298" s="0">
        <f>BP297*(1+Calculator!$D$23/100/12)</f>
      </c>
      <c r="O298" s="0">
        <f>BQ297*(1+Calculator!$D$24/100/12)</f>
      </c>
      <c r="P298" s="0">
        <f>BR297*(1+Calculator!$D$25/100/12)</f>
      </c>
      <c r="Q298" s="0">
        <f>BS297*(1+Calculator!$D$26/100/12)</f>
      </c>
      <c r="R298" s="0">
        <f>BT297*(1+Calculator!$D$27/100/12)</f>
      </c>
      <c r="S298" s="0">
        <f>BU297*(1+Calculator!$D$28/100/12)</f>
      </c>
      <c r="T298" s="0">
        <f>MAX(0,B298-Calculator!$E$11)</f>
      </c>
      <c r="U298" s="0">
        <f>MAX(0,C298-Calculator!$E$12)</f>
      </c>
      <c r="V298" s="0">
        <f>MAX(0,D298-Calculator!$E$13)</f>
      </c>
      <c r="W298" s="0">
        <f>MAX(0,E298-Calculator!$E$14)</f>
      </c>
      <c r="X298" s="0">
        <f>MAX(0,F298-Calculator!$E$15)</f>
      </c>
      <c r="Y298" s="0">
        <f>MAX(0,G298-Calculator!$E$16)</f>
      </c>
      <c r="Z298" s="0">
        <f>MAX(0,H298-Calculator!$E$17)</f>
      </c>
      <c r="AA298" s="0">
        <f>MAX(0,I298-Calculator!$E$18)</f>
      </c>
      <c r="AB298" s="0">
        <f>MAX(0,J298-Calculator!$E$19)</f>
      </c>
      <c r="AC298" s="0">
        <f>MAX(0,K298-Calculator!$E$20)</f>
      </c>
      <c r="AD298" s="0">
        <f>MAX(0,L298-Calculator!$E$21)</f>
      </c>
      <c r="AE298" s="0">
        <f>MAX(0,M298-Calculator!$E$22)</f>
      </c>
      <c r="AF298" s="0">
        <f>MAX(0,N298-Calculator!$E$23)</f>
      </c>
      <c r="AG298" s="0">
        <f>MAX(0,O298-Calculator!$E$24)</f>
      </c>
      <c r="AH298" s="0">
        <f>MAX(0,P298-Calculator!$E$25)</f>
      </c>
      <c r="AI298" s="0">
        <f>MAX(0,Q298-Calculator!$E$26)</f>
      </c>
      <c r="AJ298" s="0">
        <f>MAX(0,R298-Calculator!$E$27)</f>
      </c>
      <c r="AK298" s="0">
        <f>MAX(0,S298-Calculator!$E$28)</f>
      </c>
      <c r="AL298" s="0">
        <f>MAX(0,MIN(T298,BX298-SUMPRODUCT(($T$2:$AK$2&lt;T$2)*($T298:$AK298))))</f>
      </c>
      <c r="AM298" s="0">
        <f>MAX(0,MIN(U298,BX298-SUMPRODUCT(($T$2:$AK$2&lt;U$2)*($T298:$AK298))))</f>
      </c>
      <c r="AN298" s="0">
        <f>MAX(0,MIN(V298,BX298-SUMPRODUCT(($T$2:$AK$2&lt;V$2)*($T298:$AK298))))</f>
      </c>
      <c r="AO298" s="0">
        <f>MAX(0,MIN(W298,BX298-SUMPRODUCT(($T$2:$AK$2&lt;W$2)*($T298:$AK298))))</f>
      </c>
      <c r="AP298" s="0">
        <f>MAX(0,MIN(X298,BX298-SUMPRODUCT(($T$2:$AK$2&lt;X$2)*($T298:$AK298))))</f>
      </c>
      <c r="AQ298" s="0">
        <f>MAX(0,MIN(Y298,BX298-SUMPRODUCT(($T$2:$AK$2&lt;Y$2)*($T298:$AK298))))</f>
      </c>
      <c r="AR298" s="0">
        <f>MAX(0,MIN(Z298,BX298-SUMPRODUCT(($T$2:$AK$2&lt;Z$2)*($T298:$AK298))))</f>
      </c>
      <c r="AS298" s="0">
        <f>MAX(0,MIN(AA298,BX298-SUMPRODUCT(($T$2:$AK$2&lt;AA$2)*($T298:$AK298))))</f>
      </c>
      <c r="AT298" s="0">
        <f>MAX(0,MIN(AB298,BX298-SUMPRODUCT(($T$2:$AK$2&lt;AB$2)*($T298:$AK298))))</f>
      </c>
      <c r="AU298" s="0">
        <f>MAX(0,MIN(AC298,BX298-SUMPRODUCT(($T$2:$AK$2&lt;AC$2)*($T298:$AK298))))</f>
      </c>
      <c r="AV298" s="0">
        <f>MAX(0,MIN(AD298,BX298-SUMPRODUCT(($T$2:$AK$2&lt;AD$2)*($T298:$AK298))))</f>
      </c>
      <c r="AW298" s="0">
        <f>MAX(0,MIN(AE298,BX298-SUMPRODUCT(($T$2:$AK$2&lt;AE$2)*($T298:$AK298))))</f>
      </c>
      <c r="AX298" s="0">
        <f>MAX(0,MIN(AF298,BX298-SUMPRODUCT(($T$2:$AK$2&lt;AF$2)*($T298:$AK298))))</f>
      </c>
      <c r="AY298" s="0">
        <f>MAX(0,MIN(AG298,BX298-SUMPRODUCT(($T$2:$AK$2&lt;AG$2)*($T298:$AK298))))</f>
      </c>
      <c r="AZ298" s="0">
        <f>MAX(0,MIN(AH298,BX298-SUMPRODUCT(($T$2:$AK$2&lt;AH$2)*($T298:$AK298))))</f>
      </c>
      <c r="BA298" s="0">
        <f>MAX(0,MIN(AI298,BX298-SUMPRODUCT(($T$2:$AK$2&lt;AI$2)*($T298:$AK298))))</f>
      </c>
      <c r="BB298" s="0">
        <f>MAX(0,MIN(AJ298,BX298-SUMPRODUCT(($T$2:$AK$2&lt;AJ$2)*($T298:$AK298))))</f>
      </c>
      <c r="BC298" s="0">
        <f>MAX(0,MIN(AK298,BX298-SUMPRODUCT(($T$2:$AK$2&lt;AK$2)*($T298:$AK298))))</f>
      </c>
      <c r="BD298" s="0">
        <f>T298-AL298</f>
      </c>
      <c r="BE298" s="0">
        <f>U298-AM298</f>
      </c>
      <c r="BF298" s="0">
        <f>V298-AN298</f>
      </c>
      <c r="BG298" s="0">
        <f>W298-AO298</f>
      </c>
      <c r="BH298" s="0">
        <f>X298-AP298</f>
      </c>
      <c r="BI298" s="0">
        <f>Y298-AQ298</f>
      </c>
      <c r="BJ298" s="0">
        <f>Z298-AR298</f>
      </c>
      <c r="BK298" s="0">
        <f>AA298-AS298</f>
      </c>
      <c r="BL298" s="0">
        <f>AB298-AT298</f>
      </c>
      <c r="BM298" s="0">
        <f>AC298-AU298</f>
      </c>
      <c r="BN298" s="0">
        <f>AD298-AV298</f>
      </c>
      <c r="BO298" s="0">
        <f>AE298-AW298</f>
      </c>
      <c r="BP298" s="0">
        <f>AF298-AX298</f>
      </c>
      <c r="BQ298" s="0">
        <f>AG298-AY298</f>
      </c>
      <c r="BR298" s="0">
        <f>AH298-AZ298</f>
      </c>
      <c r="BS298" s="0">
        <f>AI298-BA298</f>
      </c>
      <c r="BT298" s="0">
        <f>AJ298-BB298</f>
      </c>
      <c r="BU298" s="0">
        <f>AK298-BC298</f>
      </c>
      <c r="BV298" s="0">
        <f>SUM(B298:S298)</f>
      </c>
      <c r="BW298" s="0">
        <f>SUM(T298:AK298)</f>
      </c>
      <c r="BX298" s="0">
        <f>MAX(0,(SUM(Calculator!$E$11:$E$28)+Calculator!$C$6)-BV298+BW298)</f>
      </c>
      <c r="BY298" s="0">
        <f>SUM(BD298:BU298)</f>
      </c>
      <c r="BZ298" s="0">
        <f>BV298-BY297</f>
      </c>
      <c r="CA298" s="0">
        <f>IF(A298&lt;=IF($CD$1=0,999,$CD$1),BY298,NA())</f>
      </c>
      <c r="CB298" s="0">
        <f>IF(A298&lt;=IF($CD$1=0,999,$CD$1),A298,NA())</f>
      </c>
    </row>
    <row r="299">
      <c r="A299" s="0">
        <v>296</v>
      </c>
      <c r="B299" s="0">
        <f>BD298*(1+Calculator!$D$11/100/12)</f>
      </c>
      <c r="C299" s="0">
        <f>BE298*(1+Calculator!$D$12/100/12)</f>
      </c>
      <c r="D299" s="0">
        <f>BF298*(1+Calculator!$D$13/100/12)</f>
      </c>
      <c r="E299" s="0">
        <f>BG298*(1+Calculator!$D$14/100/12)</f>
      </c>
      <c r="F299" s="0">
        <f>BH298*(1+Calculator!$D$15/100/12)</f>
      </c>
      <c r="G299" s="0">
        <f>BI298*(1+Calculator!$D$16/100/12)</f>
      </c>
      <c r="H299" s="0">
        <f>BJ298*(1+Calculator!$D$17/100/12)</f>
      </c>
      <c r="I299" s="0">
        <f>BK298*(1+Calculator!$D$18/100/12)</f>
      </c>
      <c r="J299" s="0">
        <f>BL298*(1+Calculator!$D$19/100/12)</f>
      </c>
      <c r="K299" s="0">
        <f>BM298*(1+Calculator!$D$20/100/12)</f>
      </c>
      <c r="L299" s="0">
        <f>BN298*(1+Calculator!$D$21/100/12)</f>
      </c>
      <c r="M299" s="0">
        <f>BO298*(1+Calculator!$D$22/100/12)</f>
      </c>
      <c r="N299" s="0">
        <f>BP298*(1+Calculator!$D$23/100/12)</f>
      </c>
      <c r="O299" s="0">
        <f>BQ298*(1+Calculator!$D$24/100/12)</f>
      </c>
      <c r="P299" s="0">
        <f>BR298*(1+Calculator!$D$25/100/12)</f>
      </c>
      <c r="Q299" s="0">
        <f>BS298*(1+Calculator!$D$26/100/12)</f>
      </c>
      <c r="R299" s="0">
        <f>BT298*(1+Calculator!$D$27/100/12)</f>
      </c>
      <c r="S299" s="0">
        <f>BU298*(1+Calculator!$D$28/100/12)</f>
      </c>
      <c r="T299" s="0">
        <f>MAX(0,B299-Calculator!$E$11)</f>
      </c>
      <c r="U299" s="0">
        <f>MAX(0,C299-Calculator!$E$12)</f>
      </c>
      <c r="V299" s="0">
        <f>MAX(0,D299-Calculator!$E$13)</f>
      </c>
      <c r="W299" s="0">
        <f>MAX(0,E299-Calculator!$E$14)</f>
      </c>
      <c r="X299" s="0">
        <f>MAX(0,F299-Calculator!$E$15)</f>
      </c>
      <c r="Y299" s="0">
        <f>MAX(0,G299-Calculator!$E$16)</f>
      </c>
      <c r="Z299" s="0">
        <f>MAX(0,H299-Calculator!$E$17)</f>
      </c>
      <c r="AA299" s="0">
        <f>MAX(0,I299-Calculator!$E$18)</f>
      </c>
      <c r="AB299" s="0">
        <f>MAX(0,J299-Calculator!$E$19)</f>
      </c>
      <c r="AC299" s="0">
        <f>MAX(0,K299-Calculator!$E$20)</f>
      </c>
      <c r="AD299" s="0">
        <f>MAX(0,L299-Calculator!$E$21)</f>
      </c>
      <c r="AE299" s="0">
        <f>MAX(0,M299-Calculator!$E$22)</f>
      </c>
      <c r="AF299" s="0">
        <f>MAX(0,N299-Calculator!$E$23)</f>
      </c>
      <c r="AG299" s="0">
        <f>MAX(0,O299-Calculator!$E$24)</f>
      </c>
      <c r="AH299" s="0">
        <f>MAX(0,P299-Calculator!$E$25)</f>
      </c>
      <c r="AI299" s="0">
        <f>MAX(0,Q299-Calculator!$E$26)</f>
      </c>
      <c r="AJ299" s="0">
        <f>MAX(0,R299-Calculator!$E$27)</f>
      </c>
      <c r="AK299" s="0">
        <f>MAX(0,S299-Calculator!$E$28)</f>
      </c>
      <c r="AL299" s="0">
        <f>MAX(0,MIN(T299,BX299-SUMPRODUCT(($T$2:$AK$2&lt;T$2)*($T299:$AK299))))</f>
      </c>
      <c r="AM299" s="0">
        <f>MAX(0,MIN(U299,BX299-SUMPRODUCT(($T$2:$AK$2&lt;U$2)*($T299:$AK299))))</f>
      </c>
      <c r="AN299" s="0">
        <f>MAX(0,MIN(V299,BX299-SUMPRODUCT(($T$2:$AK$2&lt;V$2)*($T299:$AK299))))</f>
      </c>
      <c r="AO299" s="0">
        <f>MAX(0,MIN(W299,BX299-SUMPRODUCT(($T$2:$AK$2&lt;W$2)*($T299:$AK299))))</f>
      </c>
      <c r="AP299" s="0">
        <f>MAX(0,MIN(X299,BX299-SUMPRODUCT(($T$2:$AK$2&lt;X$2)*($T299:$AK299))))</f>
      </c>
      <c r="AQ299" s="0">
        <f>MAX(0,MIN(Y299,BX299-SUMPRODUCT(($T$2:$AK$2&lt;Y$2)*($T299:$AK299))))</f>
      </c>
      <c r="AR299" s="0">
        <f>MAX(0,MIN(Z299,BX299-SUMPRODUCT(($T$2:$AK$2&lt;Z$2)*($T299:$AK299))))</f>
      </c>
      <c r="AS299" s="0">
        <f>MAX(0,MIN(AA299,BX299-SUMPRODUCT(($T$2:$AK$2&lt;AA$2)*($T299:$AK299))))</f>
      </c>
      <c r="AT299" s="0">
        <f>MAX(0,MIN(AB299,BX299-SUMPRODUCT(($T$2:$AK$2&lt;AB$2)*($T299:$AK299))))</f>
      </c>
      <c r="AU299" s="0">
        <f>MAX(0,MIN(AC299,BX299-SUMPRODUCT(($T$2:$AK$2&lt;AC$2)*($T299:$AK299))))</f>
      </c>
      <c r="AV299" s="0">
        <f>MAX(0,MIN(AD299,BX299-SUMPRODUCT(($T$2:$AK$2&lt;AD$2)*($T299:$AK299))))</f>
      </c>
      <c r="AW299" s="0">
        <f>MAX(0,MIN(AE299,BX299-SUMPRODUCT(($T$2:$AK$2&lt;AE$2)*($T299:$AK299))))</f>
      </c>
      <c r="AX299" s="0">
        <f>MAX(0,MIN(AF299,BX299-SUMPRODUCT(($T$2:$AK$2&lt;AF$2)*($T299:$AK299))))</f>
      </c>
      <c r="AY299" s="0">
        <f>MAX(0,MIN(AG299,BX299-SUMPRODUCT(($T$2:$AK$2&lt;AG$2)*($T299:$AK299))))</f>
      </c>
      <c r="AZ299" s="0">
        <f>MAX(0,MIN(AH299,BX299-SUMPRODUCT(($T$2:$AK$2&lt;AH$2)*($T299:$AK299))))</f>
      </c>
      <c r="BA299" s="0">
        <f>MAX(0,MIN(AI299,BX299-SUMPRODUCT(($T$2:$AK$2&lt;AI$2)*($T299:$AK299))))</f>
      </c>
      <c r="BB299" s="0">
        <f>MAX(0,MIN(AJ299,BX299-SUMPRODUCT(($T$2:$AK$2&lt;AJ$2)*($T299:$AK299))))</f>
      </c>
      <c r="BC299" s="0">
        <f>MAX(0,MIN(AK299,BX299-SUMPRODUCT(($T$2:$AK$2&lt;AK$2)*($T299:$AK299))))</f>
      </c>
      <c r="BD299" s="0">
        <f>T299-AL299</f>
      </c>
      <c r="BE299" s="0">
        <f>U299-AM299</f>
      </c>
      <c r="BF299" s="0">
        <f>V299-AN299</f>
      </c>
      <c r="BG299" s="0">
        <f>W299-AO299</f>
      </c>
      <c r="BH299" s="0">
        <f>X299-AP299</f>
      </c>
      <c r="BI299" s="0">
        <f>Y299-AQ299</f>
      </c>
      <c r="BJ299" s="0">
        <f>Z299-AR299</f>
      </c>
      <c r="BK299" s="0">
        <f>AA299-AS299</f>
      </c>
      <c r="BL299" s="0">
        <f>AB299-AT299</f>
      </c>
      <c r="BM299" s="0">
        <f>AC299-AU299</f>
      </c>
      <c r="BN299" s="0">
        <f>AD299-AV299</f>
      </c>
      <c r="BO299" s="0">
        <f>AE299-AW299</f>
      </c>
      <c r="BP299" s="0">
        <f>AF299-AX299</f>
      </c>
      <c r="BQ299" s="0">
        <f>AG299-AY299</f>
      </c>
      <c r="BR299" s="0">
        <f>AH299-AZ299</f>
      </c>
      <c r="BS299" s="0">
        <f>AI299-BA299</f>
      </c>
      <c r="BT299" s="0">
        <f>AJ299-BB299</f>
      </c>
      <c r="BU299" s="0">
        <f>AK299-BC299</f>
      </c>
      <c r="BV299" s="0">
        <f>SUM(B299:S299)</f>
      </c>
      <c r="BW299" s="0">
        <f>SUM(T299:AK299)</f>
      </c>
      <c r="BX299" s="0">
        <f>MAX(0,(SUM(Calculator!$E$11:$E$28)+Calculator!$C$6)-BV299+BW299)</f>
      </c>
      <c r="BY299" s="0">
        <f>SUM(BD299:BU299)</f>
      </c>
      <c r="BZ299" s="0">
        <f>BV299-BY298</f>
      </c>
      <c r="CA299" s="0">
        <f>IF(A299&lt;=IF($CD$1=0,999,$CD$1),BY299,NA())</f>
      </c>
      <c r="CB299" s="0">
        <f>IF(A299&lt;=IF($CD$1=0,999,$CD$1),A299,NA())</f>
      </c>
    </row>
    <row r="300">
      <c r="A300" s="0">
        <v>297</v>
      </c>
      <c r="B300" s="0">
        <f>BD299*(1+Calculator!$D$11/100/12)</f>
      </c>
      <c r="C300" s="0">
        <f>BE299*(1+Calculator!$D$12/100/12)</f>
      </c>
      <c r="D300" s="0">
        <f>BF299*(1+Calculator!$D$13/100/12)</f>
      </c>
      <c r="E300" s="0">
        <f>BG299*(1+Calculator!$D$14/100/12)</f>
      </c>
      <c r="F300" s="0">
        <f>BH299*(1+Calculator!$D$15/100/12)</f>
      </c>
      <c r="G300" s="0">
        <f>BI299*(1+Calculator!$D$16/100/12)</f>
      </c>
      <c r="H300" s="0">
        <f>BJ299*(1+Calculator!$D$17/100/12)</f>
      </c>
      <c r="I300" s="0">
        <f>BK299*(1+Calculator!$D$18/100/12)</f>
      </c>
      <c r="J300" s="0">
        <f>BL299*(1+Calculator!$D$19/100/12)</f>
      </c>
      <c r="K300" s="0">
        <f>BM299*(1+Calculator!$D$20/100/12)</f>
      </c>
      <c r="L300" s="0">
        <f>BN299*(1+Calculator!$D$21/100/12)</f>
      </c>
      <c r="M300" s="0">
        <f>BO299*(1+Calculator!$D$22/100/12)</f>
      </c>
      <c r="N300" s="0">
        <f>BP299*(1+Calculator!$D$23/100/12)</f>
      </c>
      <c r="O300" s="0">
        <f>BQ299*(1+Calculator!$D$24/100/12)</f>
      </c>
      <c r="P300" s="0">
        <f>BR299*(1+Calculator!$D$25/100/12)</f>
      </c>
      <c r="Q300" s="0">
        <f>BS299*(1+Calculator!$D$26/100/12)</f>
      </c>
      <c r="R300" s="0">
        <f>BT299*(1+Calculator!$D$27/100/12)</f>
      </c>
      <c r="S300" s="0">
        <f>BU299*(1+Calculator!$D$28/100/12)</f>
      </c>
      <c r="T300" s="0">
        <f>MAX(0,B300-Calculator!$E$11)</f>
      </c>
      <c r="U300" s="0">
        <f>MAX(0,C300-Calculator!$E$12)</f>
      </c>
      <c r="V300" s="0">
        <f>MAX(0,D300-Calculator!$E$13)</f>
      </c>
      <c r="W300" s="0">
        <f>MAX(0,E300-Calculator!$E$14)</f>
      </c>
      <c r="X300" s="0">
        <f>MAX(0,F300-Calculator!$E$15)</f>
      </c>
      <c r="Y300" s="0">
        <f>MAX(0,G300-Calculator!$E$16)</f>
      </c>
      <c r="Z300" s="0">
        <f>MAX(0,H300-Calculator!$E$17)</f>
      </c>
      <c r="AA300" s="0">
        <f>MAX(0,I300-Calculator!$E$18)</f>
      </c>
      <c r="AB300" s="0">
        <f>MAX(0,J300-Calculator!$E$19)</f>
      </c>
      <c r="AC300" s="0">
        <f>MAX(0,K300-Calculator!$E$20)</f>
      </c>
      <c r="AD300" s="0">
        <f>MAX(0,L300-Calculator!$E$21)</f>
      </c>
      <c r="AE300" s="0">
        <f>MAX(0,M300-Calculator!$E$22)</f>
      </c>
      <c r="AF300" s="0">
        <f>MAX(0,N300-Calculator!$E$23)</f>
      </c>
      <c r="AG300" s="0">
        <f>MAX(0,O300-Calculator!$E$24)</f>
      </c>
      <c r="AH300" s="0">
        <f>MAX(0,P300-Calculator!$E$25)</f>
      </c>
      <c r="AI300" s="0">
        <f>MAX(0,Q300-Calculator!$E$26)</f>
      </c>
      <c r="AJ300" s="0">
        <f>MAX(0,R300-Calculator!$E$27)</f>
      </c>
      <c r="AK300" s="0">
        <f>MAX(0,S300-Calculator!$E$28)</f>
      </c>
      <c r="AL300" s="0">
        <f>MAX(0,MIN(T300,BX300-SUMPRODUCT(($T$2:$AK$2&lt;T$2)*($T300:$AK300))))</f>
      </c>
      <c r="AM300" s="0">
        <f>MAX(0,MIN(U300,BX300-SUMPRODUCT(($T$2:$AK$2&lt;U$2)*($T300:$AK300))))</f>
      </c>
      <c r="AN300" s="0">
        <f>MAX(0,MIN(V300,BX300-SUMPRODUCT(($T$2:$AK$2&lt;V$2)*($T300:$AK300))))</f>
      </c>
      <c r="AO300" s="0">
        <f>MAX(0,MIN(W300,BX300-SUMPRODUCT(($T$2:$AK$2&lt;W$2)*($T300:$AK300))))</f>
      </c>
      <c r="AP300" s="0">
        <f>MAX(0,MIN(X300,BX300-SUMPRODUCT(($T$2:$AK$2&lt;X$2)*($T300:$AK300))))</f>
      </c>
      <c r="AQ300" s="0">
        <f>MAX(0,MIN(Y300,BX300-SUMPRODUCT(($T$2:$AK$2&lt;Y$2)*($T300:$AK300))))</f>
      </c>
      <c r="AR300" s="0">
        <f>MAX(0,MIN(Z300,BX300-SUMPRODUCT(($T$2:$AK$2&lt;Z$2)*($T300:$AK300))))</f>
      </c>
      <c r="AS300" s="0">
        <f>MAX(0,MIN(AA300,BX300-SUMPRODUCT(($T$2:$AK$2&lt;AA$2)*($T300:$AK300))))</f>
      </c>
      <c r="AT300" s="0">
        <f>MAX(0,MIN(AB300,BX300-SUMPRODUCT(($T$2:$AK$2&lt;AB$2)*($T300:$AK300))))</f>
      </c>
      <c r="AU300" s="0">
        <f>MAX(0,MIN(AC300,BX300-SUMPRODUCT(($T$2:$AK$2&lt;AC$2)*($T300:$AK300))))</f>
      </c>
      <c r="AV300" s="0">
        <f>MAX(0,MIN(AD300,BX300-SUMPRODUCT(($T$2:$AK$2&lt;AD$2)*($T300:$AK300))))</f>
      </c>
      <c r="AW300" s="0">
        <f>MAX(0,MIN(AE300,BX300-SUMPRODUCT(($T$2:$AK$2&lt;AE$2)*($T300:$AK300))))</f>
      </c>
      <c r="AX300" s="0">
        <f>MAX(0,MIN(AF300,BX300-SUMPRODUCT(($T$2:$AK$2&lt;AF$2)*($T300:$AK300))))</f>
      </c>
      <c r="AY300" s="0">
        <f>MAX(0,MIN(AG300,BX300-SUMPRODUCT(($T$2:$AK$2&lt;AG$2)*($T300:$AK300))))</f>
      </c>
      <c r="AZ300" s="0">
        <f>MAX(0,MIN(AH300,BX300-SUMPRODUCT(($T$2:$AK$2&lt;AH$2)*($T300:$AK300))))</f>
      </c>
      <c r="BA300" s="0">
        <f>MAX(0,MIN(AI300,BX300-SUMPRODUCT(($T$2:$AK$2&lt;AI$2)*($T300:$AK300))))</f>
      </c>
      <c r="BB300" s="0">
        <f>MAX(0,MIN(AJ300,BX300-SUMPRODUCT(($T$2:$AK$2&lt;AJ$2)*($T300:$AK300))))</f>
      </c>
      <c r="BC300" s="0">
        <f>MAX(0,MIN(AK300,BX300-SUMPRODUCT(($T$2:$AK$2&lt;AK$2)*($T300:$AK300))))</f>
      </c>
      <c r="BD300" s="0">
        <f>T300-AL300</f>
      </c>
      <c r="BE300" s="0">
        <f>U300-AM300</f>
      </c>
      <c r="BF300" s="0">
        <f>V300-AN300</f>
      </c>
      <c r="BG300" s="0">
        <f>W300-AO300</f>
      </c>
      <c r="BH300" s="0">
        <f>X300-AP300</f>
      </c>
      <c r="BI300" s="0">
        <f>Y300-AQ300</f>
      </c>
      <c r="BJ300" s="0">
        <f>Z300-AR300</f>
      </c>
      <c r="BK300" s="0">
        <f>AA300-AS300</f>
      </c>
      <c r="BL300" s="0">
        <f>AB300-AT300</f>
      </c>
      <c r="BM300" s="0">
        <f>AC300-AU300</f>
      </c>
      <c r="BN300" s="0">
        <f>AD300-AV300</f>
      </c>
      <c r="BO300" s="0">
        <f>AE300-AW300</f>
      </c>
      <c r="BP300" s="0">
        <f>AF300-AX300</f>
      </c>
      <c r="BQ300" s="0">
        <f>AG300-AY300</f>
      </c>
      <c r="BR300" s="0">
        <f>AH300-AZ300</f>
      </c>
      <c r="BS300" s="0">
        <f>AI300-BA300</f>
      </c>
      <c r="BT300" s="0">
        <f>AJ300-BB300</f>
      </c>
      <c r="BU300" s="0">
        <f>AK300-BC300</f>
      </c>
      <c r="BV300" s="0">
        <f>SUM(B300:S300)</f>
      </c>
      <c r="BW300" s="0">
        <f>SUM(T300:AK300)</f>
      </c>
      <c r="BX300" s="0">
        <f>MAX(0,(SUM(Calculator!$E$11:$E$28)+Calculator!$C$6)-BV300+BW300)</f>
      </c>
      <c r="BY300" s="0">
        <f>SUM(BD300:BU300)</f>
      </c>
      <c r="BZ300" s="0">
        <f>BV300-BY299</f>
      </c>
      <c r="CA300" s="0">
        <f>IF(A300&lt;=IF($CD$1=0,999,$CD$1),BY300,NA())</f>
      </c>
      <c r="CB300" s="0">
        <f>IF(A300&lt;=IF($CD$1=0,999,$CD$1),A300,NA())</f>
      </c>
    </row>
    <row r="301">
      <c r="A301" s="0">
        <v>298</v>
      </c>
      <c r="B301" s="0">
        <f>BD300*(1+Calculator!$D$11/100/12)</f>
      </c>
      <c r="C301" s="0">
        <f>BE300*(1+Calculator!$D$12/100/12)</f>
      </c>
      <c r="D301" s="0">
        <f>BF300*(1+Calculator!$D$13/100/12)</f>
      </c>
      <c r="E301" s="0">
        <f>BG300*(1+Calculator!$D$14/100/12)</f>
      </c>
      <c r="F301" s="0">
        <f>BH300*(1+Calculator!$D$15/100/12)</f>
      </c>
      <c r="G301" s="0">
        <f>BI300*(1+Calculator!$D$16/100/12)</f>
      </c>
      <c r="H301" s="0">
        <f>BJ300*(1+Calculator!$D$17/100/12)</f>
      </c>
      <c r="I301" s="0">
        <f>BK300*(1+Calculator!$D$18/100/12)</f>
      </c>
      <c r="J301" s="0">
        <f>BL300*(1+Calculator!$D$19/100/12)</f>
      </c>
      <c r="K301" s="0">
        <f>BM300*(1+Calculator!$D$20/100/12)</f>
      </c>
      <c r="L301" s="0">
        <f>BN300*(1+Calculator!$D$21/100/12)</f>
      </c>
      <c r="M301" s="0">
        <f>BO300*(1+Calculator!$D$22/100/12)</f>
      </c>
      <c r="N301" s="0">
        <f>BP300*(1+Calculator!$D$23/100/12)</f>
      </c>
      <c r="O301" s="0">
        <f>BQ300*(1+Calculator!$D$24/100/12)</f>
      </c>
      <c r="P301" s="0">
        <f>BR300*(1+Calculator!$D$25/100/12)</f>
      </c>
      <c r="Q301" s="0">
        <f>BS300*(1+Calculator!$D$26/100/12)</f>
      </c>
      <c r="R301" s="0">
        <f>BT300*(1+Calculator!$D$27/100/12)</f>
      </c>
      <c r="S301" s="0">
        <f>BU300*(1+Calculator!$D$28/100/12)</f>
      </c>
      <c r="T301" s="0">
        <f>MAX(0,B301-Calculator!$E$11)</f>
      </c>
      <c r="U301" s="0">
        <f>MAX(0,C301-Calculator!$E$12)</f>
      </c>
      <c r="V301" s="0">
        <f>MAX(0,D301-Calculator!$E$13)</f>
      </c>
      <c r="W301" s="0">
        <f>MAX(0,E301-Calculator!$E$14)</f>
      </c>
      <c r="X301" s="0">
        <f>MAX(0,F301-Calculator!$E$15)</f>
      </c>
      <c r="Y301" s="0">
        <f>MAX(0,G301-Calculator!$E$16)</f>
      </c>
      <c r="Z301" s="0">
        <f>MAX(0,H301-Calculator!$E$17)</f>
      </c>
      <c r="AA301" s="0">
        <f>MAX(0,I301-Calculator!$E$18)</f>
      </c>
      <c r="AB301" s="0">
        <f>MAX(0,J301-Calculator!$E$19)</f>
      </c>
      <c r="AC301" s="0">
        <f>MAX(0,K301-Calculator!$E$20)</f>
      </c>
      <c r="AD301" s="0">
        <f>MAX(0,L301-Calculator!$E$21)</f>
      </c>
      <c r="AE301" s="0">
        <f>MAX(0,M301-Calculator!$E$22)</f>
      </c>
      <c r="AF301" s="0">
        <f>MAX(0,N301-Calculator!$E$23)</f>
      </c>
      <c r="AG301" s="0">
        <f>MAX(0,O301-Calculator!$E$24)</f>
      </c>
      <c r="AH301" s="0">
        <f>MAX(0,P301-Calculator!$E$25)</f>
      </c>
      <c r="AI301" s="0">
        <f>MAX(0,Q301-Calculator!$E$26)</f>
      </c>
      <c r="AJ301" s="0">
        <f>MAX(0,R301-Calculator!$E$27)</f>
      </c>
      <c r="AK301" s="0">
        <f>MAX(0,S301-Calculator!$E$28)</f>
      </c>
      <c r="AL301" s="0">
        <f>MAX(0,MIN(T301,BX301-SUMPRODUCT(($T$2:$AK$2&lt;T$2)*($T301:$AK301))))</f>
      </c>
      <c r="AM301" s="0">
        <f>MAX(0,MIN(U301,BX301-SUMPRODUCT(($T$2:$AK$2&lt;U$2)*($T301:$AK301))))</f>
      </c>
      <c r="AN301" s="0">
        <f>MAX(0,MIN(V301,BX301-SUMPRODUCT(($T$2:$AK$2&lt;V$2)*($T301:$AK301))))</f>
      </c>
      <c r="AO301" s="0">
        <f>MAX(0,MIN(W301,BX301-SUMPRODUCT(($T$2:$AK$2&lt;W$2)*($T301:$AK301))))</f>
      </c>
      <c r="AP301" s="0">
        <f>MAX(0,MIN(X301,BX301-SUMPRODUCT(($T$2:$AK$2&lt;X$2)*($T301:$AK301))))</f>
      </c>
      <c r="AQ301" s="0">
        <f>MAX(0,MIN(Y301,BX301-SUMPRODUCT(($T$2:$AK$2&lt;Y$2)*($T301:$AK301))))</f>
      </c>
      <c r="AR301" s="0">
        <f>MAX(0,MIN(Z301,BX301-SUMPRODUCT(($T$2:$AK$2&lt;Z$2)*($T301:$AK301))))</f>
      </c>
      <c r="AS301" s="0">
        <f>MAX(0,MIN(AA301,BX301-SUMPRODUCT(($T$2:$AK$2&lt;AA$2)*($T301:$AK301))))</f>
      </c>
      <c r="AT301" s="0">
        <f>MAX(0,MIN(AB301,BX301-SUMPRODUCT(($T$2:$AK$2&lt;AB$2)*($T301:$AK301))))</f>
      </c>
      <c r="AU301" s="0">
        <f>MAX(0,MIN(AC301,BX301-SUMPRODUCT(($T$2:$AK$2&lt;AC$2)*($T301:$AK301))))</f>
      </c>
      <c r="AV301" s="0">
        <f>MAX(0,MIN(AD301,BX301-SUMPRODUCT(($T$2:$AK$2&lt;AD$2)*($T301:$AK301))))</f>
      </c>
      <c r="AW301" s="0">
        <f>MAX(0,MIN(AE301,BX301-SUMPRODUCT(($T$2:$AK$2&lt;AE$2)*($T301:$AK301))))</f>
      </c>
      <c r="AX301" s="0">
        <f>MAX(0,MIN(AF301,BX301-SUMPRODUCT(($T$2:$AK$2&lt;AF$2)*($T301:$AK301))))</f>
      </c>
      <c r="AY301" s="0">
        <f>MAX(0,MIN(AG301,BX301-SUMPRODUCT(($T$2:$AK$2&lt;AG$2)*($T301:$AK301))))</f>
      </c>
      <c r="AZ301" s="0">
        <f>MAX(0,MIN(AH301,BX301-SUMPRODUCT(($T$2:$AK$2&lt;AH$2)*($T301:$AK301))))</f>
      </c>
      <c r="BA301" s="0">
        <f>MAX(0,MIN(AI301,BX301-SUMPRODUCT(($T$2:$AK$2&lt;AI$2)*($T301:$AK301))))</f>
      </c>
      <c r="BB301" s="0">
        <f>MAX(0,MIN(AJ301,BX301-SUMPRODUCT(($T$2:$AK$2&lt;AJ$2)*($T301:$AK301))))</f>
      </c>
      <c r="BC301" s="0">
        <f>MAX(0,MIN(AK301,BX301-SUMPRODUCT(($T$2:$AK$2&lt;AK$2)*($T301:$AK301))))</f>
      </c>
      <c r="BD301" s="0">
        <f>T301-AL301</f>
      </c>
      <c r="BE301" s="0">
        <f>U301-AM301</f>
      </c>
      <c r="BF301" s="0">
        <f>V301-AN301</f>
      </c>
      <c r="BG301" s="0">
        <f>W301-AO301</f>
      </c>
      <c r="BH301" s="0">
        <f>X301-AP301</f>
      </c>
      <c r="BI301" s="0">
        <f>Y301-AQ301</f>
      </c>
      <c r="BJ301" s="0">
        <f>Z301-AR301</f>
      </c>
      <c r="BK301" s="0">
        <f>AA301-AS301</f>
      </c>
      <c r="BL301" s="0">
        <f>AB301-AT301</f>
      </c>
      <c r="BM301" s="0">
        <f>AC301-AU301</f>
      </c>
      <c r="BN301" s="0">
        <f>AD301-AV301</f>
      </c>
      <c r="BO301" s="0">
        <f>AE301-AW301</f>
      </c>
      <c r="BP301" s="0">
        <f>AF301-AX301</f>
      </c>
      <c r="BQ301" s="0">
        <f>AG301-AY301</f>
      </c>
      <c r="BR301" s="0">
        <f>AH301-AZ301</f>
      </c>
      <c r="BS301" s="0">
        <f>AI301-BA301</f>
      </c>
      <c r="BT301" s="0">
        <f>AJ301-BB301</f>
      </c>
      <c r="BU301" s="0">
        <f>AK301-BC301</f>
      </c>
      <c r="BV301" s="0">
        <f>SUM(B301:S301)</f>
      </c>
      <c r="BW301" s="0">
        <f>SUM(T301:AK301)</f>
      </c>
      <c r="BX301" s="0">
        <f>MAX(0,(SUM(Calculator!$E$11:$E$28)+Calculator!$C$6)-BV301+BW301)</f>
      </c>
      <c r="BY301" s="0">
        <f>SUM(BD301:BU301)</f>
      </c>
      <c r="BZ301" s="0">
        <f>BV301-BY300</f>
      </c>
      <c r="CA301" s="0">
        <f>IF(A301&lt;=IF($CD$1=0,999,$CD$1),BY301,NA())</f>
      </c>
      <c r="CB301" s="0">
        <f>IF(A301&lt;=IF($CD$1=0,999,$CD$1),A301,NA())</f>
      </c>
    </row>
    <row r="302">
      <c r="A302" s="0">
        <v>299</v>
      </c>
      <c r="B302" s="0">
        <f>BD301*(1+Calculator!$D$11/100/12)</f>
      </c>
      <c r="C302" s="0">
        <f>BE301*(1+Calculator!$D$12/100/12)</f>
      </c>
      <c r="D302" s="0">
        <f>BF301*(1+Calculator!$D$13/100/12)</f>
      </c>
      <c r="E302" s="0">
        <f>BG301*(1+Calculator!$D$14/100/12)</f>
      </c>
      <c r="F302" s="0">
        <f>BH301*(1+Calculator!$D$15/100/12)</f>
      </c>
      <c r="G302" s="0">
        <f>BI301*(1+Calculator!$D$16/100/12)</f>
      </c>
      <c r="H302" s="0">
        <f>BJ301*(1+Calculator!$D$17/100/12)</f>
      </c>
      <c r="I302" s="0">
        <f>BK301*(1+Calculator!$D$18/100/12)</f>
      </c>
      <c r="J302" s="0">
        <f>BL301*(1+Calculator!$D$19/100/12)</f>
      </c>
      <c r="K302" s="0">
        <f>BM301*(1+Calculator!$D$20/100/12)</f>
      </c>
      <c r="L302" s="0">
        <f>BN301*(1+Calculator!$D$21/100/12)</f>
      </c>
      <c r="M302" s="0">
        <f>BO301*(1+Calculator!$D$22/100/12)</f>
      </c>
      <c r="N302" s="0">
        <f>BP301*(1+Calculator!$D$23/100/12)</f>
      </c>
      <c r="O302" s="0">
        <f>BQ301*(1+Calculator!$D$24/100/12)</f>
      </c>
      <c r="P302" s="0">
        <f>BR301*(1+Calculator!$D$25/100/12)</f>
      </c>
      <c r="Q302" s="0">
        <f>BS301*(1+Calculator!$D$26/100/12)</f>
      </c>
      <c r="R302" s="0">
        <f>BT301*(1+Calculator!$D$27/100/12)</f>
      </c>
      <c r="S302" s="0">
        <f>BU301*(1+Calculator!$D$28/100/12)</f>
      </c>
      <c r="T302" s="0">
        <f>MAX(0,B302-Calculator!$E$11)</f>
      </c>
      <c r="U302" s="0">
        <f>MAX(0,C302-Calculator!$E$12)</f>
      </c>
      <c r="V302" s="0">
        <f>MAX(0,D302-Calculator!$E$13)</f>
      </c>
      <c r="W302" s="0">
        <f>MAX(0,E302-Calculator!$E$14)</f>
      </c>
      <c r="X302" s="0">
        <f>MAX(0,F302-Calculator!$E$15)</f>
      </c>
      <c r="Y302" s="0">
        <f>MAX(0,G302-Calculator!$E$16)</f>
      </c>
      <c r="Z302" s="0">
        <f>MAX(0,H302-Calculator!$E$17)</f>
      </c>
      <c r="AA302" s="0">
        <f>MAX(0,I302-Calculator!$E$18)</f>
      </c>
      <c r="AB302" s="0">
        <f>MAX(0,J302-Calculator!$E$19)</f>
      </c>
      <c r="AC302" s="0">
        <f>MAX(0,K302-Calculator!$E$20)</f>
      </c>
      <c r="AD302" s="0">
        <f>MAX(0,L302-Calculator!$E$21)</f>
      </c>
      <c r="AE302" s="0">
        <f>MAX(0,M302-Calculator!$E$22)</f>
      </c>
      <c r="AF302" s="0">
        <f>MAX(0,N302-Calculator!$E$23)</f>
      </c>
      <c r="AG302" s="0">
        <f>MAX(0,O302-Calculator!$E$24)</f>
      </c>
      <c r="AH302" s="0">
        <f>MAX(0,P302-Calculator!$E$25)</f>
      </c>
      <c r="AI302" s="0">
        <f>MAX(0,Q302-Calculator!$E$26)</f>
      </c>
      <c r="AJ302" s="0">
        <f>MAX(0,R302-Calculator!$E$27)</f>
      </c>
      <c r="AK302" s="0">
        <f>MAX(0,S302-Calculator!$E$28)</f>
      </c>
      <c r="AL302" s="0">
        <f>MAX(0,MIN(T302,BX302-SUMPRODUCT(($T$2:$AK$2&lt;T$2)*($T302:$AK302))))</f>
      </c>
      <c r="AM302" s="0">
        <f>MAX(0,MIN(U302,BX302-SUMPRODUCT(($T$2:$AK$2&lt;U$2)*($T302:$AK302))))</f>
      </c>
      <c r="AN302" s="0">
        <f>MAX(0,MIN(V302,BX302-SUMPRODUCT(($T$2:$AK$2&lt;V$2)*($T302:$AK302))))</f>
      </c>
      <c r="AO302" s="0">
        <f>MAX(0,MIN(W302,BX302-SUMPRODUCT(($T$2:$AK$2&lt;W$2)*($T302:$AK302))))</f>
      </c>
      <c r="AP302" s="0">
        <f>MAX(0,MIN(X302,BX302-SUMPRODUCT(($T$2:$AK$2&lt;X$2)*($T302:$AK302))))</f>
      </c>
      <c r="AQ302" s="0">
        <f>MAX(0,MIN(Y302,BX302-SUMPRODUCT(($T$2:$AK$2&lt;Y$2)*($T302:$AK302))))</f>
      </c>
      <c r="AR302" s="0">
        <f>MAX(0,MIN(Z302,BX302-SUMPRODUCT(($T$2:$AK$2&lt;Z$2)*($T302:$AK302))))</f>
      </c>
      <c r="AS302" s="0">
        <f>MAX(0,MIN(AA302,BX302-SUMPRODUCT(($T$2:$AK$2&lt;AA$2)*($T302:$AK302))))</f>
      </c>
      <c r="AT302" s="0">
        <f>MAX(0,MIN(AB302,BX302-SUMPRODUCT(($T$2:$AK$2&lt;AB$2)*($T302:$AK302))))</f>
      </c>
      <c r="AU302" s="0">
        <f>MAX(0,MIN(AC302,BX302-SUMPRODUCT(($T$2:$AK$2&lt;AC$2)*($T302:$AK302))))</f>
      </c>
      <c r="AV302" s="0">
        <f>MAX(0,MIN(AD302,BX302-SUMPRODUCT(($T$2:$AK$2&lt;AD$2)*($T302:$AK302))))</f>
      </c>
      <c r="AW302" s="0">
        <f>MAX(0,MIN(AE302,BX302-SUMPRODUCT(($T$2:$AK$2&lt;AE$2)*($T302:$AK302))))</f>
      </c>
      <c r="AX302" s="0">
        <f>MAX(0,MIN(AF302,BX302-SUMPRODUCT(($T$2:$AK$2&lt;AF$2)*($T302:$AK302))))</f>
      </c>
      <c r="AY302" s="0">
        <f>MAX(0,MIN(AG302,BX302-SUMPRODUCT(($T$2:$AK$2&lt;AG$2)*($T302:$AK302))))</f>
      </c>
      <c r="AZ302" s="0">
        <f>MAX(0,MIN(AH302,BX302-SUMPRODUCT(($T$2:$AK$2&lt;AH$2)*($T302:$AK302))))</f>
      </c>
      <c r="BA302" s="0">
        <f>MAX(0,MIN(AI302,BX302-SUMPRODUCT(($T$2:$AK$2&lt;AI$2)*($T302:$AK302))))</f>
      </c>
      <c r="BB302" s="0">
        <f>MAX(0,MIN(AJ302,BX302-SUMPRODUCT(($T$2:$AK$2&lt;AJ$2)*($T302:$AK302))))</f>
      </c>
      <c r="BC302" s="0">
        <f>MAX(0,MIN(AK302,BX302-SUMPRODUCT(($T$2:$AK$2&lt;AK$2)*($T302:$AK302))))</f>
      </c>
      <c r="BD302" s="0">
        <f>T302-AL302</f>
      </c>
      <c r="BE302" s="0">
        <f>U302-AM302</f>
      </c>
      <c r="BF302" s="0">
        <f>V302-AN302</f>
      </c>
      <c r="BG302" s="0">
        <f>W302-AO302</f>
      </c>
      <c r="BH302" s="0">
        <f>X302-AP302</f>
      </c>
      <c r="BI302" s="0">
        <f>Y302-AQ302</f>
      </c>
      <c r="BJ302" s="0">
        <f>Z302-AR302</f>
      </c>
      <c r="BK302" s="0">
        <f>AA302-AS302</f>
      </c>
      <c r="BL302" s="0">
        <f>AB302-AT302</f>
      </c>
      <c r="BM302" s="0">
        <f>AC302-AU302</f>
      </c>
      <c r="BN302" s="0">
        <f>AD302-AV302</f>
      </c>
      <c r="BO302" s="0">
        <f>AE302-AW302</f>
      </c>
      <c r="BP302" s="0">
        <f>AF302-AX302</f>
      </c>
      <c r="BQ302" s="0">
        <f>AG302-AY302</f>
      </c>
      <c r="BR302" s="0">
        <f>AH302-AZ302</f>
      </c>
      <c r="BS302" s="0">
        <f>AI302-BA302</f>
      </c>
      <c r="BT302" s="0">
        <f>AJ302-BB302</f>
      </c>
      <c r="BU302" s="0">
        <f>AK302-BC302</f>
      </c>
      <c r="BV302" s="0">
        <f>SUM(B302:S302)</f>
      </c>
      <c r="BW302" s="0">
        <f>SUM(T302:AK302)</f>
      </c>
      <c r="BX302" s="0">
        <f>MAX(0,(SUM(Calculator!$E$11:$E$28)+Calculator!$C$6)-BV302+BW302)</f>
      </c>
      <c r="BY302" s="0">
        <f>SUM(BD302:BU302)</f>
      </c>
      <c r="BZ302" s="0">
        <f>BV302-BY301</f>
      </c>
      <c r="CA302" s="0">
        <f>IF(A302&lt;=IF($CD$1=0,999,$CD$1),BY302,NA())</f>
      </c>
      <c r="CB302" s="0">
        <f>IF(A302&lt;=IF($CD$1=0,999,$CD$1),A302,NA())</f>
      </c>
    </row>
    <row r="303">
      <c r="A303" s="0">
        <v>300</v>
      </c>
      <c r="B303" s="0">
        <f>BD302*(1+Calculator!$D$11/100/12)</f>
      </c>
      <c r="C303" s="0">
        <f>BE302*(1+Calculator!$D$12/100/12)</f>
      </c>
      <c r="D303" s="0">
        <f>BF302*(1+Calculator!$D$13/100/12)</f>
      </c>
      <c r="E303" s="0">
        <f>BG302*(1+Calculator!$D$14/100/12)</f>
      </c>
      <c r="F303" s="0">
        <f>BH302*(1+Calculator!$D$15/100/12)</f>
      </c>
      <c r="G303" s="0">
        <f>BI302*(1+Calculator!$D$16/100/12)</f>
      </c>
      <c r="H303" s="0">
        <f>BJ302*(1+Calculator!$D$17/100/12)</f>
      </c>
      <c r="I303" s="0">
        <f>BK302*(1+Calculator!$D$18/100/12)</f>
      </c>
      <c r="J303" s="0">
        <f>BL302*(1+Calculator!$D$19/100/12)</f>
      </c>
      <c r="K303" s="0">
        <f>BM302*(1+Calculator!$D$20/100/12)</f>
      </c>
      <c r="L303" s="0">
        <f>BN302*(1+Calculator!$D$21/100/12)</f>
      </c>
      <c r="M303" s="0">
        <f>BO302*(1+Calculator!$D$22/100/12)</f>
      </c>
      <c r="N303" s="0">
        <f>BP302*(1+Calculator!$D$23/100/12)</f>
      </c>
      <c r="O303" s="0">
        <f>BQ302*(1+Calculator!$D$24/100/12)</f>
      </c>
      <c r="P303" s="0">
        <f>BR302*(1+Calculator!$D$25/100/12)</f>
      </c>
      <c r="Q303" s="0">
        <f>BS302*(1+Calculator!$D$26/100/12)</f>
      </c>
      <c r="R303" s="0">
        <f>BT302*(1+Calculator!$D$27/100/12)</f>
      </c>
      <c r="S303" s="0">
        <f>BU302*(1+Calculator!$D$28/100/12)</f>
      </c>
      <c r="T303" s="0">
        <f>MAX(0,B303-Calculator!$E$11)</f>
      </c>
      <c r="U303" s="0">
        <f>MAX(0,C303-Calculator!$E$12)</f>
      </c>
      <c r="V303" s="0">
        <f>MAX(0,D303-Calculator!$E$13)</f>
      </c>
      <c r="W303" s="0">
        <f>MAX(0,E303-Calculator!$E$14)</f>
      </c>
      <c r="X303" s="0">
        <f>MAX(0,F303-Calculator!$E$15)</f>
      </c>
      <c r="Y303" s="0">
        <f>MAX(0,G303-Calculator!$E$16)</f>
      </c>
      <c r="Z303" s="0">
        <f>MAX(0,H303-Calculator!$E$17)</f>
      </c>
      <c r="AA303" s="0">
        <f>MAX(0,I303-Calculator!$E$18)</f>
      </c>
      <c r="AB303" s="0">
        <f>MAX(0,J303-Calculator!$E$19)</f>
      </c>
      <c r="AC303" s="0">
        <f>MAX(0,K303-Calculator!$E$20)</f>
      </c>
      <c r="AD303" s="0">
        <f>MAX(0,L303-Calculator!$E$21)</f>
      </c>
      <c r="AE303" s="0">
        <f>MAX(0,M303-Calculator!$E$22)</f>
      </c>
      <c r="AF303" s="0">
        <f>MAX(0,N303-Calculator!$E$23)</f>
      </c>
      <c r="AG303" s="0">
        <f>MAX(0,O303-Calculator!$E$24)</f>
      </c>
      <c r="AH303" s="0">
        <f>MAX(0,P303-Calculator!$E$25)</f>
      </c>
      <c r="AI303" s="0">
        <f>MAX(0,Q303-Calculator!$E$26)</f>
      </c>
      <c r="AJ303" s="0">
        <f>MAX(0,R303-Calculator!$E$27)</f>
      </c>
      <c r="AK303" s="0">
        <f>MAX(0,S303-Calculator!$E$28)</f>
      </c>
      <c r="AL303" s="0">
        <f>MAX(0,MIN(T303,BX303-SUMPRODUCT(($T$2:$AK$2&lt;T$2)*($T303:$AK303))))</f>
      </c>
      <c r="AM303" s="0">
        <f>MAX(0,MIN(U303,BX303-SUMPRODUCT(($T$2:$AK$2&lt;U$2)*($T303:$AK303))))</f>
      </c>
      <c r="AN303" s="0">
        <f>MAX(0,MIN(V303,BX303-SUMPRODUCT(($T$2:$AK$2&lt;V$2)*($T303:$AK303))))</f>
      </c>
      <c r="AO303" s="0">
        <f>MAX(0,MIN(W303,BX303-SUMPRODUCT(($T$2:$AK$2&lt;W$2)*($T303:$AK303))))</f>
      </c>
      <c r="AP303" s="0">
        <f>MAX(0,MIN(X303,BX303-SUMPRODUCT(($T$2:$AK$2&lt;X$2)*($T303:$AK303))))</f>
      </c>
      <c r="AQ303" s="0">
        <f>MAX(0,MIN(Y303,BX303-SUMPRODUCT(($T$2:$AK$2&lt;Y$2)*($T303:$AK303))))</f>
      </c>
      <c r="AR303" s="0">
        <f>MAX(0,MIN(Z303,BX303-SUMPRODUCT(($T$2:$AK$2&lt;Z$2)*($T303:$AK303))))</f>
      </c>
      <c r="AS303" s="0">
        <f>MAX(0,MIN(AA303,BX303-SUMPRODUCT(($T$2:$AK$2&lt;AA$2)*($T303:$AK303))))</f>
      </c>
      <c r="AT303" s="0">
        <f>MAX(0,MIN(AB303,BX303-SUMPRODUCT(($T$2:$AK$2&lt;AB$2)*($T303:$AK303))))</f>
      </c>
      <c r="AU303" s="0">
        <f>MAX(0,MIN(AC303,BX303-SUMPRODUCT(($T$2:$AK$2&lt;AC$2)*($T303:$AK303))))</f>
      </c>
      <c r="AV303" s="0">
        <f>MAX(0,MIN(AD303,BX303-SUMPRODUCT(($T$2:$AK$2&lt;AD$2)*($T303:$AK303))))</f>
      </c>
      <c r="AW303" s="0">
        <f>MAX(0,MIN(AE303,BX303-SUMPRODUCT(($T$2:$AK$2&lt;AE$2)*($T303:$AK303))))</f>
      </c>
      <c r="AX303" s="0">
        <f>MAX(0,MIN(AF303,BX303-SUMPRODUCT(($T$2:$AK$2&lt;AF$2)*($T303:$AK303))))</f>
      </c>
      <c r="AY303" s="0">
        <f>MAX(0,MIN(AG303,BX303-SUMPRODUCT(($T$2:$AK$2&lt;AG$2)*($T303:$AK303))))</f>
      </c>
      <c r="AZ303" s="0">
        <f>MAX(0,MIN(AH303,BX303-SUMPRODUCT(($T$2:$AK$2&lt;AH$2)*($T303:$AK303))))</f>
      </c>
      <c r="BA303" s="0">
        <f>MAX(0,MIN(AI303,BX303-SUMPRODUCT(($T$2:$AK$2&lt;AI$2)*($T303:$AK303))))</f>
      </c>
      <c r="BB303" s="0">
        <f>MAX(0,MIN(AJ303,BX303-SUMPRODUCT(($T$2:$AK$2&lt;AJ$2)*($T303:$AK303))))</f>
      </c>
      <c r="BC303" s="0">
        <f>MAX(0,MIN(AK303,BX303-SUMPRODUCT(($T$2:$AK$2&lt;AK$2)*($T303:$AK303))))</f>
      </c>
      <c r="BD303" s="0">
        <f>T303-AL303</f>
      </c>
      <c r="BE303" s="0">
        <f>U303-AM303</f>
      </c>
      <c r="BF303" s="0">
        <f>V303-AN303</f>
      </c>
      <c r="BG303" s="0">
        <f>W303-AO303</f>
      </c>
      <c r="BH303" s="0">
        <f>X303-AP303</f>
      </c>
      <c r="BI303" s="0">
        <f>Y303-AQ303</f>
      </c>
      <c r="BJ303" s="0">
        <f>Z303-AR303</f>
      </c>
      <c r="BK303" s="0">
        <f>AA303-AS303</f>
      </c>
      <c r="BL303" s="0">
        <f>AB303-AT303</f>
      </c>
      <c r="BM303" s="0">
        <f>AC303-AU303</f>
      </c>
      <c r="BN303" s="0">
        <f>AD303-AV303</f>
      </c>
      <c r="BO303" s="0">
        <f>AE303-AW303</f>
      </c>
      <c r="BP303" s="0">
        <f>AF303-AX303</f>
      </c>
      <c r="BQ303" s="0">
        <f>AG303-AY303</f>
      </c>
      <c r="BR303" s="0">
        <f>AH303-AZ303</f>
      </c>
      <c r="BS303" s="0">
        <f>AI303-BA303</f>
      </c>
      <c r="BT303" s="0">
        <f>AJ303-BB303</f>
      </c>
      <c r="BU303" s="0">
        <f>AK303-BC303</f>
      </c>
      <c r="BV303" s="0">
        <f>SUM(B303:S303)</f>
      </c>
      <c r="BW303" s="0">
        <f>SUM(T303:AK303)</f>
      </c>
      <c r="BX303" s="0">
        <f>MAX(0,(SUM(Calculator!$E$11:$E$28)+Calculator!$C$6)-BV303+BW303)</f>
      </c>
      <c r="BY303" s="0">
        <f>SUM(BD303:BU303)</f>
      </c>
      <c r="BZ303" s="0">
        <f>BV303-BY302</f>
      </c>
      <c r="CA303" s="0">
        <f>IF(A303&lt;=IF($CD$1=0,999,$CD$1),BY303,NA())</f>
      </c>
      <c r="CB303" s="0">
        <f>IF(A303&lt;=IF($CD$1=0,999,$CD$1),A303,NA())</f>
      </c>
    </row>
    <row r="304">
      <c r="A304" s="0">
        <v>301</v>
      </c>
      <c r="B304" s="0">
        <f>BD303*(1+Calculator!$D$11/100/12)</f>
      </c>
      <c r="C304" s="0">
        <f>BE303*(1+Calculator!$D$12/100/12)</f>
      </c>
      <c r="D304" s="0">
        <f>BF303*(1+Calculator!$D$13/100/12)</f>
      </c>
      <c r="E304" s="0">
        <f>BG303*(1+Calculator!$D$14/100/12)</f>
      </c>
      <c r="F304" s="0">
        <f>BH303*(1+Calculator!$D$15/100/12)</f>
      </c>
      <c r="G304" s="0">
        <f>BI303*(1+Calculator!$D$16/100/12)</f>
      </c>
      <c r="H304" s="0">
        <f>BJ303*(1+Calculator!$D$17/100/12)</f>
      </c>
      <c r="I304" s="0">
        <f>BK303*(1+Calculator!$D$18/100/12)</f>
      </c>
      <c r="J304" s="0">
        <f>BL303*(1+Calculator!$D$19/100/12)</f>
      </c>
      <c r="K304" s="0">
        <f>BM303*(1+Calculator!$D$20/100/12)</f>
      </c>
      <c r="L304" s="0">
        <f>BN303*(1+Calculator!$D$21/100/12)</f>
      </c>
      <c r="M304" s="0">
        <f>BO303*(1+Calculator!$D$22/100/12)</f>
      </c>
      <c r="N304" s="0">
        <f>BP303*(1+Calculator!$D$23/100/12)</f>
      </c>
      <c r="O304" s="0">
        <f>BQ303*(1+Calculator!$D$24/100/12)</f>
      </c>
      <c r="P304" s="0">
        <f>BR303*(1+Calculator!$D$25/100/12)</f>
      </c>
      <c r="Q304" s="0">
        <f>BS303*(1+Calculator!$D$26/100/12)</f>
      </c>
      <c r="R304" s="0">
        <f>BT303*(1+Calculator!$D$27/100/12)</f>
      </c>
      <c r="S304" s="0">
        <f>BU303*(1+Calculator!$D$28/100/12)</f>
      </c>
      <c r="T304" s="0">
        <f>MAX(0,B304-Calculator!$E$11)</f>
      </c>
      <c r="U304" s="0">
        <f>MAX(0,C304-Calculator!$E$12)</f>
      </c>
      <c r="V304" s="0">
        <f>MAX(0,D304-Calculator!$E$13)</f>
      </c>
      <c r="W304" s="0">
        <f>MAX(0,E304-Calculator!$E$14)</f>
      </c>
      <c r="X304" s="0">
        <f>MAX(0,F304-Calculator!$E$15)</f>
      </c>
      <c r="Y304" s="0">
        <f>MAX(0,G304-Calculator!$E$16)</f>
      </c>
      <c r="Z304" s="0">
        <f>MAX(0,H304-Calculator!$E$17)</f>
      </c>
      <c r="AA304" s="0">
        <f>MAX(0,I304-Calculator!$E$18)</f>
      </c>
      <c r="AB304" s="0">
        <f>MAX(0,J304-Calculator!$E$19)</f>
      </c>
      <c r="AC304" s="0">
        <f>MAX(0,K304-Calculator!$E$20)</f>
      </c>
      <c r="AD304" s="0">
        <f>MAX(0,L304-Calculator!$E$21)</f>
      </c>
      <c r="AE304" s="0">
        <f>MAX(0,M304-Calculator!$E$22)</f>
      </c>
      <c r="AF304" s="0">
        <f>MAX(0,N304-Calculator!$E$23)</f>
      </c>
      <c r="AG304" s="0">
        <f>MAX(0,O304-Calculator!$E$24)</f>
      </c>
      <c r="AH304" s="0">
        <f>MAX(0,P304-Calculator!$E$25)</f>
      </c>
      <c r="AI304" s="0">
        <f>MAX(0,Q304-Calculator!$E$26)</f>
      </c>
      <c r="AJ304" s="0">
        <f>MAX(0,R304-Calculator!$E$27)</f>
      </c>
      <c r="AK304" s="0">
        <f>MAX(0,S304-Calculator!$E$28)</f>
      </c>
      <c r="AL304" s="0">
        <f>MAX(0,MIN(T304,BX304-SUMPRODUCT(($T$2:$AK$2&lt;T$2)*($T304:$AK304))))</f>
      </c>
      <c r="AM304" s="0">
        <f>MAX(0,MIN(U304,BX304-SUMPRODUCT(($T$2:$AK$2&lt;U$2)*($T304:$AK304))))</f>
      </c>
      <c r="AN304" s="0">
        <f>MAX(0,MIN(V304,BX304-SUMPRODUCT(($T$2:$AK$2&lt;V$2)*($T304:$AK304))))</f>
      </c>
      <c r="AO304" s="0">
        <f>MAX(0,MIN(W304,BX304-SUMPRODUCT(($T$2:$AK$2&lt;W$2)*($T304:$AK304))))</f>
      </c>
      <c r="AP304" s="0">
        <f>MAX(0,MIN(X304,BX304-SUMPRODUCT(($T$2:$AK$2&lt;X$2)*($T304:$AK304))))</f>
      </c>
      <c r="AQ304" s="0">
        <f>MAX(0,MIN(Y304,BX304-SUMPRODUCT(($T$2:$AK$2&lt;Y$2)*($T304:$AK304))))</f>
      </c>
      <c r="AR304" s="0">
        <f>MAX(0,MIN(Z304,BX304-SUMPRODUCT(($T$2:$AK$2&lt;Z$2)*($T304:$AK304))))</f>
      </c>
      <c r="AS304" s="0">
        <f>MAX(0,MIN(AA304,BX304-SUMPRODUCT(($T$2:$AK$2&lt;AA$2)*($T304:$AK304))))</f>
      </c>
      <c r="AT304" s="0">
        <f>MAX(0,MIN(AB304,BX304-SUMPRODUCT(($T$2:$AK$2&lt;AB$2)*($T304:$AK304))))</f>
      </c>
      <c r="AU304" s="0">
        <f>MAX(0,MIN(AC304,BX304-SUMPRODUCT(($T$2:$AK$2&lt;AC$2)*($T304:$AK304))))</f>
      </c>
      <c r="AV304" s="0">
        <f>MAX(0,MIN(AD304,BX304-SUMPRODUCT(($T$2:$AK$2&lt;AD$2)*($T304:$AK304))))</f>
      </c>
      <c r="AW304" s="0">
        <f>MAX(0,MIN(AE304,BX304-SUMPRODUCT(($T$2:$AK$2&lt;AE$2)*($T304:$AK304))))</f>
      </c>
      <c r="AX304" s="0">
        <f>MAX(0,MIN(AF304,BX304-SUMPRODUCT(($T$2:$AK$2&lt;AF$2)*($T304:$AK304))))</f>
      </c>
      <c r="AY304" s="0">
        <f>MAX(0,MIN(AG304,BX304-SUMPRODUCT(($T$2:$AK$2&lt;AG$2)*($T304:$AK304))))</f>
      </c>
      <c r="AZ304" s="0">
        <f>MAX(0,MIN(AH304,BX304-SUMPRODUCT(($T$2:$AK$2&lt;AH$2)*($T304:$AK304))))</f>
      </c>
      <c r="BA304" s="0">
        <f>MAX(0,MIN(AI304,BX304-SUMPRODUCT(($T$2:$AK$2&lt;AI$2)*($T304:$AK304))))</f>
      </c>
      <c r="BB304" s="0">
        <f>MAX(0,MIN(AJ304,BX304-SUMPRODUCT(($T$2:$AK$2&lt;AJ$2)*($T304:$AK304))))</f>
      </c>
      <c r="BC304" s="0">
        <f>MAX(0,MIN(AK304,BX304-SUMPRODUCT(($T$2:$AK$2&lt;AK$2)*($T304:$AK304))))</f>
      </c>
      <c r="BD304" s="0">
        <f>T304-AL304</f>
      </c>
      <c r="BE304" s="0">
        <f>U304-AM304</f>
      </c>
      <c r="BF304" s="0">
        <f>V304-AN304</f>
      </c>
      <c r="BG304" s="0">
        <f>W304-AO304</f>
      </c>
      <c r="BH304" s="0">
        <f>X304-AP304</f>
      </c>
      <c r="BI304" s="0">
        <f>Y304-AQ304</f>
      </c>
      <c r="BJ304" s="0">
        <f>Z304-AR304</f>
      </c>
      <c r="BK304" s="0">
        <f>AA304-AS304</f>
      </c>
      <c r="BL304" s="0">
        <f>AB304-AT304</f>
      </c>
      <c r="BM304" s="0">
        <f>AC304-AU304</f>
      </c>
      <c r="BN304" s="0">
        <f>AD304-AV304</f>
      </c>
      <c r="BO304" s="0">
        <f>AE304-AW304</f>
      </c>
      <c r="BP304" s="0">
        <f>AF304-AX304</f>
      </c>
      <c r="BQ304" s="0">
        <f>AG304-AY304</f>
      </c>
      <c r="BR304" s="0">
        <f>AH304-AZ304</f>
      </c>
      <c r="BS304" s="0">
        <f>AI304-BA304</f>
      </c>
      <c r="BT304" s="0">
        <f>AJ304-BB304</f>
      </c>
      <c r="BU304" s="0">
        <f>AK304-BC304</f>
      </c>
      <c r="BV304" s="0">
        <f>SUM(B304:S304)</f>
      </c>
      <c r="BW304" s="0">
        <f>SUM(T304:AK304)</f>
      </c>
      <c r="BX304" s="0">
        <f>MAX(0,(SUM(Calculator!$E$11:$E$28)+Calculator!$C$6)-BV304+BW304)</f>
      </c>
      <c r="BY304" s="0">
        <f>SUM(BD304:BU304)</f>
      </c>
      <c r="BZ304" s="0">
        <f>BV304-BY303</f>
      </c>
      <c r="CA304" s="0">
        <f>IF(A304&lt;=IF($CD$1=0,999,$CD$1),BY304,NA())</f>
      </c>
      <c r="CB304" s="0">
        <f>IF(A304&lt;=IF($CD$1=0,999,$CD$1),A304,NA())</f>
      </c>
    </row>
    <row r="305">
      <c r="A305" s="0">
        <v>302</v>
      </c>
      <c r="B305" s="0">
        <f>BD304*(1+Calculator!$D$11/100/12)</f>
      </c>
      <c r="C305" s="0">
        <f>BE304*(1+Calculator!$D$12/100/12)</f>
      </c>
      <c r="D305" s="0">
        <f>BF304*(1+Calculator!$D$13/100/12)</f>
      </c>
      <c r="E305" s="0">
        <f>BG304*(1+Calculator!$D$14/100/12)</f>
      </c>
      <c r="F305" s="0">
        <f>BH304*(1+Calculator!$D$15/100/12)</f>
      </c>
      <c r="G305" s="0">
        <f>BI304*(1+Calculator!$D$16/100/12)</f>
      </c>
      <c r="H305" s="0">
        <f>BJ304*(1+Calculator!$D$17/100/12)</f>
      </c>
      <c r="I305" s="0">
        <f>BK304*(1+Calculator!$D$18/100/12)</f>
      </c>
      <c r="J305" s="0">
        <f>BL304*(1+Calculator!$D$19/100/12)</f>
      </c>
      <c r="K305" s="0">
        <f>BM304*(1+Calculator!$D$20/100/12)</f>
      </c>
      <c r="L305" s="0">
        <f>BN304*(1+Calculator!$D$21/100/12)</f>
      </c>
      <c r="M305" s="0">
        <f>BO304*(1+Calculator!$D$22/100/12)</f>
      </c>
      <c r="N305" s="0">
        <f>BP304*(1+Calculator!$D$23/100/12)</f>
      </c>
      <c r="O305" s="0">
        <f>BQ304*(1+Calculator!$D$24/100/12)</f>
      </c>
      <c r="P305" s="0">
        <f>BR304*(1+Calculator!$D$25/100/12)</f>
      </c>
      <c r="Q305" s="0">
        <f>BS304*(1+Calculator!$D$26/100/12)</f>
      </c>
      <c r="R305" s="0">
        <f>BT304*(1+Calculator!$D$27/100/12)</f>
      </c>
      <c r="S305" s="0">
        <f>BU304*(1+Calculator!$D$28/100/12)</f>
      </c>
      <c r="T305" s="0">
        <f>MAX(0,B305-Calculator!$E$11)</f>
      </c>
      <c r="U305" s="0">
        <f>MAX(0,C305-Calculator!$E$12)</f>
      </c>
      <c r="V305" s="0">
        <f>MAX(0,D305-Calculator!$E$13)</f>
      </c>
      <c r="W305" s="0">
        <f>MAX(0,E305-Calculator!$E$14)</f>
      </c>
      <c r="X305" s="0">
        <f>MAX(0,F305-Calculator!$E$15)</f>
      </c>
      <c r="Y305" s="0">
        <f>MAX(0,G305-Calculator!$E$16)</f>
      </c>
      <c r="Z305" s="0">
        <f>MAX(0,H305-Calculator!$E$17)</f>
      </c>
      <c r="AA305" s="0">
        <f>MAX(0,I305-Calculator!$E$18)</f>
      </c>
      <c r="AB305" s="0">
        <f>MAX(0,J305-Calculator!$E$19)</f>
      </c>
      <c r="AC305" s="0">
        <f>MAX(0,K305-Calculator!$E$20)</f>
      </c>
      <c r="AD305" s="0">
        <f>MAX(0,L305-Calculator!$E$21)</f>
      </c>
      <c r="AE305" s="0">
        <f>MAX(0,M305-Calculator!$E$22)</f>
      </c>
      <c r="AF305" s="0">
        <f>MAX(0,N305-Calculator!$E$23)</f>
      </c>
      <c r="AG305" s="0">
        <f>MAX(0,O305-Calculator!$E$24)</f>
      </c>
      <c r="AH305" s="0">
        <f>MAX(0,P305-Calculator!$E$25)</f>
      </c>
      <c r="AI305" s="0">
        <f>MAX(0,Q305-Calculator!$E$26)</f>
      </c>
      <c r="AJ305" s="0">
        <f>MAX(0,R305-Calculator!$E$27)</f>
      </c>
      <c r="AK305" s="0">
        <f>MAX(0,S305-Calculator!$E$28)</f>
      </c>
      <c r="AL305" s="0">
        <f>MAX(0,MIN(T305,BX305-SUMPRODUCT(($T$2:$AK$2&lt;T$2)*($T305:$AK305))))</f>
      </c>
      <c r="AM305" s="0">
        <f>MAX(0,MIN(U305,BX305-SUMPRODUCT(($T$2:$AK$2&lt;U$2)*($T305:$AK305))))</f>
      </c>
      <c r="AN305" s="0">
        <f>MAX(0,MIN(V305,BX305-SUMPRODUCT(($T$2:$AK$2&lt;V$2)*($T305:$AK305))))</f>
      </c>
      <c r="AO305" s="0">
        <f>MAX(0,MIN(W305,BX305-SUMPRODUCT(($T$2:$AK$2&lt;W$2)*($T305:$AK305))))</f>
      </c>
      <c r="AP305" s="0">
        <f>MAX(0,MIN(X305,BX305-SUMPRODUCT(($T$2:$AK$2&lt;X$2)*($T305:$AK305))))</f>
      </c>
      <c r="AQ305" s="0">
        <f>MAX(0,MIN(Y305,BX305-SUMPRODUCT(($T$2:$AK$2&lt;Y$2)*($T305:$AK305))))</f>
      </c>
      <c r="AR305" s="0">
        <f>MAX(0,MIN(Z305,BX305-SUMPRODUCT(($T$2:$AK$2&lt;Z$2)*($T305:$AK305))))</f>
      </c>
      <c r="AS305" s="0">
        <f>MAX(0,MIN(AA305,BX305-SUMPRODUCT(($T$2:$AK$2&lt;AA$2)*($T305:$AK305))))</f>
      </c>
      <c r="AT305" s="0">
        <f>MAX(0,MIN(AB305,BX305-SUMPRODUCT(($T$2:$AK$2&lt;AB$2)*($T305:$AK305))))</f>
      </c>
      <c r="AU305" s="0">
        <f>MAX(0,MIN(AC305,BX305-SUMPRODUCT(($T$2:$AK$2&lt;AC$2)*($T305:$AK305))))</f>
      </c>
      <c r="AV305" s="0">
        <f>MAX(0,MIN(AD305,BX305-SUMPRODUCT(($T$2:$AK$2&lt;AD$2)*($T305:$AK305))))</f>
      </c>
      <c r="AW305" s="0">
        <f>MAX(0,MIN(AE305,BX305-SUMPRODUCT(($T$2:$AK$2&lt;AE$2)*($T305:$AK305))))</f>
      </c>
      <c r="AX305" s="0">
        <f>MAX(0,MIN(AF305,BX305-SUMPRODUCT(($T$2:$AK$2&lt;AF$2)*($T305:$AK305))))</f>
      </c>
      <c r="AY305" s="0">
        <f>MAX(0,MIN(AG305,BX305-SUMPRODUCT(($T$2:$AK$2&lt;AG$2)*($T305:$AK305))))</f>
      </c>
      <c r="AZ305" s="0">
        <f>MAX(0,MIN(AH305,BX305-SUMPRODUCT(($T$2:$AK$2&lt;AH$2)*($T305:$AK305))))</f>
      </c>
      <c r="BA305" s="0">
        <f>MAX(0,MIN(AI305,BX305-SUMPRODUCT(($T$2:$AK$2&lt;AI$2)*($T305:$AK305))))</f>
      </c>
      <c r="BB305" s="0">
        <f>MAX(0,MIN(AJ305,BX305-SUMPRODUCT(($T$2:$AK$2&lt;AJ$2)*($T305:$AK305))))</f>
      </c>
      <c r="BC305" s="0">
        <f>MAX(0,MIN(AK305,BX305-SUMPRODUCT(($T$2:$AK$2&lt;AK$2)*($T305:$AK305))))</f>
      </c>
      <c r="BD305" s="0">
        <f>T305-AL305</f>
      </c>
      <c r="BE305" s="0">
        <f>U305-AM305</f>
      </c>
      <c r="BF305" s="0">
        <f>V305-AN305</f>
      </c>
      <c r="BG305" s="0">
        <f>W305-AO305</f>
      </c>
      <c r="BH305" s="0">
        <f>X305-AP305</f>
      </c>
      <c r="BI305" s="0">
        <f>Y305-AQ305</f>
      </c>
      <c r="BJ305" s="0">
        <f>Z305-AR305</f>
      </c>
      <c r="BK305" s="0">
        <f>AA305-AS305</f>
      </c>
      <c r="BL305" s="0">
        <f>AB305-AT305</f>
      </c>
      <c r="BM305" s="0">
        <f>AC305-AU305</f>
      </c>
      <c r="BN305" s="0">
        <f>AD305-AV305</f>
      </c>
      <c r="BO305" s="0">
        <f>AE305-AW305</f>
      </c>
      <c r="BP305" s="0">
        <f>AF305-AX305</f>
      </c>
      <c r="BQ305" s="0">
        <f>AG305-AY305</f>
      </c>
      <c r="BR305" s="0">
        <f>AH305-AZ305</f>
      </c>
      <c r="BS305" s="0">
        <f>AI305-BA305</f>
      </c>
      <c r="BT305" s="0">
        <f>AJ305-BB305</f>
      </c>
      <c r="BU305" s="0">
        <f>AK305-BC305</f>
      </c>
      <c r="BV305" s="0">
        <f>SUM(B305:S305)</f>
      </c>
      <c r="BW305" s="0">
        <f>SUM(T305:AK305)</f>
      </c>
      <c r="BX305" s="0">
        <f>MAX(0,(SUM(Calculator!$E$11:$E$28)+Calculator!$C$6)-BV305+BW305)</f>
      </c>
      <c r="BY305" s="0">
        <f>SUM(BD305:BU305)</f>
      </c>
      <c r="BZ305" s="0">
        <f>BV305-BY304</f>
      </c>
      <c r="CA305" s="0">
        <f>IF(A305&lt;=IF($CD$1=0,999,$CD$1),BY305,NA())</f>
      </c>
      <c r="CB305" s="0">
        <f>IF(A305&lt;=IF($CD$1=0,999,$CD$1),A305,NA())</f>
      </c>
    </row>
    <row r="306">
      <c r="A306" s="0">
        <v>303</v>
      </c>
      <c r="B306" s="0">
        <f>BD305*(1+Calculator!$D$11/100/12)</f>
      </c>
      <c r="C306" s="0">
        <f>BE305*(1+Calculator!$D$12/100/12)</f>
      </c>
      <c r="D306" s="0">
        <f>BF305*(1+Calculator!$D$13/100/12)</f>
      </c>
      <c r="E306" s="0">
        <f>BG305*(1+Calculator!$D$14/100/12)</f>
      </c>
      <c r="F306" s="0">
        <f>BH305*(1+Calculator!$D$15/100/12)</f>
      </c>
      <c r="G306" s="0">
        <f>BI305*(1+Calculator!$D$16/100/12)</f>
      </c>
      <c r="H306" s="0">
        <f>BJ305*(1+Calculator!$D$17/100/12)</f>
      </c>
      <c r="I306" s="0">
        <f>BK305*(1+Calculator!$D$18/100/12)</f>
      </c>
      <c r="J306" s="0">
        <f>BL305*(1+Calculator!$D$19/100/12)</f>
      </c>
      <c r="K306" s="0">
        <f>BM305*(1+Calculator!$D$20/100/12)</f>
      </c>
      <c r="L306" s="0">
        <f>BN305*(1+Calculator!$D$21/100/12)</f>
      </c>
      <c r="M306" s="0">
        <f>BO305*(1+Calculator!$D$22/100/12)</f>
      </c>
      <c r="N306" s="0">
        <f>BP305*(1+Calculator!$D$23/100/12)</f>
      </c>
      <c r="O306" s="0">
        <f>BQ305*(1+Calculator!$D$24/100/12)</f>
      </c>
      <c r="P306" s="0">
        <f>BR305*(1+Calculator!$D$25/100/12)</f>
      </c>
      <c r="Q306" s="0">
        <f>BS305*(1+Calculator!$D$26/100/12)</f>
      </c>
      <c r="R306" s="0">
        <f>BT305*(1+Calculator!$D$27/100/12)</f>
      </c>
      <c r="S306" s="0">
        <f>BU305*(1+Calculator!$D$28/100/12)</f>
      </c>
      <c r="T306" s="0">
        <f>MAX(0,B306-Calculator!$E$11)</f>
      </c>
      <c r="U306" s="0">
        <f>MAX(0,C306-Calculator!$E$12)</f>
      </c>
      <c r="V306" s="0">
        <f>MAX(0,D306-Calculator!$E$13)</f>
      </c>
      <c r="W306" s="0">
        <f>MAX(0,E306-Calculator!$E$14)</f>
      </c>
      <c r="X306" s="0">
        <f>MAX(0,F306-Calculator!$E$15)</f>
      </c>
      <c r="Y306" s="0">
        <f>MAX(0,G306-Calculator!$E$16)</f>
      </c>
      <c r="Z306" s="0">
        <f>MAX(0,H306-Calculator!$E$17)</f>
      </c>
      <c r="AA306" s="0">
        <f>MAX(0,I306-Calculator!$E$18)</f>
      </c>
      <c r="AB306" s="0">
        <f>MAX(0,J306-Calculator!$E$19)</f>
      </c>
      <c r="AC306" s="0">
        <f>MAX(0,K306-Calculator!$E$20)</f>
      </c>
      <c r="AD306" s="0">
        <f>MAX(0,L306-Calculator!$E$21)</f>
      </c>
      <c r="AE306" s="0">
        <f>MAX(0,M306-Calculator!$E$22)</f>
      </c>
      <c r="AF306" s="0">
        <f>MAX(0,N306-Calculator!$E$23)</f>
      </c>
      <c r="AG306" s="0">
        <f>MAX(0,O306-Calculator!$E$24)</f>
      </c>
      <c r="AH306" s="0">
        <f>MAX(0,P306-Calculator!$E$25)</f>
      </c>
      <c r="AI306" s="0">
        <f>MAX(0,Q306-Calculator!$E$26)</f>
      </c>
      <c r="AJ306" s="0">
        <f>MAX(0,R306-Calculator!$E$27)</f>
      </c>
      <c r="AK306" s="0">
        <f>MAX(0,S306-Calculator!$E$28)</f>
      </c>
      <c r="AL306" s="0">
        <f>MAX(0,MIN(T306,BX306-SUMPRODUCT(($T$2:$AK$2&lt;T$2)*($T306:$AK306))))</f>
      </c>
      <c r="AM306" s="0">
        <f>MAX(0,MIN(U306,BX306-SUMPRODUCT(($T$2:$AK$2&lt;U$2)*($T306:$AK306))))</f>
      </c>
      <c r="AN306" s="0">
        <f>MAX(0,MIN(V306,BX306-SUMPRODUCT(($T$2:$AK$2&lt;V$2)*($T306:$AK306))))</f>
      </c>
      <c r="AO306" s="0">
        <f>MAX(0,MIN(W306,BX306-SUMPRODUCT(($T$2:$AK$2&lt;W$2)*($T306:$AK306))))</f>
      </c>
      <c r="AP306" s="0">
        <f>MAX(0,MIN(X306,BX306-SUMPRODUCT(($T$2:$AK$2&lt;X$2)*($T306:$AK306))))</f>
      </c>
      <c r="AQ306" s="0">
        <f>MAX(0,MIN(Y306,BX306-SUMPRODUCT(($T$2:$AK$2&lt;Y$2)*($T306:$AK306))))</f>
      </c>
      <c r="AR306" s="0">
        <f>MAX(0,MIN(Z306,BX306-SUMPRODUCT(($T$2:$AK$2&lt;Z$2)*($T306:$AK306))))</f>
      </c>
      <c r="AS306" s="0">
        <f>MAX(0,MIN(AA306,BX306-SUMPRODUCT(($T$2:$AK$2&lt;AA$2)*($T306:$AK306))))</f>
      </c>
      <c r="AT306" s="0">
        <f>MAX(0,MIN(AB306,BX306-SUMPRODUCT(($T$2:$AK$2&lt;AB$2)*($T306:$AK306))))</f>
      </c>
      <c r="AU306" s="0">
        <f>MAX(0,MIN(AC306,BX306-SUMPRODUCT(($T$2:$AK$2&lt;AC$2)*($T306:$AK306))))</f>
      </c>
      <c r="AV306" s="0">
        <f>MAX(0,MIN(AD306,BX306-SUMPRODUCT(($T$2:$AK$2&lt;AD$2)*($T306:$AK306))))</f>
      </c>
      <c r="AW306" s="0">
        <f>MAX(0,MIN(AE306,BX306-SUMPRODUCT(($T$2:$AK$2&lt;AE$2)*($T306:$AK306))))</f>
      </c>
      <c r="AX306" s="0">
        <f>MAX(0,MIN(AF306,BX306-SUMPRODUCT(($T$2:$AK$2&lt;AF$2)*($T306:$AK306))))</f>
      </c>
      <c r="AY306" s="0">
        <f>MAX(0,MIN(AG306,BX306-SUMPRODUCT(($T$2:$AK$2&lt;AG$2)*($T306:$AK306))))</f>
      </c>
      <c r="AZ306" s="0">
        <f>MAX(0,MIN(AH306,BX306-SUMPRODUCT(($T$2:$AK$2&lt;AH$2)*($T306:$AK306))))</f>
      </c>
      <c r="BA306" s="0">
        <f>MAX(0,MIN(AI306,BX306-SUMPRODUCT(($T$2:$AK$2&lt;AI$2)*($T306:$AK306))))</f>
      </c>
      <c r="BB306" s="0">
        <f>MAX(0,MIN(AJ306,BX306-SUMPRODUCT(($T$2:$AK$2&lt;AJ$2)*($T306:$AK306))))</f>
      </c>
      <c r="BC306" s="0">
        <f>MAX(0,MIN(AK306,BX306-SUMPRODUCT(($T$2:$AK$2&lt;AK$2)*($T306:$AK306))))</f>
      </c>
      <c r="BD306" s="0">
        <f>T306-AL306</f>
      </c>
      <c r="BE306" s="0">
        <f>U306-AM306</f>
      </c>
      <c r="BF306" s="0">
        <f>V306-AN306</f>
      </c>
      <c r="BG306" s="0">
        <f>W306-AO306</f>
      </c>
      <c r="BH306" s="0">
        <f>X306-AP306</f>
      </c>
      <c r="BI306" s="0">
        <f>Y306-AQ306</f>
      </c>
      <c r="BJ306" s="0">
        <f>Z306-AR306</f>
      </c>
      <c r="BK306" s="0">
        <f>AA306-AS306</f>
      </c>
      <c r="BL306" s="0">
        <f>AB306-AT306</f>
      </c>
      <c r="BM306" s="0">
        <f>AC306-AU306</f>
      </c>
      <c r="BN306" s="0">
        <f>AD306-AV306</f>
      </c>
      <c r="BO306" s="0">
        <f>AE306-AW306</f>
      </c>
      <c r="BP306" s="0">
        <f>AF306-AX306</f>
      </c>
      <c r="BQ306" s="0">
        <f>AG306-AY306</f>
      </c>
      <c r="BR306" s="0">
        <f>AH306-AZ306</f>
      </c>
      <c r="BS306" s="0">
        <f>AI306-BA306</f>
      </c>
      <c r="BT306" s="0">
        <f>AJ306-BB306</f>
      </c>
      <c r="BU306" s="0">
        <f>AK306-BC306</f>
      </c>
      <c r="BV306" s="0">
        <f>SUM(B306:S306)</f>
      </c>
      <c r="BW306" s="0">
        <f>SUM(T306:AK306)</f>
      </c>
      <c r="BX306" s="0">
        <f>MAX(0,(SUM(Calculator!$E$11:$E$28)+Calculator!$C$6)-BV306+BW306)</f>
      </c>
      <c r="BY306" s="0">
        <f>SUM(BD306:BU306)</f>
      </c>
      <c r="BZ306" s="0">
        <f>BV306-BY305</f>
      </c>
      <c r="CA306" s="0">
        <f>IF(A306&lt;=IF($CD$1=0,999,$CD$1),BY306,NA())</f>
      </c>
      <c r="CB306" s="0">
        <f>IF(A306&lt;=IF($CD$1=0,999,$CD$1),A306,NA())</f>
      </c>
    </row>
    <row r="307">
      <c r="A307" s="0">
        <v>304</v>
      </c>
      <c r="B307" s="0">
        <f>BD306*(1+Calculator!$D$11/100/12)</f>
      </c>
      <c r="C307" s="0">
        <f>BE306*(1+Calculator!$D$12/100/12)</f>
      </c>
      <c r="D307" s="0">
        <f>BF306*(1+Calculator!$D$13/100/12)</f>
      </c>
      <c r="E307" s="0">
        <f>BG306*(1+Calculator!$D$14/100/12)</f>
      </c>
      <c r="F307" s="0">
        <f>BH306*(1+Calculator!$D$15/100/12)</f>
      </c>
      <c r="G307" s="0">
        <f>BI306*(1+Calculator!$D$16/100/12)</f>
      </c>
      <c r="H307" s="0">
        <f>BJ306*(1+Calculator!$D$17/100/12)</f>
      </c>
      <c r="I307" s="0">
        <f>BK306*(1+Calculator!$D$18/100/12)</f>
      </c>
      <c r="J307" s="0">
        <f>BL306*(1+Calculator!$D$19/100/12)</f>
      </c>
      <c r="K307" s="0">
        <f>BM306*(1+Calculator!$D$20/100/12)</f>
      </c>
      <c r="L307" s="0">
        <f>BN306*(1+Calculator!$D$21/100/12)</f>
      </c>
      <c r="M307" s="0">
        <f>BO306*(1+Calculator!$D$22/100/12)</f>
      </c>
      <c r="N307" s="0">
        <f>BP306*(1+Calculator!$D$23/100/12)</f>
      </c>
      <c r="O307" s="0">
        <f>BQ306*(1+Calculator!$D$24/100/12)</f>
      </c>
      <c r="P307" s="0">
        <f>BR306*(1+Calculator!$D$25/100/12)</f>
      </c>
      <c r="Q307" s="0">
        <f>BS306*(1+Calculator!$D$26/100/12)</f>
      </c>
      <c r="R307" s="0">
        <f>BT306*(1+Calculator!$D$27/100/12)</f>
      </c>
      <c r="S307" s="0">
        <f>BU306*(1+Calculator!$D$28/100/12)</f>
      </c>
      <c r="T307" s="0">
        <f>MAX(0,B307-Calculator!$E$11)</f>
      </c>
      <c r="U307" s="0">
        <f>MAX(0,C307-Calculator!$E$12)</f>
      </c>
      <c r="V307" s="0">
        <f>MAX(0,D307-Calculator!$E$13)</f>
      </c>
      <c r="W307" s="0">
        <f>MAX(0,E307-Calculator!$E$14)</f>
      </c>
      <c r="X307" s="0">
        <f>MAX(0,F307-Calculator!$E$15)</f>
      </c>
      <c r="Y307" s="0">
        <f>MAX(0,G307-Calculator!$E$16)</f>
      </c>
      <c r="Z307" s="0">
        <f>MAX(0,H307-Calculator!$E$17)</f>
      </c>
      <c r="AA307" s="0">
        <f>MAX(0,I307-Calculator!$E$18)</f>
      </c>
      <c r="AB307" s="0">
        <f>MAX(0,J307-Calculator!$E$19)</f>
      </c>
      <c r="AC307" s="0">
        <f>MAX(0,K307-Calculator!$E$20)</f>
      </c>
      <c r="AD307" s="0">
        <f>MAX(0,L307-Calculator!$E$21)</f>
      </c>
      <c r="AE307" s="0">
        <f>MAX(0,M307-Calculator!$E$22)</f>
      </c>
      <c r="AF307" s="0">
        <f>MAX(0,N307-Calculator!$E$23)</f>
      </c>
      <c r="AG307" s="0">
        <f>MAX(0,O307-Calculator!$E$24)</f>
      </c>
      <c r="AH307" s="0">
        <f>MAX(0,P307-Calculator!$E$25)</f>
      </c>
      <c r="AI307" s="0">
        <f>MAX(0,Q307-Calculator!$E$26)</f>
      </c>
      <c r="AJ307" s="0">
        <f>MAX(0,R307-Calculator!$E$27)</f>
      </c>
      <c r="AK307" s="0">
        <f>MAX(0,S307-Calculator!$E$28)</f>
      </c>
      <c r="AL307" s="0">
        <f>MAX(0,MIN(T307,BX307-SUMPRODUCT(($T$2:$AK$2&lt;T$2)*($T307:$AK307))))</f>
      </c>
      <c r="AM307" s="0">
        <f>MAX(0,MIN(U307,BX307-SUMPRODUCT(($T$2:$AK$2&lt;U$2)*($T307:$AK307))))</f>
      </c>
      <c r="AN307" s="0">
        <f>MAX(0,MIN(V307,BX307-SUMPRODUCT(($T$2:$AK$2&lt;V$2)*($T307:$AK307))))</f>
      </c>
      <c r="AO307" s="0">
        <f>MAX(0,MIN(W307,BX307-SUMPRODUCT(($T$2:$AK$2&lt;W$2)*($T307:$AK307))))</f>
      </c>
      <c r="AP307" s="0">
        <f>MAX(0,MIN(X307,BX307-SUMPRODUCT(($T$2:$AK$2&lt;X$2)*($T307:$AK307))))</f>
      </c>
      <c r="AQ307" s="0">
        <f>MAX(0,MIN(Y307,BX307-SUMPRODUCT(($T$2:$AK$2&lt;Y$2)*($T307:$AK307))))</f>
      </c>
      <c r="AR307" s="0">
        <f>MAX(0,MIN(Z307,BX307-SUMPRODUCT(($T$2:$AK$2&lt;Z$2)*($T307:$AK307))))</f>
      </c>
      <c r="AS307" s="0">
        <f>MAX(0,MIN(AA307,BX307-SUMPRODUCT(($T$2:$AK$2&lt;AA$2)*($T307:$AK307))))</f>
      </c>
      <c r="AT307" s="0">
        <f>MAX(0,MIN(AB307,BX307-SUMPRODUCT(($T$2:$AK$2&lt;AB$2)*($T307:$AK307))))</f>
      </c>
      <c r="AU307" s="0">
        <f>MAX(0,MIN(AC307,BX307-SUMPRODUCT(($T$2:$AK$2&lt;AC$2)*($T307:$AK307))))</f>
      </c>
      <c r="AV307" s="0">
        <f>MAX(0,MIN(AD307,BX307-SUMPRODUCT(($T$2:$AK$2&lt;AD$2)*($T307:$AK307))))</f>
      </c>
      <c r="AW307" s="0">
        <f>MAX(0,MIN(AE307,BX307-SUMPRODUCT(($T$2:$AK$2&lt;AE$2)*($T307:$AK307))))</f>
      </c>
      <c r="AX307" s="0">
        <f>MAX(0,MIN(AF307,BX307-SUMPRODUCT(($T$2:$AK$2&lt;AF$2)*($T307:$AK307))))</f>
      </c>
      <c r="AY307" s="0">
        <f>MAX(0,MIN(AG307,BX307-SUMPRODUCT(($T$2:$AK$2&lt;AG$2)*($T307:$AK307))))</f>
      </c>
      <c r="AZ307" s="0">
        <f>MAX(0,MIN(AH307,BX307-SUMPRODUCT(($T$2:$AK$2&lt;AH$2)*($T307:$AK307))))</f>
      </c>
      <c r="BA307" s="0">
        <f>MAX(0,MIN(AI307,BX307-SUMPRODUCT(($T$2:$AK$2&lt;AI$2)*($T307:$AK307))))</f>
      </c>
      <c r="BB307" s="0">
        <f>MAX(0,MIN(AJ307,BX307-SUMPRODUCT(($T$2:$AK$2&lt;AJ$2)*($T307:$AK307))))</f>
      </c>
      <c r="BC307" s="0">
        <f>MAX(0,MIN(AK307,BX307-SUMPRODUCT(($T$2:$AK$2&lt;AK$2)*($T307:$AK307))))</f>
      </c>
      <c r="BD307" s="0">
        <f>T307-AL307</f>
      </c>
      <c r="BE307" s="0">
        <f>U307-AM307</f>
      </c>
      <c r="BF307" s="0">
        <f>V307-AN307</f>
      </c>
      <c r="BG307" s="0">
        <f>W307-AO307</f>
      </c>
      <c r="BH307" s="0">
        <f>X307-AP307</f>
      </c>
      <c r="BI307" s="0">
        <f>Y307-AQ307</f>
      </c>
      <c r="BJ307" s="0">
        <f>Z307-AR307</f>
      </c>
      <c r="BK307" s="0">
        <f>AA307-AS307</f>
      </c>
      <c r="BL307" s="0">
        <f>AB307-AT307</f>
      </c>
      <c r="BM307" s="0">
        <f>AC307-AU307</f>
      </c>
      <c r="BN307" s="0">
        <f>AD307-AV307</f>
      </c>
      <c r="BO307" s="0">
        <f>AE307-AW307</f>
      </c>
      <c r="BP307" s="0">
        <f>AF307-AX307</f>
      </c>
      <c r="BQ307" s="0">
        <f>AG307-AY307</f>
      </c>
      <c r="BR307" s="0">
        <f>AH307-AZ307</f>
      </c>
      <c r="BS307" s="0">
        <f>AI307-BA307</f>
      </c>
      <c r="BT307" s="0">
        <f>AJ307-BB307</f>
      </c>
      <c r="BU307" s="0">
        <f>AK307-BC307</f>
      </c>
      <c r="BV307" s="0">
        <f>SUM(B307:S307)</f>
      </c>
      <c r="BW307" s="0">
        <f>SUM(T307:AK307)</f>
      </c>
      <c r="BX307" s="0">
        <f>MAX(0,(SUM(Calculator!$E$11:$E$28)+Calculator!$C$6)-BV307+BW307)</f>
      </c>
      <c r="BY307" s="0">
        <f>SUM(BD307:BU307)</f>
      </c>
      <c r="BZ307" s="0">
        <f>BV307-BY306</f>
      </c>
      <c r="CA307" s="0">
        <f>IF(A307&lt;=IF($CD$1=0,999,$CD$1),BY307,NA())</f>
      </c>
      <c r="CB307" s="0">
        <f>IF(A307&lt;=IF($CD$1=0,999,$CD$1),A307,NA())</f>
      </c>
    </row>
    <row r="308">
      <c r="A308" s="0">
        <v>305</v>
      </c>
      <c r="B308" s="0">
        <f>BD307*(1+Calculator!$D$11/100/12)</f>
      </c>
      <c r="C308" s="0">
        <f>BE307*(1+Calculator!$D$12/100/12)</f>
      </c>
      <c r="D308" s="0">
        <f>BF307*(1+Calculator!$D$13/100/12)</f>
      </c>
      <c r="E308" s="0">
        <f>BG307*(1+Calculator!$D$14/100/12)</f>
      </c>
      <c r="F308" s="0">
        <f>BH307*(1+Calculator!$D$15/100/12)</f>
      </c>
      <c r="G308" s="0">
        <f>BI307*(1+Calculator!$D$16/100/12)</f>
      </c>
      <c r="H308" s="0">
        <f>BJ307*(1+Calculator!$D$17/100/12)</f>
      </c>
      <c r="I308" s="0">
        <f>BK307*(1+Calculator!$D$18/100/12)</f>
      </c>
      <c r="J308" s="0">
        <f>BL307*(1+Calculator!$D$19/100/12)</f>
      </c>
      <c r="K308" s="0">
        <f>BM307*(1+Calculator!$D$20/100/12)</f>
      </c>
      <c r="L308" s="0">
        <f>BN307*(1+Calculator!$D$21/100/12)</f>
      </c>
      <c r="M308" s="0">
        <f>BO307*(1+Calculator!$D$22/100/12)</f>
      </c>
      <c r="N308" s="0">
        <f>BP307*(1+Calculator!$D$23/100/12)</f>
      </c>
      <c r="O308" s="0">
        <f>BQ307*(1+Calculator!$D$24/100/12)</f>
      </c>
      <c r="P308" s="0">
        <f>BR307*(1+Calculator!$D$25/100/12)</f>
      </c>
      <c r="Q308" s="0">
        <f>BS307*(1+Calculator!$D$26/100/12)</f>
      </c>
      <c r="R308" s="0">
        <f>BT307*(1+Calculator!$D$27/100/12)</f>
      </c>
      <c r="S308" s="0">
        <f>BU307*(1+Calculator!$D$28/100/12)</f>
      </c>
      <c r="T308" s="0">
        <f>MAX(0,B308-Calculator!$E$11)</f>
      </c>
      <c r="U308" s="0">
        <f>MAX(0,C308-Calculator!$E$12)</f>
      </c>
      <c r="V308" s="0">
        <f>MAX(0,D308-Calculator!$E$13)</f>
      </c>
      <c r="W308" s="0">
        <f>MAX(0,E308-Calculator!$E$14)</f>
      </c>
      <c r="X308" s="0">
        <f>MAX(0,F308-Calculator!$E$15)</f>
      </c>
      <c r="Y308" s="0">
        <f>MAX(0,G308-Calculator!$E$16)</f>
      </c>
      <c r="Z308" s="0">
        <f>MAX(0,H308-Calculator!$E$17)</f>
      </c>
      <c r="AA308" s="0">
        <f>MAX(0,I308-Calculator!$E$18)</f>
      </c>
      <c r="AB308" s="0">
        <f>MAX(0,J308-Calculator!$E$19)</f>
      </c>
      <c r="AC308" s="0">
        <f>MAX(0,K308-Calculator!$E$20)</f>
      </c>
      <c r="AD308" s="0">
        <f>MAX(0,L308-Calculator!$E$21)</f>
      </c>
      <c r="AE308" s="0">
        <f>MAX(0,M308-Calculator!$E$22)</f>
      </c>
      <c r="AF308" s="0">
        <f>MAX(0,N308-Calculator!$E$23)</f>
      </c>
      <c r="AG308" s="0">
        <f>MAX(0,O308-Calculator!$E$24)</f>
      </c>
      <c r="AH308" s="0">
        <f>MAX(0,P308-Calculator!$E$25)</f>
      </c>
      <c r="AI308" s="0">
        <f>MAX(0,Q308-Calculator!$E$26)</f>
      </c>
      <c r="AJ308" s="0">
        <f>MAX(0,R308-Calculator!$E$27)</f>
      </c>
      <c r="AK308" s="0">
        <f>MAX(0,S308-Calculator!$E$28)</f>
      </c>
      <c r="AL308" s="0">
        <f>MAX(0,MIN(T308,BX308-SUMPRODUCT(($T$2:$AK$2&lt;T$2)*($T308:$AK308))))</f>
      </c>
      <c r="AM308" s="0">
        <f>MAX(0,MIN(U308,BX308-SUMPRODUCT(($T$2:$AK$2&lt;U$2)*($T308:$AK308))))</f>
      </c>
      <c r="AN308" s="0">
        <f>MAX(0,MIN(V308,BX308-SUMPRODUCT(($T$2:$AK$2&lt;V$2)*($T308:$AK308))))</f>
      </c>
      <c r="AO308" s="0">
        <f>MAX(0,MIN(W308,BX308-SUMPRODUCT(($T$2:$AK$2&lt;W$2)*($T308:$AK308))))</f>
      </c>
      <c r="AP308" s="0">
        <f>MAX(0,MIN(X308,BX308-SUMPRODUCT(($T$2:$AK$2&lt;X$2)*($T308:$AK308))))</f>
      </c>
      <c r="AQ308" s="0">
        <f>MAX(0,MIN(Y308,BX308-SUMPRODUCT(($T$2:$AK$2&lt;Y$2)*($T308:$AK308))))</f>
      </c>
      <c r="AR308" s="0">
        <f>MAX(0,MIN(Z308,BX308-SUMPRODUCT(($T$2:$AK$2&lt;Z$2)*($T308:$AK308))))</f>
      </c>
      <c r="AS308" s="0">
        <f>MAX(0,MIN(AA308,BX308-SUMPRODUCT(($T$2:$AK$2&lt;AA$2)*($T308:$AK308))))</f>
      </c>
      <c r="AT308" s="0">
        <f>MAX(0,MIN(AB308,BX308-SUMPRODUCT(($T$2:$AK$2&lt;AB$2)*($T308:$AK308))))</f>
      </c>
      <c r="AU308" s="0">
        <f>MAX(0,MIN(AC308,BX308-SUMPRODUCT(($T$2:$AK$2&lt;AC$2)*($T308:$AK308))))</f>
      </c>
      <c r="AV308" s="0">
        <f>MAX(0,MIN(AD308,BX308-SUMPRODUCT(($T$2:$AK$2&lt;AD$2)*($T308:$AK308))))</f>
      </c>
      <c r="AW308" s="0">
        <f>MAX(0,MIN(AE308,BX308-SUMPRODUCT(($T$2:$AK$2&lt;AE$2)*($T308:$AK308))))</f>
      </c>
      <c r="AX308" s="0">
        <f>MAX(0,MIN(AF308,BX308-SUMPRODUCT(($T$2:$AK$2&lt;AF$2)*($T308:$AK308))))</f>
      </c>
      <c r="AY308" s="0">
        <f>MAX(0,MIN(AG308,BX308-SUMPRODUCT(($T$2:$AK$2&lt;AG$2)*($T308:$AK308))))</f>
      </c>
      <c r="AZ308" s="0">
        <f>MAX(0,MIN(AH308,BX308-SUMPRODUCT(($T$2:$AK$2&lt;AH$2)*($T308:$AK308))))</f>
      </c>
      <c r="BA308" s="0">
        <f>MAX(0,MIN(AI308,BX308-SUMPRODUCT(($T$2:$AK$2&lt;AI$2)*($T308:$AK308))))</f>
      </c>
      <c r="BB308" s="0">
        <f>MAX(0,MIN(AJ308,BX308-SUMPRODUCT(($T$2:$AK$2&lt;AJ$2)*($T308:$AK308))))</f>
      </c>
      <c r="BC308" s="0">
        <f>MAX(0,MIN(AK308,BX308-SUMPRODUCT(($T$2:$AK$2&lt;AK$2)*($T308:$AK308))))</f>
      </c>
      <c r="BD308" s="0">
        <f>T308-AL308</f>
      </c>
      <c r="BE308" s="0">
        <f>U308-AM308</f>
      </c>
      <c r="BF308" s="0">
        <f>V308-AN308</f>
      </c>
      <c r="BG308" s="0">
        <f>W308-AO308</f>
      </c>
      <c r="BH308" s="0">
        <f>X308-AP308</f>
      </c>
      <c r="BI308" s="0">
        <f>Y308-AQ308</f>
      </c>
      <c r="BJ308" s="0">
        <f>Z308-AR308</f>
      </c>
      <c r="BK308" s="0">
        <f>AA308-AS308</f>
      </c>
      <c r="BL308" s="0">
        <f>AB308-AT308</f>
      </c>
      <c r="BM308" s="0">
        <f>AC308-AU308</f>
      </c>
      <c r="BN308" s="0">
        <f>AD308-AV308</f>
      </c>
      <c r="BO308" s="0">
        <f>AE308-AW308</f>
      </c>
      <c r="BP308" s="0">
        <f>AF308-AX308</f>
      </c>
      <c r="BQ308" s="0">
        <f>AG308-AY308</f>
      </c>
      <c r="BR308" s="0">
        <f>AH308-AZ308</f>
      </c>
      <c r="BS308" s="0">
        <f>AI308-BA308</f>
      </c>
      <c r="BT308" s="0">
        <f>AJ308-BB308</f>
      </c>
      <c r="BU308" s="0">
        <f>AK308-BC308</f>
      </c>
      <c r="BV308" s="0">
        <f>SUM(B308:S308)</f>
      </c>
      <c r="BW308" s="0">
        <f>SUM(T308:AK308)</f>
      </c>
      <c r="BX308" s="0">
        <f>MAX(0,(SUM(Calculator!$E$11:$E$28)+Calculator!$C$6)-BV308+BW308)</f>
      </c>
      <c r="BY308" s="0">
        <f>SUM(BD308:BU308)</f>
      </c>
      <c r="BZ308" s="0">
        <f>BV308-BY307</f>
      </c>
      <c r="CA308" s="0">
        <f>IF(A308&lt;=IF($CD$1=0,999,$CD$1),BY308,NA())</f>
      </c>
      <c r="CB308" s="0">
        <f>IF(A308&lt;=IF($CD$1=0,999,$CD$1),A308,NA())</f>
      </c>
    </row>
    <row r="309">
      <c r="A309" s="0">
        <v>306</v>
      </c>
      <c r="B309" s="0">
        <f>BD308*(1+Calculator!$D$11/100/12)</f>
      </c>
      <c r="C309" s="0">
        <f>BE308*(1+Calculator!$D$12/100/12)</f>
      </c>
      <c r="D309" s="0">
        <f>BF308*(1+Calculator!$D$13/100/12)</f>
      </c>
      <c r="E309" s="0">
        <f>BG308*(1+Calculator!$D$14/100/12)</f>
      </c>
      <c r="F309" s="0">
        <f>BH308*(1+Calculator!$D$15/100/12)</f>
      </c>
      <c r="G309" s="0">
        <f>BI308*(1+Calculator!$D$16/100/12)</f>
      </c>
      <c r="H309" s="0">
        <f>BJ308*(1+Calculator!$D$17/100/12)</f>
      </c>
      <c r="I309" s="0">
        <f>BK308*(1+Calculator!$D$18/100/12)</f>
      </c>
      <c r="J309" s="0">
        <f>BL308*(1+Calculator!$D$19/100/12)</f>
      </c>
      <c r="K309" s="0">
        <f>BM308*(1+Calculator!$D$20/100/12)</f>
      </c>
      <c r="L309" s="0">
        <f>BN308*(1+Calculator!$D$21/100/12)</f>
      </c>
      <c r="M309" s="0">
        <f>BO308*(1+Calculator!$D$22/100/12)</f>
      </c>
      <c r="N309" s="0">
        <f>BP308*(1+Calculator!$D$23/100/12)</f>
      </c>
      <c r="O309" s="0">
        <f>BQ308*(1+Calculator!$D$24/100/12)</f>
      </c>
      <c r="P309" s="0">
        <f>BR308*(1+Calculator!$D$25/100/12)</f>
      </c>
      <c r="Q309" s="0">
        <f>BS308*(1+Calculator!$D$26/100/12)</f>
      </c>
      <c r="R309" s="0">
        <f>BT308*(1+Calculator!$D$27/100/12)</f>
      </c>
      <c r="S309" s="0">
        <f>BU308*(1+Calculator!$D$28/100/12)</f>
      </c>
      <c r="T309" s="0">
        <f>MAX(0,B309-Calculator!$E$11)</f>
      </c>
      <c r="U309" s="0">
        <f>MAX(0,C309-Calculator!$E$12)</f>
      </c>
      <c r="V309" s="0">
        <f>MAX(0,D309-Calculator!$E$13)</f>
      </c>
      <c r="W309" s="0">
        <f>MAX(0,E309-Calculator!$E$14)</f>
      </c>
      <c r="X309" s="0">
        <f>MAX(0,F309-Calculator!$E$15)</f>
      </c>
      <c r="Y309" s="0">
        <f>MAX(0,G309-Calculator!$E$16)</f>
      </c>
      <c r="Z309" s="0">
        <f>MAX(0,H309-Calculator!$E$17)</f>
      </c>
      <c r="AA309" s="0">
        <f>MAX(0,I309-Calculator!$E$18)</f>
      </c>
      <c r="AB309" s="0">
        <f>MAX(0,J309-Calculator!$E$19)</f>
      </c>
      <c r="AC309" s="0">
        <f>MAX(0,K309-Calculator!$E$20)</f>
      </c>
      <c r="AD309" s="0">
        <f>MAX(0,L309-Calculator!$E$21)</f>
      </c>
      <c r="AE309" s="0">
        <f>MAX(0,M309-Calculator!$E$22)</f>
      </c>
      <c r="AF309" s="0">
        <f>MAX(0,N309-Calculator!$E$23)</f>
      </c>
      <c r="AG309" s="0">
        <f>MAX(0,O309-Calculator!$E$24)</f>
      </c>
      <c r="AH309" s="0">
        <f>MAX(0,P309-Calculator!$E$25)</f>
      </c>
      <c r="AI309" s="0">
        <f>MAX(0,Q309-Calculator!$E$26)</f>
      </c>
      <c r="AJ309" s="0">
        <f>MAX(0,R309-Calculator!$E$27)</f>
      </c>
      <c r="AK309" s="0">
        <f>MAX(0,S309-Calculator!$E$28)</f>
      </c>
      <c r="AL309" s="0">
        <f>MAX(0,MIN(T309,BX309-SUMPRODUCT(($T$2:$AK$2&lt;T$2)*($T309:$AK309))))</f>
      </c>
      <c r="AM309" s="0">
        <f>MAX(0,MIN(U309,BX309-SUMPRODUCT(($T$2:$AK$2&lt;U$2)*($T309:$AK309))))</f>
      </c>
      <c r="AN309" s="0">
        <f>MAX(0,MIN(V309,BX309-SUMPRODUCT(($T$2:$AK$2&lt;V$2)*($T309:$AK309))))</f>
      </c>
      <c r="AO309" s="0">
        <f>MAX(0,MIN(W309,BX309-SUMPRODUCT(($T$2:$AK$2&lt;W$2)*($T309:$AK309))))</f>
      </c>
      <c r="AP309" s="0">
        <f>MAX(0,MIN(X309,BX309-SUMPRODUCT(($T$2:$AK$2&lt;X$2)*($T309:$AK309))))</f>
      </c>
      <c r="AQ309" s="0">
        <f>MAX(0,MIN(Y309,BX309-SUMPRODUCT(($T$2:$AK$2&lt;Y$2)*($T309:$AK309))))</f>
      </c>
      <c r="AR309" s="0">
        <f>MAX(0,MIN(Z309,BX309-SUMPRODUCT(($T$2:$AK$2&lt;Z$2)*($T309:$AK309))))</f>
      </c>
      <c r="AS309" s="0">
        <f>MAX(0,MIN(AA309,BX309-SUMPRODUCT(($T$2:$AK$2&lt;AA$2)*($T309:$AK309))))</f>
      </c>
      <c r="AT309" s="0">
        <f>MAX(0,MIN(AB309,BX309-SUMPRODUCT(($T$2:$AK$2&lt;AB$2)*($T309:$AK309))))</f>
      </c>
      <c r="AU309" s="0">
        <f>MAX(0,MIN(AC309,BX309-SUMPRODUCT(($T$2:$AK$2&lt;AC$2)*($T309:$AK309))))</f>
      </c>
      <c r="AV309" s="0">
        <f>MAX(0,MIN(AD309,BX309-SUMPRODUCT(($T$2:$AK$2&lt;AD$2)*($T309:$AK309))))</f>
      </c>
      <c r="AW309" s="0">
        <f>MAX(0,MIN(AE309,BX309-SUMPRODUCT(($T$2:$AK$2&lt;AE$2)*($T309:$AK309))))</f>
      </c>
      <c r="AX309" s="0">
        <f>MAX(0,MIN(AF309,BX309-SUMPRODUCT(($T$2:$AK$2&lt;AF$2)*($T309:$AK309))))</f>
      </c>
      <c r="AY309" s="0">
        <f>MAX(0,MIN(AG309,BX309-SUMPRODUCT(($T$2:$AK$2&lt;AG$2)*($T309:$AK309))))</f>
      </c>
      <c r="AZ309" s="0">
        <f>MAX(0,MIN(AH309,BX309-SUMPRODUCT(($T$2:$AK$2&lt;AH$2)*($T309:$AK309))))</f>
      </c>
      <c r="BA309" s="0">
        <f>MAX(0,MIN(AI309,BX309-SUMPRODUCT(($T$2:$AK$2&lt;AI$2)*($T309:$AK309))))</f>
      </c>
      <c r="BB309" s="0">
        <f>MAX(0,MIN(AJ309,BX309-SUMPRODUCT(($T$2:$AK$2&lt;AJ$2)*($T309:$AK309))))</f>
      </c>
      <c r="BC309" s="0">
        <f>MAX(0,MIN(AK309,BX309-SUMPRODUCT(($T$2:$AK$2&lt;AK$2)*($T309:$AK309))))</f>
      </c>
      <c r="BD309" s="0">
        <f>T309-AL309</f>
      </c>
      <c r="BE309" s="0">
        <f>U309-AM309</f>
      </c>
      <c r="BF309" s="0">
        <f>V309-AN309</f>
      </c>
      <c r="BG309" s="0">
        <f>W309-AO309</f>
      </c>
      <c r="BH309" s="0">
        <f>X309-AP309</f>
      </c>
      <c r="BI309" s="0">
        <f>Y309-AQ309</f>
      </c>
      <c r="BJ309" s="0">
        <f>Z309-AR309</f>
      </c>
      <c r="BK309" s="0">
        <f>AA309-AS309</f>
      </c>
      <c r="BL309" s="0">
        <f>AB309-AT309</f>
      </c>
      <c r="BM309" s="0">
        <f>AC309-AU309</f>
      </c>
      <c r="BN309" s="0">
        <f>AD309-AV309</f>
      </c>
      <c r="BO309" s="0">
        <f>AE309-AW309</f>
      </c>
      <c r="BP309" s="0">
        <f>AF309-AX309</f>
      </c>
      <c r="BQ309" s="0">
        <f>AG309-AY309</f>
      </c>
      <c r="BR309" s="0">
        <f>AH309-AZ309</f>
      </c>
      <c r="BS309" s="0">
        <f>AI309-BA309</f>
      </c>
      <c r="BT309" s="0">
        <f>AJ309-BB309</f>
      </c>
      <c r="BU309" s="0">
        <f>AK309-BC309</f>
      </c>
      <c r="BV309" s="0">
        <f>SUM(B309:S309)</f>
      </c>
      <c r="BW309" s="0">
        <f>SUM(T309:AK309)</f>
      </c>
      <c r="BX309" s="0">
        <f>MAX(0,(SUM(Calculator!$E$11:$E$28)+Calculator!$C$6)-BV309+BW309)</f>
      </c>
      <c r="BY309" s="0">
        <f>SUM(BD309:BU309)</f>
      </c>
      <c r="BZ309" s="0">
        <f>BV309-BY308</f>
      </c>
      <c r="CA309" s="0">
        <f>IF(A309&lt;=IF($CD$1=0,999,$CD$1),BY309,NA())</f>
      </c>
      <c r="CB309" s="0">
        <f>IF(A309&lt;=IF($CD$1=0,999,$CD$1),A309,NA())</f>
      </c>
    </row>
    <row r="310">
      <c r="A310" s="0">
        <v>307</v>
      </c>
      <c r="B310" s="0">
        <f>BD309*(1+Calculator!$D$11/100/12)</f>
      </c>
      <c r="C310" s="0">
        <f>BE309*(1+Calculator!$D$12/100/12)</f>
      </c>
      <c r="D310" s="0">
        <f>BF309*(1+Calculator!$D$13/100/12)</f>
      </c>
      <c r="E310" s="0">
        <f>BG309*(1+Calculator!$D$14/100/12)</f>
      </c>
      <c r="F310" s="0">
        <f>BH309*(1+Calculator!$D$15/100/12)</f>
      </c>
      <c r="G310" s="0">
        <f>BI309*(1+Calculator!$D$16/100/12)</f>
      </c>
      <c r="H310" s="0">
        <f>BJ309*(1+Calculator!$D$17/100/12)</f>
      </c>
      <c r="I310" s="0">
        <f>BK309*(1+Calculator!$D$18/100/12)</f>
      </c>
      <c r="J310" s="0">
        <f>BL309*(1+Calculator!$D$19/100/12)</f>
      </c>
      <c r="K310" s="0">
        <f>BM309*(1+Calculator!$D$20/100/12)</f>
      </c>
      <c r="L310" s="0">
        <f>BN309*(1+Calculator!$D$21/100/12)</f>
      </c>
      <c r="M310" s="0">
        <f>BO309*(1+Calculator!$D$22/100/12)</f>
      </c>
      <c r="N310" s="0">
        <f>BP309*(1+Calculator!$D$23/100/12)</f>
      </c>
      <c r="O310" s="0">
        <f>BQ309*(1+Calculator!$D$24/100/12)</f>
      </c>
      <c r="P310" s="0">
        <f>BR309*(1+Calculator!$D$25/100/12)</f>
      </c>
      <c r="Q310" s="0">
        <f>BS309*(1+Calculator!$D$26/100/12)</f>
      </c>
      <c r="R310" s="0">
        <f>BT309*(1+Calculator!$D$27/100/12)</f>
      </c>
      <c r="S310" s="0">
        <f>BU309*(1+Calculator!$D$28/100/12)</f>
      </c>
      <c r="T310" s="0">
        <f>MAX(0,B310-Calculator!$E$11)</f>
      </c>
      <c r="U310" s="0">
        <f>MAX(0,C310-Calculator!$E$12)</f>
      </c>
      <c r="V310" s="0">
        <f>MAX(0,D310-Calculator!$E$13)</f>
      </c>
      <c r="W310" s="0">
        <f>MAX(0,E310-Calculator!$E$14)</f>
      </c>
      <c r="X310" s="0">
        <f>MAX(0,F310-Calculator!$E$15)</f>
      </c>
      <c r="Y310" s="0">
        <f>MAX(0,G310-Calculator!$E$16)</f>
      </c>
      <c r="Z310" s="0">
        <f>MAX(0,H310-Calculator!$E$17)</f>
      </c>
      <c r="AA310" s="0">
        <f>MAX(0,I310-Calculator!$E$18)</f>
      </c>
      <c r="AB310" s="0">
        <f>MAX(0,J310-Calculator!$E$19)</f>
      </c>
      <c r="AC310" s="0">
        <f>MAX(0,K310-Calculator!$E$20)</f>
      </c>
      <c r="AD310" s="0">
        <f>MAX(0,L310-Calculator!$E$21)</f>
      </c>
      <c r="AE310" s="0">
        <f>MAX(0,M310-Calculator!$E$22)</f>
      </c>
      <c r="AF310" s="0">
        <f>MAX(0,N310-Calculator!$E$23)</f>
      </c>
      <c r="AG310" s="0">
        <f>MAX(0,O310-Calculator!$E$24)</f>
      </c>
      <c r="AH310" s="0">
        <f>MAX(0,P310-Calculator!$E$25)</f>
      </c>
      <c r="AI310" s="0">
        <f>MAX(0,Q310-Calculator!$E$26)</f>
      </c>
      <c r="AJ310" s="0">
        <f>MAX(0,R310-Calculator!$E$27)</f>
      </c>
      <c r="AK310" s="0">
        <f>MAX(0,S310-Calculator!$E$28)</f>
      </c>
      <c r="AL310" s="0">
        <f>MAX(0,MIN(T310,BX310-SUMPRODUCT(($T$2:$AK$2&lt;T$2)*($T310:$AK310))))</f>
      </c>
      <c r="AM310" s="0">
        <f>MAX(0,MIN(U310,BX310-SUMPRODUCT(($T$2:$AK$2&lt;U$2)*($T310:$AK310))))</f>
      </c>
      <c r="AN310" s="0">
        <f>MAX(0,MIN(V310,BX310-SUMPRODUCT(($T$2:$AK$2&lt;V$2)*($T310:$AK310))))</f>
      </c>
      <c r="AO310" s="0">
        <f>MAX(0,MIN(W310,BX310-SUMPRODUCT(($T$2:$AK$2&lt;W$2)*($T310:$AK310))))</f>
      </c>
      <c r="AP310" s="0">
        <f>MAX(0,MIN(X310,BX310-SUMPRODUCT(($T$2:$AK$2&lt;X$2)*($T310:$AK310))))</f>
      </c>
      <c r="AQ310" s="0">
        <f>MAX(0,MIN(Y310,BX310-SUMPRODUCT(($T$2:$AK$2&lt;Y$2)*($T310:$AK310))))</f>
      </c>
      <c r="AR310" s="0">
        <f>MAX(0,MIN(Z310,BX310-SUMPRODUCT(($T$2:$AK$2&lt;Z$2)*($T310:$AK310))))</f>
      </c>
      <c r="AS310" s="0">
        <f>MAX(0,MIN(AA310,BX310-SUMPRODUCT(($T$2:$AK$2&lt;AA$2)*($T310:$AK310))))</f>
      </c>
      <c r="AT310" s="0">
        <f>MAX(0,MIN(AB310,BX310-SUMPRODUCT(($T$2:$AK$2&lt;AB$2)*($T310:$AK310))))</f>
      </c>
      <c r="AU310" s="0">
        <f>MAX(0,MIN(AC310,BX310-SUMPRODUCT(($T$2:$AK$2&lt;AC$2)*($T310:$AK310))))</f>
      </c>
      <c r="AV310" s="0">
        <f>MAX(0,MIN(AD310,BX310-SUMPRODUCT(($T$2:$AK$2&lt;AD$2)*($T310:$AK310))))</f>
      </c>
      <c r="AW310" s="0">
        <f>MAX(0,MIN(AE310,BX310-SUMPRODUCT(($T$2:$AK$2&lt;AE$2)*($T310:$AK310))))</f>
      </c>
      <c r="AX310" s="0">
        <f>MAX(0,MIN(AF310,BX310-SUMPRODUCT(($T$2:$AK$2&lt;AF$2)*($T310:$AK310))))</f>
      </c>
      <c r="AY310" s="0">
        <f>MAX(0,MIN(AG310,BX310-SUMPRODUCT(($T$2:$AK$2&lt;AG$2)*($T310:$AK310))))</f>
      </c>
      <c r="AZ310" s="0">
        <f>MAX(0,MIN(AH310,BX310-SUMPRODUCT(($T$2:$AK$2&lt;AH$2)*($T310:$AK310))))</f>
      </c>
      <c r="BA310" s="0">
        <f>MAX(0,MIN(AI310,BX310-SUMPRODUCT(($T$2:$AK$2&lt;AI$2)*($T310:$AK310))))</f>
      </c>
      <c r="BB310" s="0">
        <f>MAX(0,MIN(AJ310,BX310-SUMPRODUCT(($T$2:$AK$2&lt;AJ$2)*($T310:$AK310))))</f>
      </c>
      <c r="BC310" s="0">
        <f>MAX(0,MIN(AK310,BX310-SUMPRODUCT(($T$2:$AK$2&lt;AK$2)*($T310:$AK310))))</f>
      </c>
      <c r="BD310" s="0">
        <f>T310-AL310</f>
      </c>
      <c r="BE310" s="0">
        <f>U310-AM310</f>
      </c>
      <c r="BF310" s="0">
        <f>V310-AN310</f>
      </c>
      <c r="BG310" s="0">
        <f>W310-AO310</f>
      </c>
      <c r="BH310" s="0">
        <f>X310-AP310</f>
      </c>
      <c r="BI310" s="0">
        <f>Y310-AQ310</f>
      </c>
      <c r="BJ310" s="0">
        <f>Z310-AR310</f>
      </c>
      <c r="BK310" s="0">
        <f>AA310-AS310</f>
      </c>
      <c r="BL310" s="0">
        <f>AB310-AT310</f>
      </c>
      <c r="BM310" s="0">
        <f>AC310-AU310</f>
      </c>
      <c r="BN310" s="0">
        <f>AD310-AV310</f>
      </c>
      <c r="BO310" s="0">
        <f>AE310-AW310</f>
      </c>
      <c r="BP310" s="0">
        <f>AF310-AX310</f>
      </c>
      <c r="BQ310" s="0">
        <f>AG310-AY310</f>
      </c>
      <c r="BR310" s="0">
        <f>AH310-AZ310</f>
      </c>
      <c r="BS310" s="0">
        <f>AI310-BA310</f>
      </c>
      <c r="BT310" s="0">
        <f>AJ310-BB310</f>
      </c>
      <c r="BU310" s="0">
        <f>AK310-BC310</f>
      </c>
      <c r="BV310" s="0">
        <f>SUM(B310:S310)</f>
      </c>
      <c r="BW310" s="0">
        <f>SUM(T310:AK310)</f>
      </c>
      <c r="BX310" s="0">
        <f>MAX(0,(SUM(Calculator!$E$11:$E$28)+Calculator!$C$6)-BV310+BW310)</f>
      </c>
      <c r="BY310" s="0">
        <f>SUM(BD310:BU310)</f>
      </c>
      <c r="BZ310" s="0">
        <f>BV310-BY309</f>
      </c>
      <c r="CA310" s="0">
        <f>IF(A310&lt;=IF($CD$1=0,999,$CD$1),BY310,NA())</f>
      </c>
      <c r="CB310" s="0">
        <f>IF(A310&lt;=IF($CD$1=0,999,$CD$1),A310,NA())</f>
      </c>
    </row>
    <row r="311">
      <c r="A311" s="0">
        <v>308</v>
      </c>
      <c r="B311" s="0">
        <f>BD310*(1+Calculator!$D$11/100/12)</f>
      </c>
      <c r="C311" s="0">
        <f>BE310*(1+Calculator!$D$12/100/12)</f>
      </c>
      <c r="D311" s="0">
        <f>BF310*(1+Calculator!$D$13/100/12)</f>
      </c>
      <c r="E311" s="0">
        <f>BG310*(1+Calculator!$D$14/100/12)</f>
      </c>
      <c r="F311" s="0">
        <f>BH310*(1+Calculator!$D$15/100/12)</f>
      </c>
      <c r="G311" s="0">
        <f>BI310*(1+Calculator!$D$16/100/12)</f>
      </c>
      <c r="H311" s="0">
        <f>BJ310*(1+Calculator!$D$17/100/12)</f>
      </c>
      <c r="I311" s="0">
        <f>BK310*(1+Calculator!$D$18/100/12)</f>
      </c>
      <c r="J311" s="0">
        <f>BL310*(1+Calculator!$D$19/100/12)</f>
      </c>
      <c r="K311" s="0">
        <f>BM310*(1+Calculator!$D$20/100/12)</f>
      </c>
      <c r="L311" s="0">
        <f>BN310*(1+Calculator!$D$21/100/12)</f>
      </c>
      <c r="M311" s="0">
        <f>BO310*(1+Calculator!$D$22/100/12)</f>
      </c>
      <c r="N311" s="0">
        <f>BP310*(1+Calculator!$D$23/100/12)</f>
      </c>
      <c r="O311" s="0">
        <f>BQ310*(1+Calculator!$D$24/100/12)</f>
      </c>
      <c r="P311" s="0">
        <f>BR310*(1+Calculator!$D$25/100/12)</f>
      </c>
      <c r="Q311" s="0">
        <f>BS310*(1+Calculator!$D$26/100/12)</f>
      </c>
      <c r="R311" s="0">
        <f>BT310*(1+Calculator!$D$27/100/12)</f>
      </c>
      <c r="S311" s="0">
        <f>BU310*(1+Calculator!$D$28/100/12)</f>
      </c>
      <c r="T311" s="0">
        <f>MAX(0,B311-Calculator!$E$11)</f>
      </c>
      <c r="U311" s="0">
        <f>MAX(0,C311-Calculator!$E$12)</f>
      </c>
      <c r="V311" s="0">
        <f>MAX(0,D311-Calculator!$E$13)</f>
      </c>
      <c r="W311" s="0">
        <f>MAX(0,E311-Calculator!$E$14)</f>
      </c>
      <c r="X311" s="0">
        <f>MAX(0,F311-Calculator!$E$15)</f>
      </c>
      <c r="Y311" s="0">
        <f>MAX(0,G311-Calculator!$E$16)</f>
      </c>
      <c r="Z311" s="0">
        <f>MAX(0,H311-Calculator!$E$17)</f>
      </c>
      <c r="AA311" s="0">
        <f>MAX(0,I311-Calculator!$E$18)</f>
      </c>
      <c r="AB311" s="0">
        <f>MAX(0,J311-Calculator!$E$19)</f>
      </c>
      <c r="AC311" s="0">
        <f>MAX(0,K311-Calculator!$E$20)</f>
      </c>
      <c r="AD311" s="0">
        <f>MAX(0,L311-Calculator!$E$21)</f>
      </c>
      <c r="AE311" s="0">
        <f>MAX(0,M311-Calculator!$E$22)</f>
      </c>
      <c r="AF311" s="0">
        <f>MAX(0,N311-Calculator!$E$23)</f>
      </c>
      <c r="AG311" s="0">
        <f>MAX(0,O311-Calculator!$E$24)</f>
      </c>
      <c r="AH311" s="0">
        <f>MAX(0,P311-Calculator!$E$25)</f>
      </c>
      <c r="AI311" s="0">
        <f>MAX(0,Q311-Calculator!$E$26)</f>
      </c>
      <c r="AJ311" s="0">
        <f>MAX(0,R311-Calculator!$E$27)</f>
      </c>
      <c r="AK311" s="0">
        <f>MAX(0,S311-Calculator!$E$28)</f>
      </c>
      <c r="AL311" s="0">
        <f>MAX(0,MIN(T311,BX311-SUMPRODUCT(($T$2:$AK$2&lt;T$2)*($T311:$AK311))))</f>
      </c>
      <c r="AM311" s="0">
        <f>MAX(0,MIN(U311,BX311-SUMPRODUCT(($T$2:$AK$2&lt;U$2)*($T311:$AK311))))</f>
      </c>
      <c r="AN311" s="0">
        <f>MAX(0,MIN(V311,BX311-SUMPRODUCT(($T$2:$AK$2&lt;V$2)*($T311:$AK311))))</f>
      </c>
      <c r="AO311" s="0">
        <f>MAX(0,MIN(W311,BX311-SUMPRODUCT(($T$2:$AK$2&lt;W$2)*($T311:$AK311))))</f>
      </c>
      <c r="AP311" s="0">
        <f>MAX(0,MIN(X311,BX311-SUMPRODUCT(($T$2:$AK$2&lt;X$2)*($T311:$AK311))))</f>
      </c>
      <c r="AQ311" s="0">
        <f>MAX(0,MIN(Y311,BX311-SUMPRODUCT(($T$2:$AK$2&lt;Y$2)*($T311:$AK311))))</f>
      </c>
      <c r="AR311" s="0">
        <f>MAX(0,MIN(Z311,BX311-SUMPRODUCT(($T$2:$AK$2&lt;Z$2)*($T311:$AK311))))</f>
      </c>
      <c r="AS311" s="0">
        <f>MAX(0,MIN(AA311,BX311-SUMPRODUCT(($T$2:$AK$2&lt;AA$2)*($T311:$AK311))))</f>
      </c>
      <c r="AT311" s="0">
        <f>MAX(0,MIN(AB311,BX311-SUMPRODUCT(($T$2:$AK$2&lt;AB$2)*($T311:$AK311))))</f>
      </c>
      <c r="AU311" s="0">
        <f>MAX(0,MIN(AC311,BX311-SUMPRODUCT(($T$2:$AK$2&lt;AC$2)*($T311:$AK311))))</f>
      </c>
      <c r="AV311" s="0">
        <f>MAX(0,MIN(AD311,BX311-SUMPRODUCT(($T$2:$AK$2&lt;AD$2)*($T311:$AK311))))</f>
      </c>
      <c r="AW311" s="0">
        <f>MAX(0,MIN(AE311,BX311-SUMPRODUCT(($T$2:$AK$2&lt;AE$2)*($T311:$AK311))))</f>
      </c>
      <c r="AX311" s="0">
        <f>MAX(0,MIN(AF311,BX311-SUMPRODUCT(($T$2:$AK$2&lt;AF$2)*($T311:$AK311))))</f>
      </c>
      <c r="AY311" s="0">
        <f>MAX(0,MIN(AG311,BX311-SUMPRODUCT(($T$2:$AK$2&lt;AG$2)*($T311:$AK311))))</f>
      </c>
      <c r="AZ311" s="0">
        <f>MAX(0,MIN(AH311,BX311-SUMPRODUCT(($T$2:$AK$2&lt;AH$2)*($T311:$AK311))))</f>
      </c>
      <c r="BA311" s="0">
        <f>MAX(0,MIN(AI311,BX311-SUMPRODUCT(($T$2:$AK$2&lt;AI$2)*($T311:$AK311))))</f>
      </c>
      <c r="BB311" s="0">
        <f>MAX(0,MIN(AJ311,BX311-SUMPRODUCT(($T$2:$AK$2&lt;AJ$2)*($T311:$AK311))))</f>
      </c>
      <c r="BC311" s="0">
        <f>MAX(0,MIN(AK311,BX311-SUMPRODUCT(($T$2:$AK$2&lt;AK$2)*($T311:$AK311))))</f>
      </c>
      <c r="BD311" s="0">
        <f>T311-AL311</f>
      </c>
      <c r="BE311" s="0">
        <f>U311-AM311</f>
      </c>
      <c r="BF311" s="0">
        <f>V311-AN311</f>
      </c>
      <c r="BG311" s="0">
        <f>W311-AO311</f>
      </c>
      <c r="BH311" s="0">
        <f>X311-AP311</f>
      </c>
      <c r="BI311" s="0">
        <f>Y311-AQ311</f>
      </c>
      <c r="BJ311" s="0">
        <f>Z311-AR311</f>
      </c>
      <c r="BK311" s="0">
        <f>AA311-AS311</f>
      </c>
      <c r="BL311" s="0">
        <f>AB311-AT311</f>
      </c>
      <c r="BM311" s="0">
        <f>AC311-AU311</f>
      </c>
      <c r="BN311" s="0">
        <f>AD311-AV311</f>
      </c>
      <c r="BO311" s="0">
        <f>AE311-AW311</f>
      </c>
      <c r="BP311" s="0">
        <f>AF311-AX311</f>
      </c>
      <c r="BQ311" s="0">
        <f>AG311-AY311</f>
      </c>
      <c r="BR311" s="0">
        <f>AH311-AZ311</f>
      </c>
      <c r="BS311" s="0">
        <f>AI311-BA311</f>
      </c>
      <c r="BT311" s="0">
        <f>AJ311-BB311</f>
      </c>
      <c r="BU311" s="0">
        <f>AK311-BC311</f>
      </c>
      <c r="BV311" s="0">
        <f>SUM(B311:S311)</f>
      </c>
      <c r="BW311" s="0">
        <f>SUM(T311:AK311)</f>
      </c>
      <c r="BX311" s="0">
        <f>MAX(0,(SUM(Calculator!$E$11:$E$28)+Calculator!$C$6)-BV311+BW311)</f>
      </c>
      <c r="BY311" s="0">
        <f>SUM(BD311:BU311)</f>
      </c>
      <c r="BZ311" s="0">
        <f>BV311-BY310</f>
      </c>
      <c r="CA311" s="0">
        <f>IF(A311&lt;=IF($CD$1=0,999,$CD$1),BY311,NA())</f>
      </c>
      <c r="CB311" s="0">
        <f>IF(A311&lt;=IF($CD$1=0,999,$CD$1),A311,NA())</f>
      </c>
    </row>
    <row r="312">
      <c r="A312" s="0">
        <v>309</v>
      </c>
      <c r="B312" s="0">
        <f>BD311*(1+Calculator!$D$11/100/12)</f>
      </c>
      <c r="C312" s="0">
        <f>BE311*(1+Calculator!$D$12/100/12)</f>
      </c>
      <c r="D312" s="0">
        <f>BF311*(1+Calculator!$D$13/100/12)</f>
      </c>
      <c r="E312" s="0">
        <f>BG311*(1+Calculator!$D$14/100/12)</f>
      </c>
      <c r="F312" s="0">
        <f>BH311*(1+Calculator!$D$15/100/12)</f>
      </c>
      <c r="G312" s="0">
        <f>BI311*(1+Calculator!$D$16/100/12)</f>
      </c>
      <c r="H312" s="0">
        <f>BJ311*(1+Calculator!$D$17/100/12)</f>
      </c>
      <c r="I312" s="0">
        <f>BK311*(1+Calculator!$D$18/100/12)</f>
      </c>
      <c r="J312" s="0">
        <f>BL311*(1+Calculator!$D$19/100/12)</f>
      </c>
      <c r="K312" s="0">
        <f>BM311*(1+Calculator!$D$20/100/12)</f>
      </c>
      <c r="L312" s="0">
        <f>BN311*(1+Calculator!$D$21/100/12)</f>
      </c>
      <c r="M312" s="0">
        <f>BO311*(1+Calculator!$D$22/100/12)</f>
      </c>
      <c r="N312" s="0">
        <f>BP311*(1+Calculator!$D$23/100/12)</f>
      </c>
      <c r="O312" s="0">
        <f>BQ311*(1+Calculator!$D$24/100/12)</f>
      </c>
      <c r="P312" s="0">
        <f>BR311*(1+Calculator!$D$25/100/12)</f>
      </c>
      <c r="Q312" s="0">
        <f>BS311*(1+Calculator!$D$26/100/12)</f>
      </c>
      <c r="R312" s="0">
        <f>BT311*(1+Calculator!$D$27/100/12)</f>
      </c>
      <c r="S312" s="0">
        <f>BU311*(1+Calculator!$D$28/100/12)</f>
      </c>
      <c r="T312" s="0">
        <f>MAX(0,B312-Calculator!$E$11)</f>
      </c>
      <c r="U312" s="0">
        <f>MAX(0,C312-Calculator!$E$12)</f>
      </c>
      <c r="V312" s="0">
        <f>MAX(0,D312-Calculator!$E$13)</f>
      </c>
      <c r="W312" s="0">
        <f>MAX(0,E312-Calculator!$E$14)</f>
      </c>
      <c r="X312" s="0">
        <f>MAX(0,F312-Calculator!$E$15)</f>
      </c>
      <c r="Y312" s="0">
        <f>MAX(0,G312-Calculator!$E$16)</f>
      </c>
      <c r="Z312" s="0">
        <f>MAX(0,H312-Calculator!$E$17)</f>
      </c>
      <c r="AA312" s="0">
        <f>MAX(0,I312-Calculator!$E$18)</f>
      </c>
      <c r="AB312" s="0">
        <f>MAX(0,J312-Calculator!$E$19)</f>
      </c>
      <c r="AC312" s="0">
        <f>MAX(0,K312-Calculator!$E$20)</f>
      </c>
      <c r="AD312" s="0">
        <f>MAX(0,L312-Calculator!$E$21)</f>
      </c>
      <c r="AE312" s="0">
        <f>MAX(0,M312-Calculator!$E$22)</f>
      </c>
      <c r="AF312" s="0">
        <f>MAX(0,N312-Calculator!$E$23)</f>
      </c>
      <c r="AG312" s="0">
        <f>MAX(0,O312-Calculator!$E$24)</f>
      </c>
      <c r="AH312" s="0">
        <f>MAX(0,P312-Calculator!$E$25)</f>
      </c>
      <c r="AI312" s="0">
        <f>MAX(0,Q312-Calculator!$E$26)</f>
      </c>
      <c r="AJ312" s="0">
        <f>MAX(0,R312-Calculator!$E$27)</f>
      </c>
      <c r="AK312" s="0">
        <f>MAX(0,S312-Calculator!$E$28)</f>
      </c>
      <c r="AL312" s="0">
        <f>MAX(0,MIN(T312,BX312-SUMPRODUCT(($T$2:$AK$2&lt;T$2)*($T312:$AK312))))</f>
      </c>
      <c r="AM312" s="0">
        <f>MAX(0,MIN(U312,BX312-SUMPRODUCT(($T$2:$AK$2&lt;U$2)*($T312:$AK312))))</f>
      </c>
      <c r="AN312" s="0">
        <f>MAX(0,MIN(V312,BX312-SUMPRODUCT(($T$2:$AK$2&lt;V$2)*($T312:$AK312))))</f>
      </c>
      <c r="AO312" s="0">
        <f>MAX(0,MIN(W312,BX312-SUMPRODUCT(($T$2:$AK$2&lt;W$2)*($T312:$AK312))))</f>
      </c>
      <c r="AP312" s="0">
        <f>MAX(0,MIN(X312,BX312-SUMPRODUCT(($T$2:$AK$2&lt;X$2)*($T312:$AK312))))</f>
      </c>
      <c r="AQ312" s="0">
        <f>MAX(0,MIN(Y312,BX312-SUMPRODUCT(($T$2:$AK$2&lt;Y$2)*($T312:$AK312))))</f>
      </c>
      <c r="AR312" s="0">
        <f>MAX(0,MIN(Z312,BX312-SUMPRODUCT(($T$2:$AK$2&lt;Z$2)*($T312:$AK312))))</f>
      </c>
      <c r="AS312" s="0">
        <f>MAX(0,MIN(AA312,BX312-SUMPRODUCT(($T$2:$AK$2&lt;AA$2)*($T312:$AK312))))</f>
      </c>
      <c r="AT312" s="0">
        <f>MAX(0,MIN(AB312,BX312-SUMPRODUCT(($T$2:$AK$2&lt;AB$2)*($T312:$AK312))))</f>
      </c>
      <c r="AU312" s="0">
        <f>MAX(0,MIN(AC312,BX312-SUMPRODUCT(($T$2:$AK$2&lt;AC$2)*($T312:$AK312))))</f>
      </c>
      <c r="AV312" s="0">
        <f>MAX(0,MIN(AD312,BX312-SUMPRODUCT(($T$2:$AK$2&lt;AD$2)*($T312:$AK312))))</f>
      </c>
      <c r="AW312" s="0">
        <f>MAX(0,MIN(AE312,BX312-SUMPRODUCT(($T$2:$AK$2&lt;AE$2)*($T312:$AK312))))</f>
      </c>
      <c r="AX312" s="0">
        <f>MAX(0,MIN(AF312,BX312-SUMPRODUCT(($T$2:$AK$2&lt;AF$2)*($T312:$AK312))))</f>
      </c>
      <c r="AY312" s="0">
        <f>MAX(0,MIN(AG312,BX312-SUMPRODUCT(($T$2:$AK$2&lt;AG$2)*($T312:$AK312))))</f>
      </c>
      <c r="AZ312" s="0">
        <f>MAX(0,MIN(AH312,BX312-SUMPRODUCT(($T$2:$AK$2&lt;AH$2)*($T312:$AK312))))</f>
      </c>
      <c r="BA312" s="0">
        <f>MAX(0,MIN(AI312,BX312-SUMPRODUCT(($T$2:$AK$2&lt;AI$2)*($T312:$AK312))))</f>
      </c>
      <c r="BB312" s="0">
        <f>MAX(0,MIN(AJ312,BX312-SUMPRODUCT(($T$2:$AK$2&lt;AJ$2)*($T312:$AK312))))</f>
      </c>
      <c r="BC312" s="0">
        <f>MAX(0,MIN(AK312,BX312-SUMPRODUCT(($T$2:$AK$2&lt;AK$2)*($T312:$AK312))))</f>
      </c>
      <c r="BD312" s="0">
        <f>T312-AL312</f>
      </c>
      <c r="BE312" s="0">
        <f>U312-AM312</f>
      </c>
      <c r="BF312" s="0">
        <f>V312-AN312</f>
      </c>
      <c r="BG312" s="0">
        <f>W312-AO312</f>
      </c>
      <c r="BH312" s="0">
        <f>X312-AP312</f>
      </c>
      <c r="BI312" s="0">
        <f>Y312-AQ312</f>
      </c>
      <c r="BJ312" s="0">
        <f>Z312-AR312</f>
      </c>
      <c r="BK312" s="0">
        <f>AA312-AS312</f>
      </c>
      <c r="BL312" s="0">
        <f>AB312-AT312</f>
      </c>
      <c r="BM312" s="0">
        <f>AC312-AU312</f>
      </c>
      <c r="BN312" s="0">
        <f>AD312-AV312</f>
      </c>
      <c r="BO312" s="0">
        <f>AE312-AW312</f>
      </c>
      <c r="BP312" s="0">
        <f>AF312-AX312</f>
      </c>
      <c r="BQ312" s="0">
        <f>AG312-AY312</f>
      </c>
      <c r="BR312" s="0">
        <f>AH312-AZ312</f>
      </c>
      <c r="BS312" s="0">
        <f>AI312-BA312</f>
      </c>
      <c r="BT312" s="0">
        <f>AJ312-BB312</f>
      </c>
      <c r="BU312" s="0">
        <f>AK312-BC312</f>
      </c>
      <c r="BV312" s="0">
        <f>SUM(B312:S312)</f>
      </c>
      <c r="BW312" s="0">
        <f>SUM(T312:AK312)</f>
      </c>
      <c r="BX312" s="0">
        <f>MAX(0,(SUM(Calculator!$E$11:$E$28)+Calculator!$C$6)-BV312+BW312)</f>
      </c>
      <c r="BY312" s="0">
        <f>SUM(BD312:BU312)</f>
      </c>
      <c r="BZ312" s="0">
        <f>BV312-BY311</f>
      </c>
      <c r="CA312" s="0">
        <f>IF(A312&lt;=IF($CD$1=0,999,$CD$1),BY312,NA())</f>
      </c>
      <c r="CB312" s="0">
        <f>IF(A312&lt;=IF($CD$1=0,999,$CD$1),A312,NA())</f>
      </c>
    </row>
    <row r="313">
      <c r="A313" s="0">
        <v>310</v>
      </c>
      <c r="B313" s="0">
        <f>BD312*(1+Calculator!$D$11/100/12)</f>
      </c>
      <c r="C313" s="0">
        <f>BE312*(1+Calculator!$D$12/100/12)</f>
      </c>
      <c r="D313" s="0">
        <f>BF312*(1+Calculator!$D$13/100/12)</f>
      </c>
      <c r="E313" s="0">
        <f>BG312*(1+Calculator!$D$14/100/12)</f>
      </c>
      <c r="F313" s="0">
        <f>BH312*(1+Calculator!$D$15/100/12)</f>
      </c>
      <c r="G313" s="0">
        <f>BI312*(1+Calculator!$D$16/100/12)</f>
      </c>
      <c r="H313" s="0">
        <f>BJ312*(1+Calculator!$D$17/100/12)</f>
      </c>
      <c r="I313" s="0">
        <f>BK312*(1+Calculator!$D$18/100/12)</f>
      </c>
      <c r="J313" s="0">
        <f>BL312*(1+Calculator!$D$19/100/12)</f>
      </c>
      <c r="K313" s="0">
        <f>BM312*(1+Calculator!$D$20/100/12)</f>
      </c>
      <c r="L313" s="0">
        <f>BN312*(1+Calculator!$D$21/100/12)</f>
      </c>
      <c r="M313" s="0">
        <f>BO312*(1+Calculator!$D$22/100/12)</f>
      </c>
      <c r="N313" s="0">
        <f>BP312*(1+Calculator!$D$23/100/12)</f>
      </c>
      <c r="O313" s="0">
        <f>BQ312*(1+Calculator!$D$24/100/12)</f>
      </c>
      <c r="P313" s="0">
        <f>BR312*(1+Calculator!$D$25/100/12)</f>
      </c>
      <c r="Q313" s="0">
        <f>BS312*(1+Calculator!$D$26/100/12)</f>
      </c>
      <c r="R313" s="0">
        <f>BT312*(1+Calculator!$D$27/100/12)</f>
      </c>
      <c r="S313" s="0">
        <f>BU312*(1+Calculator!$D$28/100/12)</f>
      </c>
      <c r="T313" s="0">
        <f>MAX(0,B313-Calculator!$E$11)</f>
      </c>
      <c r="U313" s="0">
        <f>MAX(0,C313-Calculator!$E$12)</f>
      </c>
      <c r="V313" s="0">
        <f>MAX(0,D313-Calculator!$E$13)</f>
      </c>
      <c r="W313" s="0">
        <f>MAX(0,E313-Calculator!$E$14)</f>
      </c>
      <c r="X313" s="0">
        <f>MAX(0,F313-Calculator!$E$15)</f>
      </c>
      <c r="Y313" s="0">
        <f>MAX(0,G313-Calculator!$E$16)</f>
      </c>
      <c r="Z313" s="0">
        <f>MAX(0,H313-Calculator!$E$17)</f>
      </c>
      <c r="AA313" s="0">
        <f>MAX(0,I313-Calculator!$E$18)</f>
      </c>
      <c r="AB313" s="0">
        <f>MAX(0,J313-Calculator!$E$19)</f>
      </c>
      <c r="AC313" s="0">
        <f>MAX(0,K313-Calculator!$E$20)</f>
      </c>
      <c r="AD313" s="0">
        <f>MAX(0,L313-Calculator!$E$21)</f>
      </c>
      <c r="AE313" s="0">
        <f>MAX(0,M313-Calculator!$E$22)</f>
      </c>
      <c r="AF313" s="0">
        <f>MAX(0,N313-Calculator!$E$23)</f>
      </c>
      <c r="AG313" s="0">
        <f>MAX(0,O313-Calculator!$E$24)</f>
      </c>
      <c r="AH313" s="0">
        <f>MAX(0,P313-Calculator!$E$25)</f>
      </c>
      <c r="AI313" s="0">
        <f>MAX(0,Q313-Calculator!$E$26)</f>
      </c>
      <c r="AJ313" s="0">
        <f>MAX(0,R313-Calculator!$E$27)</f>
      </c>
      <c r="AK313" s="0">
        <f>MAX(0,S313-Calculator!$E$28)</f>
      </c>
      <c r="AL313" s="0">
        <f>MAX(0,MIN(T313,BX313-SUMPRODUCT(($T$2:$AK$2&lt;T$2)*($T313:$AK313))))</f>
      </c>
      <c r="AM313" s="0">
        <f>MAX(0,MIN(U313,BX313-SUMPRODUCT(($T$2:$AK$2&lt;U$2)*($T313:$AK313))))</f>
      </c>
      <c r="AN313" s="0">
        <f>MAX(0,MIN(V313,BX313-SUMPRODUCT(($T$2:$AK$2&lt;V$2)*($T313:$AK313))))</f>
      </c>
      <c r="AO313" s="0">
        <f>MAX(0,MIN(W313,BX313-SUMPRODUCT(($T$2:$AK$2&lt;W$2)*($T313:$AK313))))</f>
      </c>
      <c r="AP313" s="0">
        <f>MAX(0,MIN(X313,BX313-SUMPRODUCT(($T$2:$AK$2&lt;X$2)*($T313:$AK313))))</f>
      </c>
      <c r="AQ313" s="0">
        <f>MAX(0,MIN(Y313,BX313-SUMPRODUCT(($T$2:$AK$2&lt;Y$2)*($T313:$AK313))))</f>
      </c>
      <c r="AR313" s="0">
        <f>MAX(0,MIN(Z313,BX313-SUMPRODUCT(($T$2:$AK$2&lt;Z$2)*($T313:$AK313))))</f>
      </c>
      <c r="AS313" s="0">
        <f>MAX(0,MIN(AA313,BX313-SUMPRODUCT(($T$2:$AK$2&lt;AA$2)*($T313:$AK313))))</f>
      </c>
      <c r="AT313" s="0">
        <f>MAX(0,MIN(AB313,BX313-SUMPRODUCT(($T$2:$AK$2&lt;AB$2)*($T313:$AK313))))</f>
      </c>
      <c r="AU313" s="0">
        <f>MAX(0,MIN(AC313,BX313-SUMPRODUCT(($T$2:$AK$2&lt;AC$2)*($T313:$AK313))))</f>
      </c>
      <c r="AV313" s="0">
        <f>MAX(0,MIN(AD313,BX313-SUMPRODUCT(($T$2:$AK$2&lt;AD$2)*($T313:$AK313))))</f>
      </c>
      <c r="AW313" s="0">
        <f>MAX(0,MIN(AE313,BX313-SUMPRODUCT(($T$2:$AK$2&lt;AE$2)*($T313:$AK313))))</f>
      </c>
      <c r="AX313" s="0">
        <f>MAX(0,MIN(AF313,BX313-SUMPRODUCT(($T$2:$AK$2&lt;AF$2)*($T313:$AK313))))</f>
      </c>
      <c r="AY313" s="0">
        <f>MAX(0,MIN(AG313,BX313-SUMPRODUCT(($T$2:$AK$2&lt;AG$2)*($T313:$AK313))))</f>
      </c>
      <c r="AZ313" s="0">
        <f>MAX(0,MIN(AH313,BX313-SUMPRODUCT(($T$2:$AK$2&lt;AH$2)*($T313:$AK313))))</f>
      </c>
      <c r="BA313" s="0">
        <f>MAX(0,MIN(AI313,BX313-SUMPRODUCT(($T$2:$AK$2&lt;AI$2)*($T313:$AK313))))</f>
      </c>
      <c r="BB313" s="0">
        <f>MAX(0,MIN(AJ313,BX313-SUMPRODUCT(($T$2:$AK$2&lt;AJ$2)*($T313:$AK313))))</f>
      </c>
      <c r="BC313" s="0">
        <f>MAX(0,MIN(AK313,BX313-SUMPRODUCT(($T$2:$AK$2&lt;AK$2)*($T313:$AK313))))</f>
      </c>
      <c r="BD313" s="0">
        <f>T313-AL313</f>
      </c>
      <c r="BE313" s="0">
        <f>U313-AM313</f>
      </c>
      <c r="BF313" s="0">
        <f>V313-AN313</f>
      </c>
      <c r="BG313" s="0">
        <f>W313-AO313</f>
      </c>
      <c r="BH313" s="0">
        <f>X313-AP313</f>
      </c>
      <c r="BI313" s="0">
        <f>Y313-AQ313</f>
      </c>
      <c r="BJ313" s="0">
        <f>Z313-AR313</f>
      </c>
      <c r="BK313" s="0">
        <f>AA313-AS313</f>
      </c>
      <c r="BL313" s="0">
        <f>AB313-AT313</f>
      </c>
      <c r="BM313" s="0">
        <f>AC313-AU313</f>
      </c>
      <c r="BN313" s="0">
        <f>AD313-AV313</f>
      </c>
      <c r="BO313" s="0">
        <f>AE313-AW313</f>
      </c>
      <c r="BP313" s="0">
        <f>AF313-AX313</f>
      </c>
      <c r="BQ313" s="0">
        <f>AG313-AY313</f>
      </c>
      <c r="BR313" s="0">
        <f>AH313-AZ313</f>
      </c>
      <c r="BS313" s="0">
        <f>AI313-BA313</f>
      </c>
      <c r="BT313" s="0">
        <f>AJ313-BB313</f>
      </c>
      <c r="BU313" s="0">
        <f>AK313-BC313</f>
      </c>
      <c r="BV313" s="0">
        <f>SUM(B313:S313)</f>
      </c>
      <c r="BW313" s="0">
        <f>SUM(T313:AK313)</f>
      </c>
      <c r="BX313" s="0">
        <f>MAX(0,(SUM(Calculator!$E$11:$E$28)+Calculator!$C$6)-BV313+BW313)</f>
      </c>
      <c r="BY313" s="0">
        <f>SUM(BD313:BU313)</f>
      </c>
      <c r="BZ313" s="0">
        <f>BV313-BY312</f>
      </c>
      <c r="CA313" s="0">
        <f>IF(A313&lt;=IF($CD$1=0,999,$CD$1),BY313,NA())</f>
      </c>
      <c r="CB313" s="0">
        <f>IF(A313&lt;=IF($CD$1=0,999,$CD$1),A313,NA())</f>
      </c>
    </row>
    <row r="314">
      <c r="A314" s="0">
        <v>311</v>
      </c>
      <c r="B314" s="0">
        <f>BD313*(1+Calculator!$D$11/100/12)</f>
      </c>
      <c r="C314" s="0">
        <f>BE313*(1+Calculator!$D$12/100/12)</f>
      </c>
      <c r="D314" s="0">
        <f>BF313*(1+Calculator!$D$13/100/12)</f>
      </c>
      <c r="E314" s="0">
        <f>BG313*(1+Calculator!$D$14/100/12)</f>
      </c>
      <c r="F314" s="0">
        <f>BH313*(1+Calculator!$D$15/100/12)</f>
      </c>
      <c r="G314" s="0">
        <f>BI313*(1+Calculator!$D$16/100/12)</f>
      </c>
      <c r="H314" s="0">
        <f>BJ313*(1+Calculator!$D$17/100/12)</f>
      </c>
      <c r="I314" s="0">
        <f>BK313*(1+Calculator!$D$18/100/12)</f>
      </c>
      <c r="J314" s="0">
        <f>BL313*(1+Calculator!$D$19/100/12)</f>
      </c>
      <c r="K314" s="0">
        <f>BM313*(1+Calculator!$D$20/100/12)</f>
      </c>
      <c r="L314" s="0">
        <f>BN313*(1+Calculator!$D$21/100/12)</f>
      </c>
      <c r="M314" s="0">
        <f>BO313*(1+Calculator!$D$22/100/12)</f>
      </c>
      <c r="N314" s="0">
        <f>BP313*(1+Calculator!$D$23/100/12)</f>
      </c>
      <c r="O314" s="0">
        <f>BQ313*(1+Calculator!$D$24/100/12)</f>
      </c>
      <c r="P314" s="0">
        <f>BR313*(1+Calculator!$D$25/100/12)</f>
      </c>
      <c r="Q314" s="0">
        <f>BS313*(1+Calculator!$D$26/100/12)</f>
      </c>
      <c r="R314" s="0">
        <f>BT313*(1+Calculator!$D$27/100/12)</f>
      </c>
      <c r="S314" s="0">
        <f>BU313*(1+Calculator!$D$28/100/12)</f>
      </c>
      <c r="T314" s="0">
        <f>MAX(0,B314-Calculator!$E$11)</f>
      </c>
      <c r="U314" s="0">
        <f>MAX(0,C314-Calculator!$E$12)</f>
      </c>
      <c r="V314" s="0">
        <f>MAX(0,D314-Calculator!$E$13)</f>
      </c>
      <c r="W314" s="0">
        <f>MAX(0,E314-Calculator!$E$14)</f>
      </c>
      <c r="X314" s="0">
        <f>MAX(0,F314-Calculator!$E$15)</f>
      </c>
      <c r="Y314" s="0">
        <f>MAX(0,G314-Calculator!$E$16)</f>
      </c>
      <c r="Z314" s="0">
        <f>MAX(0,H314-Calculator!$E$17)</f>
      </c>
      <c r="AA314" s="0">
        <f>MAX(0,I314-Calculator!$E$18)</f>
      </c>
      <c r="AB314" s="0">
        <f>MAX(0,J314-Calculator!$E$19)</f>
      </c>
      <c r="AC314" s="0">
        <f>MAX(0,K314-Calculator!$E$20)</f>
      </c>
      <c r="AD314" s="0">
        <f>MAX(0,L314-Calculator!$E$21)</f>
      </c>
      <c r="AE314" s="0">
        <f>MAX(0,M314-Calculator!$E$22)</f>
      </c>
      <c r="AF314" s="0">
        <f>MAX(0,N314-Calculator!$E$23)</f>
      </c>
      <c r="AG314" s="0">
        <f>MAX(0,O314-Calculator!$E$24)</f>
      </c>
      <c r="AH314" s="0">
        <f>MAX(0,P314-Calculator!$E$25)</f>
      </c>
      <c r="AI314" s="0">
        <f>MAX(0,Q314-Calculator!$E$26)</f>
      </c>
      <c r="AJ314" s="0">
        <f>MAX(0,R314-Calculator!$E$27)</f>
      </c>
      <c r="AK314" s="0">
        <f>MAX(0,S314-Calculator!$E$28)</f>
      </c>
      <c r="AL314" s="0">
        <f>MAX(0,MIN(T314,BX314-SUMPRODUCT(($T$2:$AK$2&lt;T$2)*($T314:$AK314))))</f>
      </c>
      <c r="AM314" s="0">
        <f>MAX(0,MIN(U314,BX314-SUMPRODUCT(($T$2:$AK$2&lt;U$2)*($T314:$AK314))))</f>
      </c>
      <c r="AN314" s="0">
        <f>MAX(0,MIN(V314,BX314-SUMPRODUCT(($T$2:$AK$2&lt;V$2)*($T314:$AK314))))</f>
      </c>
      <c r="AO314" s="0">
        <f>MAX(0,MIN(W314,BX314-SUMPRODUCT(($T$2:$AK$2&lt;W$2)*($T314:$AK314))))</f>
      </c>
      <c r="AP314" s="0">
        <f>MAX(0,MIN(X314,BX314-SUMPRODUCT(($T$2:$AK$2&lt;X$2)*($T314:$AK314))))</f>
      </c>
      <c r="AQ314" s="0">
        <f>MAX(0,MIN(Y314,BX314-SUMPRODUCT(($T$2:$AK$2&lt;Y$2)*($T314:$AK314))))</f>
      </c>
      <c r="AR314" s="0">
        <f>MAX(0,MIN(Z314,BX314-SUMPRODUCT(($T$2:$AK$2&lt;Z$2)*($T314:$AK314))))</f>
      </c>
      <c r="AS314" s="0">
        <f>MAX(0,MIN(AA314,BX314-SUMPRODUCT(($T$2:$AK$2&lt;AA$2)*($T314:$AK314))))</f>
      </c>
      <c r="AT314" s="0">
        <f>MAX(0,MIN(AB314,BX314-SUMPRODUCT(($T$2:$AK$2&lt;AB$2)*($T314:$AK314))))</f>
      </c>
      <c r="AU314" s="0">
        <f>MAX(0,MIN(AC314,BX314-SUMPRODUCT(($T$2:$AK$2&lt;AC$2)*($T314:$AK314))))</f>
      </c>
      <c r="AV314" s="0">
        <f>MAX(0,MIN(AD314,BX314-SUMPRODUCT(($T$2:$AK$2&lt;AD$2)*($T314:$AK314))))</f>
      </c>
      <c r="AW314" s="0">
        <f>MAX(0,MIN(AE314,BX314-SUMPRODUCT(($T$2:$AK$2&lt;AE$2)*($T314:$AK314))))</f>
      </c>
      <c r="AX314" s="0">
        <f>MAX(0,MIN(AF314,BX314-SUMPRODUCT(($T$2:$AK$2&lt;AF$2)*($T314:$AK314))))</f>
      </c>
      <c r="AY314" s="0">
        <f>MAX(0,MIN(AG314,BX314-SUMPRODUCT(($T$2:$AK$2&lt;AG$2)*($T314:$AK314))))</f>
      </c>
      <c r="AZ314" s="0">
        <f>MAX(0,MIN(AH314,BX314-SUMPRODUCT(($T$2:$AK$2&lt;AH$2)*($T314:$AK314))))</f>
      </c>
      <c r="BA314" s="0">
        <f>MAX(0,MIN(AI314,BX314-SUMPRODUCT(($T$2:$AK$2&lt;AI$2)*($T314:$AK314))))</f>
      </c>
      <c r="BB314" s="0">
        <f>MAX(0,MIN(AJ314,BX314-SUMPRODUCT(($T$2:$AK$2&lt;AJ$2)*($T314:$AK314))))</f>
      </c>
      <c r="BC314" s="0">
        <f>MAX(0,MIN(AK314,BX314-SUMPRODUCT(($T$2:$AK$2&lt;AK$2)*($T314:$AK314))))</f>
      </c>
      <c r="BD314" s="0">
        <f>T314-AL314</f>
      </c>
      <c r="BE314" s="0">
        <f>U314-AM314</f>
      </c>
      <c r="BF314" s="0">
        <f>V314-AN314</f>
      </c>
      <c r="BG314" s="0">
        <f>W314-AO314</f>
      </c>
      <c r="BH314" s="0">
        <f>X314-AP314</f>
      </c>
      <c r="BI314" s="0">
        <f>Y314-AQ314</f>
      </c>
      <c r="BJ314" s="0">
        <f>Z314-AR314</f>
      </c>
      <c r="BK314" s="0">
        <f>AA314-AS314</f>
      </c>
      <c r="BL314" s="0">
        <f>AB314-AT314</f>
      </c>
      <c r="BM314" s="0">
        <f>AC314-AU314</f>
      </c>
      <c r="BN314" s="0">
        <f>AD314-AV314</f>
      </c>
      <c r="BO314" s="0">
        <f>AE314-AW314</f>
      </c>
      <c r="BP314" s="0">
        <f>AF314-AX314</f>
      </c>
      <c r="BQ314" s="0">
        <f>AG314-AY314</f>
      </c>
      <c r="BR314" s="0">
        <f>AH314-AZ314</f>
      </c>
      <c r="BS314" s="0">
        <f>AI314-BA314</f>
      </c>
      <c r="BT314" s="0">
        <f>AJ314-BB314</f>
      </c>
      <c r="BU314" s="0">
        <f>AK314-BC314</f>
      </c>
      <c r="BV314" s="0">
        <f>SUM(B314:S314)</f>
      </c>
      <c r="BW314" s="0">
        <f>SUM(T314:AK314)</f>
      </c>
      <c r="BX314" s="0">
        <f>MAX(0,(SUM(Calculator!$E$11:$E$28)+Calculator!$C$6)-BV314+BW314)</f>
      </c>
      <c r="BY314" s="0">
        <f>SUM(BD314:BU314)</f>
      </c>
      <c r="BZ314" s="0">
        <f>BV314-BY313</f>
      </c>
      <c r="CA314" s="0">
        <f>IF(A314&lt;=IF($CD$1=0,999,$CD$1),BY314,NA())</f>
      </c>
      <c r="CB314" s="0">
        <f>IF(A314&lt;=IF($CD$1=0,999,$CD$1),A314,NA())</f>
      </c>
    </row>
    <row r="315">
      <c r="A315" s="0">
        <v>312</v>
      </c>
      <c r="B315" s="0">
        <f>BD314*(1+Calculator!$D$11/100/12)</f>
      </c>
      <c r="C315" s="0">
        <f>BE314*(1+Calculator!$D$12/100/12)</f>
      </c>
      <c r="D315" s="0">
        <f>BF314*(1+Calculator!$D$13/100/12)</f>
      </c>
      <c r="E315" s="0">
        <f>BG314*(1+Calculator!$D$14/100/12)</f>
      </c>
      <c r="F315" s="0">
        <f>BH314*(1+Calculator!$D$15/100/12)</f>
      </c>
      <c r="G315" s="0">
        <f>BI314*(1+Calculator!$D$16/100/12)</f>
      </c>
      <c r="H315" s="0">
        <f>BJ314*(1+Calculator!$D$17/100/12)</f>
      </c>
      <c r="I315" s="0">
        <f>BK314*(1+Calculator!$D$18/100/12)</f>
      </c>
      <c r="J315" s="0">
        <f>BL314*(1+Calculator!$D$19/100/12)</f>
      </c>
      <c r="K315" s="0">
        <f>BM314*(1+Calculator!$D$20/100/12)</f>
      </c>
      <c r="L315" s="0">
        <f>BN314*(1+Calculator!$D$21/100/12)</f>
      </c>
      <c r="M315" s="0">
        <f>BO314*(1+Calculator!$D$22/100/12)</f>
      </c>
      <c r="N315" s="0">
        <f>BP314*(1+Calculator!$D$23/100/12)</f>
      </c>
      <c r="O315" s="0">
        <f>BQ314*(1+Calculator!$D$24/100/12)</f>
      </c>
      <c r="P315" s="0">
        <f>BR314*(1+Calculator!$D$25/100/12)</f>
      </c>
      <c r="Q315" s="0">
        <f>BS314*(1+Calculator!$D$26/100/12)</f>
      </c>
      <c r="R315" s="0">
        <f>BT314*(1+Calculator!$D$27/100/12)</f>
      </c>
      <c r="S315" s="0">
        <f>BU314*(1+Calculator!$D$28/100/12)</f>
      </c>
      <c r="T315" s="0">
        <f>MAX(0,B315-Calculator!$E$11)</f>
      </c>
      <c r="U315" s="0">
        <f>MAX(0,C315-Calculator!$E$12)</f>
      </c>
      <c r="V315" s="0">
        <f>MAX(0,D315-Calculator!$E$13)</f>
      </c>
      <c r="W315" s="0">
        <f>MAX(0,E315-Calculator!$E$14)</f>
      </c>
      <c r="X315" s="0">
        <f>MAX(0,F315-Calculator!$E$15)</f>
      </c>
      <c r="Y315" s="0">
        <f>MAX(0,G315-Calculator!$E$16)</f>
      </c>
      <c r="Z315" s="0">
        <f>MAX(0,H315-Calculator!$E$17)</f>
      </c>
      <c r="AA315" s="0">
        <f>MAX(0,I315-Calculator!$E$18)</f>
      </c>
      <c r="AB315" s="0">
        <f>MAX(0,J315-Calculator!$E$19)</f>
      </c>
      <c r="AC315" s="0">
        <f>MAX(0,K315-Calculator!$E$20)</f>
      </c>
      <c r="AD315" s="0">
        <f>MAX(0,L315-Calculator!$E$21)</f>
      </c>
      <c r="AE315" s="0">
        <f>MAX(0,M315-Calculator!$E$22)</f>
      </c>
      <c r="AF315" s="0">
        <f>MAX(0,N315-Calculator!$E$23)</f>
      </c>
      <c r="AG315" s="0">
        <f>MAX(0,O315-Calculator!$E$24)</f>
      </c>
      <c r="AH315" s="0">
        <f>MAX(0,P315-Calculator!$E$25)</f>
      </c>
      <c r="AI315" s="0">
        <f>MAX(0,Q315-Calculator!$E$26)</f>
      </c>
      <c r="AJ315" s="0">
        <f>MAX(0,R315-Calculator!$E$27)</f>
      </c>
      <c r="AK315" s="0">
        <f>MAX(0,S315-Calculator!$E$28)</f>
      </c>
      <c r="AL315" s="0">
        <f>MAX(0,MIN(T315,BX315-SUMPRODUCT(($T$2:$AK$2&lt;T$2)*($T315:$AK315))))</f>
      </c>
      <c r="AM315" s="0">
        <f>MAX(0,MIN(U315,BX315-SUMPRODUCT(($T$2:$AK$2&lt;U$2)*($T315:$AK315))))</f>
      </c>
      <c r="AN315" s="0">
        <f>MAX(0,MIN(V315,BX315-SUMPRODUCT(($T$2:$AK$2&lt;V$2)*($T315:$AK315))))</f>
      </c>
      <c r="AO315" s="0">
        <f>MAX(0,MIN(W315,BX315-SUMPRODUCT(($T$2:$AK$2&lt;W$2)*($T315:$AK315))))</f>
      </c>
      <c r="AP315" s="0">
        <f>MAX(0,MIN(X315,BX315-SUMPRODUCT(($T$2:$AK$2&lt;X$2)*($T315:$AK315))))</f>
      </c>
      <c r="AQ315" s="0">
        <f>MAX(0,MIN(Y315,BX315-SUMPRODUCT(($T$2:$AK$2&lt;Y$2)*($T315:$AK315))))</f>
      </c>
      <c r="AR315" s="0">
        <f>MAX(0,MIN(Z315,BX315-SUMPRODUCT(($T$2:$AK$2&lt;Z$2)*($T315:$AK315))))</f>
      </c>
      <c r="AS315" s="0">
        <f>MAX(0,MIN(AA315,BX315-SUMPRODUCT(($T$2:$AK$2&lt;AA$2)*($T315:$AK315))))</f>
      </c>
      <c r="AT315" s="0">
        <f>MAX(0,MIN(AB315,BX315-SUMPRODUCT(($T$2:$AK$2&lt;AB$2)*($T315:$AK315))))</f>
      </c>
      <c r="AU315" s="0">
        <f>MAX(0,MIN(AC315,BX315-SUMPRODUCT(($T$2:$AK$2&lt;AC$2)*($T315:$AK315))))</f>
      </c>
      <c r="AV315" s="0">
        <f>MAX(0,MIN(AD315,BX315-SUMPRODUCT(($T$2:$AK$2&lt;AD$2)*($T315:$AK315))))</f>
      </c>
      <c r="AW315" s="0">
        <f>MAX(0,MIN(AE315,BX315-SUMPRODUCT(($T$2:$AK$2&lt;AE$2)*($T315:$AK315))))</f>
      </c>
      <c r="AX315" s="0">
        <f>MAX(0,MIN(AF315,BX315-SUMPRODUCT(($T$2:$AK$2&lt;AF$2)*($T315:$AK315))))</f>
      </c>
      <c r="AY315" s="0">
        <f>MAX(0,MIN(AG315,BX315-SUMPRODUCT(($T$2:$AK$2&lt;AG$2)*($T315:$AK315))))</f>
      </c>
      <c r="AZ315" s="0">
        <f>MAX(0,MIN(AH315,BX315-SUMPRODUCT(($T$2:$AK$2&lt;AH$2)*($T315:$AK315))))</f>
      </c>
      <c r="BA315" s="0">
        <f>MAX(0,MIN(AI315,BX315-SUMPRODUCT(($T$2:$AK$2&lt;AI$2)*($T315:$AK315))))</f>
      </c>
      <c r="BB315" s="0">
        <f>MAX(0,MIN(AJ315,BX315-SUMPRODUCT(($T$2:$AK$2&lt;AJ$2)*($T315:$AK315))))</f>
      </c>
      <c r="BC315" s="0">
        <f>MAX(0,MIN(AK315,BX315-SUMPRODUCT(($T$2:$AK$2&lt;AK$2)*($T315:$AK315))))</f>
      </c>
      <c r="BD315" s="0">
        <f>T315-AL315</f>
      </c>
      <c r="BE315" s="0">
        <f>U315-AM315</f>
      </c>
      <c r="BF315" s="0">
        <f>V315-AN315</f>
      </c>
      <c r="BG315" s="0">
        <f>W315-AO315</f>
      </c>
      <c r="BH315" s="0">
        <f>X315-AP315</f>
      </c>
      <c r="BI315" s="0">
        <f>Y315-AQ315</f>
      </c>
      <c r="BJ315" s="0">
        <f>Z315-AR315</f>
      </c>
      <c r="BK315" s="0">
        <f>AA315-AS315</f>
      </c>
      <c r="BL315" s="0">
        <f>AB315-AT315</f>
      </c>
      <c r="BM315" s="0">
        <f>AC315-AU315</f>
      </c>
      <c r="BN315" s="0">
        <f>AD315-AV315</f>
      </c>
      <c r="BO315" s="0">
        <f>AE315-AW315</f>
      </c>
      <c r="BP315" s="0">
        <f>AF315-AX315</f>
      </c>
      <c r="BQ315" s="0">
        <f>AG315-AY315</f>
      </c>
      <c r="BR315" s="0">
        <f>AH315-AZ315</f>
      </c>
      <c r="BS315" s="0">
        <f>AI315-BA315</f>
      </c>
      <c r="BT315" s="0">
        <f>AJ315-BB315</f>
      </c>
      <c r="BU315" s="0">
        <f>AK315-BC315</f>
      </c>
      <c r="BV315" s="0">
        <f>SUM(B315:S315)</f>
      </c>
      <c r="BW315" s="0">
        <f>SUM(T315:AK315)</f>
      </c>
      <c r="BX315" s="0">
        <f>MAX(0,(SUM(Calculator!$E$11:$E$28)+Calculator!$C$6)-BV315+BW315)</f>
      </c>
      <c r="BY315" s="0">
        <f>SUM(BD315:BU315)</f>
      </c>
      <c r="BZ315" s="0">
        <f>BV315-BY314</f>
      </c>
      <c r="CA315" s="0">
        <f>IF(A315&lt;=IF($CD$1=0,999,$CD$1),BY315,NA())</f>
      </c>
      <c r="CB315" s="0">
        <f>IF(A315&lt;=IF($CD$1=0,999,$CD$1),A315,NA())</f>
      </c>
    </row>
    <row r="316">
      <c r="A316" s="0">
        <v>313</v>
      </c>
      <c r="B316" s="0">
        <f>BD315*(1+Calculator!$D$11/100/12)</f>
      </c>
      <c r="C316" s="0">
        <f>BE315*(1+Calculator!$D$12/100/12)</f>
      </c>
      <c r="D316" s="0">
        <f>BF315*(1+Calculator!$D$13/100/12)</f>
      </c>
      <c r="E316" s="0">
        <f>BG315*(1+Calculator!$D$14/100/12)</f>
      </c>
      <c r="F316" s="0">
        <f>BH315*(1+Calculator!$D$15/100/12)</f>
      </c>
      <c r="G316" s="0">
        <f>BI315*(1+Calculator!$D$16/100/12)</f>
      </c>
      <c r="H316" s="0">
        <f>BJ315*(1+Calculator!$D$17/100/12)</f>
      </c>
      <c r="I316" s="0">
        <f>BK315*(1+Calculator!$D$18/100/12)</f>
      </c>
      <c r="J316" s="0">
        <f>BL315*(1+Calculator!$D$19/100/12)</f>
      </c>
      <c r="K316" s="0">
        <f>BM315*(1+Calculator!$D$20/100/12)</f>
      </c>
      <c r="L316" s="0">
        <f>BN315*(1+Calculator!$D$21/100/12)</f>
      </c>
      <c r="M316" s="0">
        <f>BO315*(1+Calculator!$D$22/100/12)</f>
      </c>
      <c r="N316" s="0">
        <f>BP315*(1+Calculator!$D$23/100/12)</f>
      </c>
      <c r="O316" s="0">
        <f>BQ315*(1+Calculator!$D$24/100/12)</f>
      </c>
      <c r="P316" s="0">
        <f>BR315*(1+Calculator!$D$25/100/12)</f>
      </c>
      <c r="Q316" s="0">
        <f>BS315*(1+Calculator!$D$26/100/12)</f>
      </c>
      <c r="R316" s="0">
        <f>BT315*(1+Calculator!$D$27/100/12)</f>
      </c>
      <c r="S316" s="0">
        <f>BU315*(1+Calculator!$D$28/100/12)</f>
      </c>
      <c r="T316" s="0">
        <f>MAX(0,B316-Calculator!$E$11)</f>
      </c>
      <c r="U316" s="0">
        <f>MAX(0,C316-Calculator!$E$12)</f>
      </c>
      <c r="V316" s="0">
        <f>MAX(0,D316-Calculator!$E$13)</f>
      </c>
      <c r="W316" s="0">
        <f>MAX(0,E316-Calculator!$E$14)</f>
      </c>
      <c r="X316" s="0">
        <f>MAX(0,F316-Calculator!$E$15)</f>
      </c>
      <c r="Y316" s="0">
        <f>MAX(0,G316-Calculator!$E$16)</f>
      </c>
      <c r="Z316" s="0">
        <f>MAX(0,H316-Calculator!$E$17)</f>
      </c>
      <c r="AA316" s="0">
        <f>MAX(0,I316-Calculator!$E$18)</f>
      </c>
      <c r="AB316" s="0">
        <f>MAX(0,J316-Calculator!$E$19)</f>
      </c>
      <c r="AC316" s="0">
        <f>MAX(0,K316-Calculator!$E$20)</f>
      </c>
      <c r="AD316" s="0">
        <f>MAX(0,L316-Calculator!$E$21)</f>
      </c>
      <c r="AE316" s="0">
        <f>MAX(0,M316-Calculator!$E$22)</f>
      </c>
      <c r="AF316" s="0">
        <f>MAX(0,N316-Calculator!$E$23)</f>
      </c>
      <c r="AG316" s="0">
        <f>MAX(0,O316-Calculator!$E$24)</f>
      </c>
      <c r="AH316" s="0">
        <f>MAX(0,P316-Calculator!$E$25)</f>
      </c>
      <c r="AI316" s="0">
        <f>MAX(0,Q316-Calculator!$E$26)</f>
      </c>
      <c r="AJ316" s="0">
        <f>MAX(0,R316-Calculator!$E$27)</f>
      </c>
      <c r="AK316" s="0">
        <f>MAX(0,S316-Calculator!$E$28)</f>
      </c>
      <c r="AL316" s="0">
        <f>MAX(0,MIN(T316,BX316-SUMPRODUCT(($T$2:$AK$2&lt;T$2)*($T316:$AK316))))</f>
      </c>
      <c r="AM316" s="0">
        <f>MAX(0,MIN(U316,BX316-SUMPRODUCT(($T$2:$AK$2&lt;U$2)*($T316:$AK316))))</f>
      </c>
      <c r="AN316" s="0">
        <f>MAX(0,MIN(V316,BX316-SUMPRODUCT(($T$2:$AK$2&lt;V$2)*($T316:$AK316))))</f>
      </c>
      <c r="AO316" s="0">
        <f>MAX(0,MIN(W316,BX316-SUMPRODUCT(($T$2:$AK$2&lt;W$2)*($T316:$AK316))))</f>
      </c>
      <c r="AP316" s="0">
        <f>MAX(0,MIN(X316,BX316-SUMPRODUCT(($T$2:$AK$2&lt;X$2)*($T316:$AK316))))</f>
      </c>
      <c r="AQ316" s="0">
        <f>MAX(0,MIN(Y316,BX316-SUMPRODUCT(($T$2:$AK$2&lt;Y$2)*($T316:$AK316))))</f>
      </c>
      <c r="AR316" s="0">
        <f>MAX(0,MIN(Z316,BX316-SUMPRODUCT(($T$2:$AK$2&lt;Z$2)*($T316:$AK316))))</f>
      </c>
      <c r="AS316" s="0">
        <f>MAX(0,MIN(AA316,BX316-SUMPRODUCT(($T$2:$AK$2&lt;AA$2)*($T316:$AK316))))</f>
      </c>
      <c r="AT316" s="0">
        <f>MAX(0,MIN(AB316,BX316-SUMPRODUCT(($T$2:$AK$2&lt;AB$2)*($T316:$AK316))))</f>
      </c>
      <c r="AU316" s="0">
        <f>MAX(0,MIN(AC316,BX316-SUMPRODUCT(($T$2:$AK$2&lt;AC$2)*($T316:$AK316))))</f>
      </c>
      <c r="AV316" s="0">
        <f>MAX(0,MIN(AD316,BX316-SUMPRODUCT(($T$2:$AK$2&lt;AD$2)*($T316:$AK316))))</f>
      </c>
      <c r="AW316" s="0">
        <f>MAX(0,MIN(AE316,BX316-SUMPRODUCT(($T$2:$AK$2&lt;AE$2)*($T316:$AK316))))</f>
      </c>
      <c r="AX316" s="0">
        <f>MAX(0,MIN(AF316,BX316-SUMPRODUCT(($T$2:$AK$2&lt;AF$2)*($T316:$AK316))))</f>
      </c>
      <c r="AY316" s="0">
        <f>MAX(0,MIN(AG316,BX316-SUMPRODUCT(($T$2:$AK$2&lt;AG$2)*($T316:$AK316))))</f>
      </c>
      <c r="AZ316" s="0">
        <f>MAX(0,MIN(AH316,BX316-SUMPRODUCT(($T$2:$AK$2&lt;AH$2)*($T316:$AK316))))</f>
      </c>
      <c r="BA316" s="0">
        <f>MAX(0,MIN(AI316,BX316-SUMPRODUCT(($T$2:$AK$2&lt;AI$2)*($T316:$AK316))))</f>
      </c>
      <c r="BB316" s="0">
        <f>MAX(0,MIN(AJ316,BX316-SUMPRODUCT(($T$2:$AK$2&lt;AJ$2)*($T316:$AK316))))</f>
      </c>
      <c r="BC316" s="0">
        <f>MAX(0,MIN(AK316,BX316-SUMPRODUCT(($T$2:$AK$2&lt;AK$2)*($T316:$AK316))))</f>
      </c>
      <c r="BD316" s="0">
        <f>T316-AL316</f>
      </c>
      <c r="BE316" s="0">
        <f>U316-AM316</f>
      </c>
      <c r="BF316" s="0">
        <f>V316-AN316</f>
      </c>
      <c r="BG316" s="0">
        <f>W316-AO316</f>
      </c>
      <c r="BH316" s="0">
        <f>X316-AP316</f>
      </c>
      <c r="BI316" s="0">
        <f>Y316-AQ316</f>
      </c>
      <c r="BJ316" s="0">
        <f>Z316-AR316</f>
      </c>
      <c r="BK316" s="0">
        <f>AA316-AS316</f>
      </c>
      <c r="BL316" s="0">
        <f>AB316-AT316</f>
      </c>
      <c r="BM316" s="0">
        <f>AC316-AU316</f>
      </c>
      <c r="BN316" s="0">
        <f>AD316-AV316</f>
      </c>
      <c r="BO316" s="0">
        <f>AE316-AW316</f>
      </c>
      <c r="BP316" s="0">
        <f>AF316-AX316</f>
      </c>
      <c r="BQ316" s="0">
        <f>AG316-AY316</f>
      </c>
      <c r="BR316" s="0">
        <f>AH316-AZ316</f>
      </c>
      <c r="BS316" s="0">
        <f>AI316-BA316</f>
      </c>
      <c r="BT316" s="0">
        <f>AJ316-BB316</f>
      </c>
      <c r="BU316" s="0">
        <f>AK316-BC316</f>
      </c>
      <c r="BV316" s="0">
        <f>SUM(B316:S316)</f>
      </c>
      <c r="BW316" s="0">
        <f>SUM(T316:AK316)</f>
      </c>
      <c r="BX316" s="0">
        <f>MAX(0,(SUM(Calculator!$E$11:$E$28)+Calculator!$C$6)-BV316+BW316)</f>
      </c>
      <c r="BY316" s="0">
        <f>SUM(BD316:BU316)</f>
      </c>
      <c r="BZ316" s="0">
        <f>BV316-BY315</f>
      </c>
      <c r="CA316" s="0">
        <f>IF(A316&lt;=IF($CD$1=0,999,$CD$1),BY316,NA())</f>
      </c>
      <c r="CB316" s="0">
        <f>IF(A316&lt;=IF($CD$1=0,999,$CD$1),A316,NA())</f>
      </c>
    </row>
    <row r="317">
      <c r="A317" s="0">
        <v>314</v>
      </c>
      <c r="B317" s="0">
        <f>BD316*(1+Calculator!$D$11/100/12)</f>
      </c>
      <c r="C317" s="0">
        <f>BE316*(1+Calculator!$D$12/100/12)</f>
      </c>
      <c r="D317" s="0">
        <f>BF316*(1+Calculator!$D$13/100/12)</f>
      </c>
      <c r="E317" s="0">
        <f>BG316*(1+Calculator!$D$14/100/12)</f>
      </c>
      <c r="F317" s="0">
        <f>BH316*(1+Calculator!$D$15/100/12)</f>
      </c>
      <c r="G317" s="0">
        <f>BI316*(1+Calculator!$D$16/100/12)</f>
      </c>
      <c r="H317" s="0">
        <f>BJ316*(1+Calculator!$D$17/100/12)</f>
      </c>
      <c r="I317" s="0">
        <f>BK316*(1+Calculator!$D$18/100/12)</f>
      </c>
      <c r="J317" s="0">
        <f>BL316*(1+Calculator!$D$19/100/12)</f>
      </c>
      <c r="K317" s="0">
        <f>BM316*(1+Calculator!$D$20/100/12)</f>
      </c>
      <c r="L317" s="0">
        <f>BN316*(1+Calculator!$D$21/100/12)</f>
      </c>
      <c r="M317" s="0">
        <f>BO316*(1+Calculator!$D$22/100/12)</f>
      </c>
      <c r="N317" s="0">
        <f>BP316*(1+Calculator!$D$23/100/12)</f>
      </c>
      <c r="O317" s="0">
        <f>BQ316*(1+Calculator!$D$24/100/12)</f>
      </c>
      <c r="P317" s="0">
        <f>BR316*(1+Calculator!$D$25/100/12)</f>
      </c>
      <c r="Q317" s="0">
        <f>BS316*(1+Calculator!$D$26/100/12)</f>
      </c>
      <c r="R317" s="0">
        <f>BT316*(1+Calculator!$D$27/100/12)</f>
      </c>
      <c r="S317" s="0">
        <f>BU316*(1+Calculator!$D$28/100/12)</f>
      </c>
      <c r="T317" s="0">
        <f>MAX(0,B317-Calculator!$E$11)</f>
      </c>
      <c r="U317" s="0">
        <f>MAX(0,C317-Calculator!$E$12)</f>
      </c>
      <c r="V317" s="0">
        <f>MAX(0,D317-Calculator!$E$13)</f>
      </c>
      <c r="W317" s="0">
        <f>MAX(0,E317-Calculator!$E$14)</f>
      </c>
      <c r="X317" s="0">
        <f>MAX(0,F317-Calculator!$E$15)</f>
      </c>
      <c r="Y317" s="0">
        <f>MAX(0,G317-Calculator!$E$16)</f>
      </c>
      <c r="Z317" s="0">
        <f>MAX(0,H317-Calculator!$E$17)</f>
      </c>
      <c r="AA317" s="0">
        <f>MAX(0,I317-Calculator!$E$18)</f>
      </c>
      <c r="AB317" s="0">
        <f>MAX(0,J317-Calculator!$E$19)</f>
      </c>
      <c r="AC317" s="0">
        <f>MAX(0,K317-Calculator!$E$20)</f>
      </c>
      <c r="AD317" s="0">
        <f>MAX(0,L317-Calculator!$E$21)</f>
      </c>
      <c r="AE317" s="0">
        <f>MAX(0,M317-Calculator!$E$22)</f>
      </c>
      <c r="AF317" s="0">
        <f>MAX(0,N317-Calculator!$E$23)</f>
      </c>
      <c r="AG317" s="0">
        <f>MAX(0,O317-Calculator!$E$24)</f>
      </c>
      <c r="AH317" s="0">
        <f>MAX(0,P317-Calculator!$E$25)</f>
      </c>
      <c r="AI317" s="0">
        <f>MAX(0,Q317-Calculator!$E$26)</f>
      </c>
      <c r="AJ317" s="0">
        <f>MAX(0,R317-Calculator!$E$27)</f>
      </c>
      <c r="AK317" s="0">
        <f>MAX(0,S317-Calculator!$E$28)</f>
      </c>
      <c r="AL317" s="0">
        <f>MAX(0,MIN(T317,BX317-SUMPRODUCT(($T$2:$AK$2&lt;T$2)*($T317:$AK317))))</f>
      </c>
      <c r="AM317" s="0">
        <f>MAX(0,MIN(U317,BX317-SUMPRODUCT(($T$2:$AK$2&lt;U$2)*($T317:$AK317))))</f>
      </c>
      <c r="AN317" s="0">
        <f>MAX(0,MIN(V317,BX317-SUMPRODUCT(($T$2:$AK$2&lt;V$2)*($T317:$AK317))))</f>
      </c>
      <c r="AO317" s="0">
        <f>MAX(0,MIN(W317,BX317-SUMPRODUCT(($T$2:$AK$2&lt;W$2)*($T317:$AK317))))</f>
      </c>
      <c r="AP317" s="0">
        <f>MAX(0,MIN(X317,BX317-SUMPRODUCT(($T$2:$AK$2&lt;X$2)*($T317:$AK317))))</f>
      </c>
      <c r="AQ317" s="0">
        <f>MAX(0,MIN(Y317,BX317-SUMPRODUCT(($T$2:$AK$2&lt;Y$2)*($T317:$AK317))))</f>
      </c>
      <c r="AR317" s="0">
        <f>MAX(0,MIN(Z317,BX317-SUMPRODUCT(($T$2:$AK$2&lt;Z$2)*($T317:$AK317))))</f>
      </c>
      <c r="AS317" s="0">
        <f>MAX(0,MIN(AA317,BX317-SUMPRODUCT(($T$2:$AK$2&lt;AA$2)*($T317:$AK317))))</f>
      </c>
      <c r="AT317" s="0">
        <f>MAX(0,MIN(AB317,BX317-SUMPRODUCT(($T$2:$AK$2&lt;AB$2)*($T317:$AK317))))</f>
      </c>
      <c r="AU317" s="0">
        <f>MAX(0,MIN(AC317,BX317-SUMPRODUCT(($T$2:$AK$2&lt;AC$2)*($T317:$AK317))))</f>
      </c>
      <c r="AV317" s="0">
        <f>MAX(0,MIN(AD317,BX317-SUMPRODUCT(($T$2:$AK$2&lt;AD$2)*($T317:$AK317))))</f>
      </c>
      <c r="AW317" s="0">
        <f>MAX(0,MIN(AE317,BX317-SUMPRODUCT(($T$2:$AK$2&lt;AE$2)*($T317:$AK317))))</f>
      </c>
      <c r="AX317" s="0">
        <f>MAX(0,MIN(AF317,BX317-SUMPRODUCT(($T$2:$AK$2&lt;AF$2)*($T317:$AK317))))</f>
      </c>
      <c r="AY317" s="0">
        <f>MAX(0,MIN(AG317,BX317-SUMPRODUCT(($T$2:$AK$2&lt;AG$2)*($T317:$AK317))))</f>
      </c>
      <c r="AZ317" s="0">
        <f>MAX(0,MIN(AH317,BX317-SUMPRODUCT(($T$2:$AK$2&lt;AH$2)*($T317:$AK317))))</f>
      </c>
      <c r="BA317" s="0">
        <f>MAX(0,MIN(AI317,BX317-SUMPRODUCT(($T$2:$AK$2&lt;AI$2)*($T317:$AK317))))</f>
      </c>
      <c r="BB317" s="0">
        <f>MAX(0,MIN(AJ317,BX317-SUMPRODUCT(($T$2:$AK$2&lt;AJ$2)*($T317:$AK317))))</f>
      </c>
      <c r="BC317" s="0">
        <f>MAX(0,MIN(AK317,BX317-SUMPRODUCT(($T$2:$AK$2&lt;AK$2)*($T317:$AK317))))</f>
      </c>
      <c r="BD317" s="0">
        <f>T317-AL317</f>
      </c>
      <c r="BE317" s="0">
        <f>U317-AM317</f>
      </c>
      <c r="BF317" s="0">
        <f>V317-AN317</f>
      </c>
      <c r="BG317" s="0">
        <f>W317-AO317</f>
      </c>
      <c r="BH317" s="0">
        <f>X317-AP317</f>
      </c>
      <c r="BI317" s="0">
        <f>Y317-AQ317</f>
      </c>
      <c r="BJ317" s="0">
        <f>Z317-AR317</f>
      </c>
      <c r="BK317" s="0">
        <f>AA317-AS317</f>
      </c>
      <c r="BL317" s="0">
        <f>AB317-AT317</f>
      </c>
      <c r="BM317" s="0">
        <f>AC317-AU317</f>
      </c>
      <c r="BN317" s="0">
        <f>AD317-AV317</f>
      </c>
      <c r="BO317" s="0">
        <f>AE317-AW317</f>
      </c>
      <c r="BP317" s="0">
        <f>AF317-AX317</f>
      </c>
      <c r="BQ317" s="0">
        <f>AG317-AY317</f>
      </c>
      <c r="BR317" s="0">
        <f>AH317-AZ317</f>
      </c>
      <c r="BS317" s="0">
        <f>AI317-BA317</f>
      </c>
      <c r="BT317" s="0">
        <f>AJ317-BB317</f>
      </c>
      <c r="BU317" s="0">
        <f>AK317-BC317</f>
      </c>
      <c r="BV317" s="0">
        <f>SUM(B317:S317)</f>
      </c>
      <c r="BW317" s="0">
        <f>SUM(T317:AK317)</f>
      </c>
      <c r="BX317" s="0">
        <f>MAX(0,(SUM(Calculator!$E$11:$E$28)+Calculator!$C$6)-BV317+BW317)</f>
      </c>
      <c r="BY317" s="0">
        <f>SUM(BD317:BU317)</f>
      </c>
      <c r="BZ317" s="0">
        <f>BV317-BY316</f>
      </c>
      <c r="CA317" s="0">
        <f>IF(A317&lt;=IF($CD$1=0,999,$CD$1),BY317,NA())</f>
      </c>
      <c r="CB317" s="0">
        <f>IF(A317&lt;=IF($CD$1=0,999,$CD$1),A317,NA())</f>
      </c>
    </row>
    <row r="318">
      <c r="A318" s="0">
        <v>315</v>
      </c>
      <c r="B318" s="0">
        <f>BD317*(1+Calculator!$D$11/100/12)</f>
      </c>
      <c r="C318" s="0">
        <f>BE317*(1+Calculator!$D$12/100/12)</f>
      </c>
      <c r="D318" s="0">
        <f>BF317*(1+Calculator!$D$13/100/12)</f>
      </c>
      <c r="E318" s="0">
        <f>BG317*(1+Calculator!$D$14/100/12)</f>
      </c>
      <c r="F318" s="0">
        <f>BH317*(1+Calculator!$D$15/100/12)</f>
      </c>
      <c r="G318" s="0">
        <f>BI317*(1+Calculator!$D$16/100/12)</f>
      </c>
      <c r="H318" s="0">
        <f>BJ317*(1+Calculator!$D$17/100/12)</f>
      </c>
      <c r="I318" s="0">
        <f>BK317*(1+Calculator!$D$18/100/12)</f>
      </c>
      <c r="J318" s="0">
        <f>BL317*(1+Calculator!$D$19/100/12)</f>
      </c>
      <c r="K318" s="0">
        <f>BM317*(1+Calculator!$D$20/100/12)</f>
      </c>
      <c r="L318" s="0">
        <f>BN317*(1+Calculator!$D$21/100/12)</f>
      </c>
      <c r="M318" s="0">
        <f>BO317*(1+Calculator!$D$22/100/12)</f>
      </c>
      <c r="N318" s="0">
        <f>BP317*(1+Calculator!$D$23/100/12)</f>
      </c>
      <c r="O318" s="0">
        <f>BQ317*(1+Calculator!$D$24/100/12)</f>
      </c>
      <c r="P318" s="0">
        <f>BR317*(1+Calculator!$D$25/100/12)</f>
      </c>
      <c r="Q318" s="0">
        <f>BS317*(1+Calculator!$D$26/100/12)</f>
      </c>
      <c r="R318" s="0">
        <f>BT317*(1+Calculator!$D$27/100/12)</f>
      </c>
      <c r="S318" s="0">
        <f>BU317*(1+Calculator!$D$28/100/12)</f>
      </c>
      <c r="T318" s="0">
        <f>MAX(0,B318-Calculator!$E$11)</f>
      </c>
      <c r="U318" s="0">
        <f>MAX(0,C318-Calculator!$E$12)</f>
      </c>
      <c r="V318" s="0">
        <f>MAX(0,D318-Calculator!$E$13)</f>
      </c>
      <c r="W318" s="0">
        <f>MAX(0,E318-Calculator!$E$14)</f>
      </c>
      <c r="X318" s="0">
        <f>MAX(0,F318-Calculator!$E$15)</f>
      </c>
      <c r="Y318" s="0">
        <f>MAX(0,G318-Calculator!$E$16)</f>
      </c>
      <c r="Z318" s="0">
        <f>MAX(0,H318-Calculator!$E$17)</f>
      </c>
      <c r="AA318" s="0">
        <f>MAX(0,I318-Calculator!$E$18)</f>
      </c>
      <c r="AB318" s="0">
        <f>MAX(0,J318-Calculator!$E$19)</f>
      </c>
      <c r="AC318" s="0">
        <f>MAX(0,K318-Calculator!$E$20)</f>
      </c>
      <c r="AD318" s="0">
        <f>MAX(0,L318-Calculator!$E$21)</f>
      </c>
      <c r="AE318" s="0">
        <f>MAX(0,M318-Calculator!$E$22)</f>
      </c>
      <c r="AF318" s="0">
        <f>MAX(0,N318-Calculator!$E$23)</f>
      </c>
      <c r="AG318" s="0">
        <f>MAX(0,O318-Calculator!$E$24)</f>
      </c>
      <c r="AH318" s="0">
        <f>MAX(0,P318-Calculator!$E$25)</f>
      </c>
      <c r="AI318" s="0">
        <f>MAX(0,Q318-Calculator!$E$26)</f>
      </c>
      <c r="AJ318" s="0">
        <f>MAX(0,R318-Calculator!$E$27)</f>
      </c>
      <c r="AK318" s="0">
        <f>MAX(0,S318-Calculator!$E$28)</f>
      </c>
      <c r="AL318" s="0">
        <f>MAX(0,MIN(T318,BX318-SUMPRODUCT(($T$2:$AK$2&lt;T$2)*($T318:$AK318))))</f>
      </c>
      <c r="AM318" s="0">
        <f>MAX(0,MIN(U318,BX318-SUMPRODUCT(($T$2:$AK$2&lt;U$2)*($T318:$AK318))))</f>
      </c>
      <c r="AN318" s="0">
        <f>MAX(0,MIN(V318,BX318-SUMPRODUCT(($T$2:$AK$2&lt;V$2)*($T318:$AK318))))</f>
      </c>
      <c r="AO318" s="0">
        <f>MAX(0,MIN(W318,BX318-SUMPRODUCT(($T$2:$AK$2&lt;W$2)*($T318:$AK318))))</f>
      </c>
      <c r="AP318" s="0">
        <f>MAX(0,MIN(X318,BX318-SUMPRODUCT(($T$2:$AK$2&lt;X$2)*($T318:$AK318))))</f>
      </c>
      <c r="AQ318" s="0">
        <f>MAX(0,MIN(Y318,BX318-SUMPRODUCT(($T$2:$AK$2&lt;Y$2)*($T318:$AK318))))</f>
      </c>
      <c r="AR318" s="0">
        <f>MAX(0,MIN(Z318,BX318-SUMPRODUCT(($T$2:$AK$2&lt;Z$2)*($T318:$AK318))))</f>
      </c>
      <c r="AS318" s="0">
        <f>MAX(0,MIN(AA318,BX318-SUMPRODUCT(($T$2:$AK$2&lt;AA$2)*($T318:$AK318))))</f>
      </c>
      <c r="AT318" s="0">
        <f>MAX(0,MIN(AB318,BX318-SUMPRODUCT(($T$2:$AK$2&lt;AB$2)*($T318:$AK318))))</f>
      </c>
      <c r="AU318" s="0">
        <f>MAX(0,MIN(AC318,BX318-SUMPRODUCT(($T$2:$AK$2&lt;AC$2)*($T318:$AK318))))</f>
      </c>
      <c r="AV318" s="0">
        <f>MAX(0,MIN(AD318,BX318-SUMPRODUCT(($T$2:$AK$2&lt;AD$2)*($T318:$AK318))))</f>
      </c>
      <c r="AW318" s="0">
        <f>MAX(0,MIN(AE318,BX318-SUMPRODUCT(($T$2:$AK$2&lt;AE$2)*($T318:$AK318))))</f>
      </c>
      <c r="AX318" s="0">
        <f>MAX(0,MIN(AF318,BX318-SUMPRODUCT(($T$2:$AK$2&lt;AF$2)*($T318:$AK318))))</f>
      </c>
      <c r="AY318" s="0">
        <f>MAX(0,MIN(AG318,BX318-SUMPRODUCT(($T$2:$AK$2&lt;AG$2)*($T318:$AK318))))</f>
      </c>
      <c r="AZ318" s="0">
        <f>MAX(0,MIN(AH318,BX318-SUMPRODUCT(($T$2:$AK$2&lt;AH$2)*($T318:$AK318))))</f>
      </c>
      <c r="BA318" s="0">
        <f>MAX(0,MIN(AI318,BX318-SUMPRODUCT(($T$2:$AK$2&lt;AI$2)*($T318:$AK318))))</f>
      </c>
      <c r="BB318" s="0">
        <f>MAX(0,MIN(AJ318,BX318-SUMPRODUCT(($T$2:$AK$2&lt;AJ$2)*($T318:$AK318))))</f>
      </c>
      <c r="BC318" s="0">
        <f>MAX(0,MIN(AK318,BX318-SUMPRODUCT(($T$2:$AK$2&lt;AK$2)*($T318:$AK318))))</f>
      </c>
      <c r="BD318" s="0">
        <f>T318-AL318</f>
      </c>
      <c r="BE318" s="0">
        <f>U318-AM318</f>
      </c>
      <c r="BF318" s="0">
        <f>V318-AN318</f>
      </c>
      <c r="BG318" s="0">
        <f>W318-AO318</f>
      </c>
      <c r="BH318" s="0">
        <f>X318-AP318</f>
      </c>
      <c r="BI318" s="0">
        <f>Y318-AQ318</f>
      </c>
      <c r="BJ318" s="0">
        <f>Z318-AR318</f>
      </c>
      <c r="BK318" s="0">
        <f>AA318-AS318</f>
      </c>
      <c r="BL318" s="0">
        <f>AB318-AT318</f>
      </c>
      <c r="BM318" s="0">
        <f>AC318-AU318</f>
      </c>
      <c r="BN318" s="0">
        <f>AD318-AV318</f>
      </c>
      <c r="BO318" s="0">
        <f>AE318-AW318</f>
      </c>
      <c r="BP318" s="0">
        <f>AF318-AX318</f>
      </c>
      <c r="BQ318" s="0">
        <f>AG318-AY318</f>
      </c>
      <c r="BR318" s="0">
        <f>AH318-AZ318</f>
      </c>
      <c r="BS318" s="0">
        <f>AI318-BA318</f>
      </c>
      <c r="BT318" s="0">
        <f>AJ318-BB318</f>
      </c>
      <c r="BU318" s="0">
        <f>AK318-BC318</f>
      </c>
      <c r="BV318" s="0">
        <f>SUM(B318:S318)</f>
      </c>
      <c r="BW318" s="0">
        <f>SUM(T318:AK318)</f>
      </c>
      <c r="BX318" s="0">
        <f>MAX(0,(SUM(Calculator!$E$11:$E$28)+Calculator!$C$6)-BV318+BW318)</f>
      </c>
      <c r="BY318" s="0">
        <f>SUM(BD318:BU318)</f>
      </c>
      <c r="BZ318" s="0">
        <f>BV318-BY317</f>
      </c>
      <c r="CA318" s="0">
        <f>IF(A318&lt;=IF($CD$1=0,999,$CD$1),BY318,NA())</f>
      </c>
      <c r="CB318" s="0">
        <f>IF(A318&lt;=IF($CD$1=0,999,$CD$1),A318,NA())</f>
      </c>
    </row>
    <row r="319">
      <c r="A319" s="0">
        <v>316</v>
      </c>
      <c r="B319" s="0">
        <f>BD318*(1+Calculator!$D$11/100/12)</f>
      </c>
      <c r="C319" s="0">
        <f>BE318*(1+Calculator!$D$12/100/12)</f>
      </c>
      <c r="D319" s="0">
        <f>BF318*(1+Calculator!$D$13/100/12)</f>
      </c>
      <c r="E319" s="0">
        <f>BG318*(1+Calculator!$D$14/100/12)</f>
      </c>
      <c r="F319" s="0">
        <f>BH318*(1+Calculator!$D$15/100/12)</f>
      </c>
      <c r="G319" s="0">
        <f>BI318*(1+Calculator!$D$16/100/12)</f>
      </c>
      <c r="H319" s="0">
        <f>BJ318*(1+Calculator!$D$17/100/12)</f>
      </c>
      <c r="I319" s="0">
        <f>BK318*(1+Calculator!$D$18/100/12)</f>
      </c>
      <c r="J319" s="0">
        <f>BL318*(1+Calculator!$D$19/100/12)</f>
      </c>
      <c r="K319" s="0">
        <f>BM318*(1+Calculator!$D$20/100/12)</f>
      </c>
      <c r="L319" s="0">
        <f>BN318*(1+Calculator!$D$21/100/12)</f>
      </c>
      <c r="M319" s="0">
        <f>BO318*(1+Calculator!$D$22/100/12)</f>
      </c>
      <c r="N319" s="0">
        <f>BP318*(1+Calculator!$D$23/100/12)</f>
      </c>
      <c r="O319" s="0">
        <f>BQ318*(1+Calculator!$D$24/100/12)</f>
      </c>
      <c r="P319" s="0">
        <f>BR318*(1+Calculator!$D$25/100/12)</f>
      </c>
      <c r="Q319" s="0">
        <f>BS318*(1+Calculator!$D$26/100/12)</f>
      </c>
      <c r="R319" s="0">
        <f>BT318*(1+Calculator!$D$27/100/12)</f>
      </c>
      <c r="S319" s="0">
        <f>BU318*(1+Calculator!$D$28/100/12)</f>
      </c>
      <c r="T319" s="0">
        <f>MAX(0,B319-Calculator!$E$11)</f>
      </c>
      <c r="U319" s="0">
        <f>MAX(0,C319-Calculator!$E$12)</f>
      </c>
      <c r="V319" s="0">
        <f>MAX(0,D319-Calculator!$E$13)</f>
      </c>
      <c r="W319" s="0">
        <f>MAX(0,E319-Calculator!$E$14)</f>
      </c>
      <c r="X319" s="0">
        <f>MAX(0,F319-Calculator!$E$15)</f>
      </c>
      <c r="Y319" s="0">
        <f>MAX(0,G319-Calculator!$E$16)</f>
      </c>
      <c r="Z319" s="0">
        <f>MAX(0,H319-Calculator!$E$17)</f>
      </c>
      <c r="AA319" s="0">
        <f>MAX(0,I319-Calculator!$E$18)</f>
      </c>
      <c r="AB319" s="0">
        <f>MAX(0,J319-Calculator!$E$19)</f>
      </c>
      <c r="AC319" s="0">
        <f>MAX(0,K319-Calculator!$E$20)</f>
      </c>
      <c r="AD319" s="0">
        <f>MAX(0,L319-Calculator!$E$21)</f>
      </c>
      <c r="AE319" s="0">
        <f>MAX(0,M319-Calculator!$E$22)</f>
      </c>
      <c r="AF319" s="0">
        <f>MAX(0,N319-Calculator!$E$23)</f>
      </c>
      <c r="AG319" s="0">
        <f>MAX(0,O319-Calculator!$E$24)</f>
      </c>
      <c r="AH319" s="0">
        <f>MAX(0,P319-Calculator!$E$25)</f>
      </c>
      <c r="AI319" s="0">
        <f>MAX(0,Q319-Calculator!$E$26)</f>
      </c>
      <c r="AJ319" s="0">
        <f>MAX(0,R319-Calculator!$E$27)</f>
      </c>
      <c r="AK319" s="0">
        <f>MAX(0,S319-Calculator!$E$28)</f>
      </c>
      <c r="AL319" s="0">
        <f>MAX(0,MIN(T319,BX319-SUMPRODUCT(($T$2:$AK$2&lt;T$2)*($T319:$AK319))))</f>
      </c>
      <c r="AM319" s="0">
        <f>MAX(0,MIN(U319,BX319-SUMPRODUCT(($T$2:$AK$2&lt;U$2)*($T319:$AK319))))</f>
      </c>
      <c r="AN319" s="0">
        <f>MAX(0,MIN(V319,BX319-SUMPRODUCT(($T$2:$AK$2&lt;V$2)*($T319:$AK319))))</f>
      </c>
      <c r="AO319" s="0">
        <f>MAX(0,MIN(W319,BX319-SUMPRODUCT(($T$2:$AK$2&lt;W$2)*($T319:$AK319))))</f>
      </c>
      <c r="AP319" s="0">
        <f>MAX(0,MIN(X319,BX319-SUMPRODUCT(($T$2:$AK$2&lt;X$2)*($T319:$AK319))))</f>
      </c>
      <c r="AQ319" s="0">
        <f>MAX(0,MIN(Y319,BX319-SUMPRODUCT(($T$2:$AK$2&lt;Y$2)*($T319:$AK319))))</f>
      </c>
      <c r="AR319" s="0">
        <f>MAX(0,MIN(Z319,BX319-SUMPRODUCT(($T$2:$AK$2&lt;Z$2)*($T319:$AK319))))</f>
      </c>
      <c r="AS319" s="0">
        <f>MAX(0,MIN(AA319,BX319-SUMPRODUCT(($T$2:$AK$2&lt;AA$2)*($T319:$AK319))))</f>
      </c>
      <c r="AT319" s="0">
        <f>MAX(0,MIN(AB319,BX319-SUMPRODUCT(($T$2:$AK$2&lt;AB$2)*($T319:$AK319))))</f>
      </c>
      <c r="AU319" s="0">
        <f>MAX(0,MIN(AC319,BX319-SUMPRODUCT(($T$2:$AK$2&lt;AC$2)*($T319:$AK319))))</f>
      </c>
      <c r="AV319" s="0">
        <f>MAX(0,MIN(AD319,BX319-SUMPRODUCT(($T$2:$AK$2&lt;AD$2)*($T319:$AK319))))</f>
      </c>
      <c r="AW319" s="0">
        <f>MAX(0,MIN(AE319,BX319-SUMPRODUCT(($T$2:$AK$2&lt;AE$2)*($T319:$AK319))))</f>
      </c>
      <c r="AX319" s="0">
        <f>MAX(0,MIN(AF319,BX319-SUMPRODUCT(($T$2:$AK$2&lt;AF$2)*($T319:$AK319))))</f>
      </c>
      <c r="AY319" s="0">
        <f>MAX(0,MIN(AG319,BX319-SUMPRODUCT(($T$2:$AK$2&lt;AG$2)*($T319:$AK319))))</f>
      </c>
      <c r="AZ319" s="0">
        <f>MAX(0,MIN(AH319,BX319-SUMPRODUCT(($T$2:$AK$2&lt;AH$2)*($T319:$AK319))))</f>
      </c>
      <c r="BA319" s="0">
        <f>MAX(0,MIN(AI319,BX319-SUMPRODUCT(($T$2:$AK$2&lt;AI$2)*($T319:$AK319))))</f>
      </c>
      <c r="BB319" s="0">
        <f>MAX(0,MIN(AJ319,BX319-SUMPRODUCT(($T$2:$AK$2&lt;AJ$2)*($T319:$AK319))))</f>
      </c>
      <c r="BC319" s="0">
        <f>MAX(0,MIN(AK319,BX319-SUMPRODUCT(($T$2:$AK$2&lt;AK$2)*($T319:$AK319))))</f>
      </c>
      <c r="BD319" s="0">
        <f>T319-AL319</f>
      </c>
      <c r="BE319" s="0">
        <f>U319-AM319</f>
      </c>
      <c r="BF319" s="0">
        <f>V319-AN319</f>
      </c>
      <c r="BG319" s="0">
        <f>W319-AO319</f>
      </c>
      <c r="BH319" s="0">
        <f>X319-AP319</f>
      </c>
      <c r="BI319" s="0">
        <f>Y319-AQ319</f>
      </c>
      <c r="BJ319" s="0">
        <f>Z319-AR319</f>
      </c>
      <c r="BK319" s="0">
        <f>AA319-AS319</f>
      </c>
      <c r="BL319" s="0">
        <f>AB319-AT319</f>
      </c>
      <c r="BM319" s="0">
        <f>AC319-AU319</f>
      </c>
      <c r="BN319" s="0">
        <f>AD319-AV319</f>
      </c>
      <c r="BO319" s="0">
        <f>AE319-AW319</f>
      </c>
      <c r="BP319" s="0">
        <f>AF319-AX319</f>
      </c>
      <c r="BQ319" s="0">
        <f>AG319-AY319</f>
      </c>
      <c r="BR319" s="0">
        <f>AH319-AZ319</f>
      </c>
      <c r="BS319" s="0">
        <f>AI319-BA319</f>
      </c>
      <c r="BT319" s="0">
        <f>AJ319-BB319</f>
      </c>
      <c r="BU319" s="0">
        <f>AK319-BC319</f>
      </c>
      <c r="BV319" s="0">
        <f>SUM(B319:S319)</f>
      </c>
      <c r="BW319" s="0">
        <f>SUM(T319:AK319)</f>
      </c>
      <c r="BX319" s="0">
        <f>MAX(0,(SUM(Calculator!$E$11:$E$28)+Calculator!$C$6)-BV319+BW319)</f>
      </c>
      <c r="BY319" s="0">
        <f>SUM(BD319:BU319)</f>
      </c>
      <c r="BZ319" s="0">
        <f>BV319-BY318</f>
      </c>
      <c r="CA319" s="0">
        <f>IF(A319&lt;=IF($CD$1=0,999,$CD$1),BY319,NA())</f>
      </c>
      <c r="CB319" s="0">
        <f>IF(A319&lt;=IF($CD$1=0,999,$CD$1),A319,NA())</f>
      </c>
    </row>
    <row r="320">
      <c r="A320" s="0">
        <v>317</v>
      </c>
      <c r="B320" s="0">
        <f>BD319*(1+Calculator!$D$11/100/12)</f>
      </c>
      <c r="C320" s="0">
        <f>BE319*(1+Calculator!$D$12/100/12)</f>
      </c>
      <c r="D320" s="0">
        <f>BF319*(1+Calculator!$D$13/100/12)</f>
      </c>
      <c r="E320" s="0">
        <f>BG319*(1+Calculator!$D$14/100/12)</f>
      </c>
      <c r="F320" s="0">
        <f>BH319*(1+Calculator!$D$15/100/12)</f>
      </c>
      <c r="G320" s="0">
        <f>BI319*(1+Calculator!$D$16/100/12)</f>
      </c>
      <c r="H320" s="0">
        <f>BJ319*(1+Calculator!$D$17/100/12)</f>
      </c>
      <c r="I320" s="0">
        <f>BK319*(1+Calculator!$D$18/100/12)</f>
      </c>
      <c r="J320" s="0">
        <f>BL319*(1+Calculator!$D$19/100/12)</f>
      </c>
      <c r="K320" s="0">
        <f>BM319*(1+Calculator!$D$20/100/12)</f>
      </c>
      <c r="L320" s="0">
        <f>BN319*(1+Calculator!$D$21/100/12)</f>
      </c>
      <c r="M320" s="0">
        <f>BO319*(1+Calculator!$D$22/100/12)</f>
      </c>
      <c r="N320" s="0">
        <f>BP319*(1+Calculator!$D$23/100/12)</f>
      </c>
      <c r="O320" s="0">
        <f>BQ319*(1+Calculator!$D$24/100/12)</f>
      </c>
      <c r="P320" s="0">
        <f>BR319*(1+Calculator!$D$25/100/12)</f>
      </c>
      <c r="Q320" s="0">
        <f>BS319*(1+Calculator!$D$26/100/12)</f>
      </c>
      <c r="R320" s="0">
        <f>BT319*(1+Calculator!$D$27/100/12)</f>
      </c>
      <c r="S320" s="0">
        <f>BU319*(1+Calculator!$D$28/100/12)</f>
      </c>
      <c r="T320" s="0">
        <f>MAX(0,B320-Calculator!$E$11)</f>
      </c>
      <c r="U320" s="0">
        <f>MAX(0,C320-Calculator!$E$12)</f>
      </c>
      <c r="V320" s="0">
        <f>MAX(0,D320-Calculator!$E$13)</f>
      </c>
      <c r="W320" s="0">
        <f>MAX(0,E320-Calculator!$E$14)</f>
      </c>
      <c r="X320" s="0">
        <f>MAX(0,F320-Calculator!$E$15)</f>
      </c>
      <c r="Y320" s="0">
        <f>MAX(0,G320-Calculator!$E$16)</f>
      </c>
      <c r="Z320" s="0">
        <f>MAX(0,H320-Calculator!$E$17)</f>
      </c>
      <c r="AA320" s="0">
        <f>MAX(0,I320-Calculator!$E$18)</f>
      </c>
      <c r="AB320" s="0">
        <f>MAX(0,J320-Calculator!$E$19)</f>
      </c>
      <c r="AC320" s="0">
        <f>MAX(0,K320-Calculator!$E$20)</f>
      </c>
      <c r="AD320" s="0">
        <f>MAX(0,L320-Calculator!$E$21)</f>
      </c>
      <c r="AE320" s="0">
        <f>MAX(0,M320-Calculator!$E$22)</f>
      </c>
      <c r="AF320" s="0">
        <f>MAX(0,N320-Calculator!$E$23)</f>
      </c>
      <c r="AG320" s="0">
        <f>MAX(0,O320-Calculator!$E$24)</f>
      </c>
      <c r="AH320" s="0">
        <f>MAX(0,P320-Calculator!$E$25)</f>
      </c>
      <c r="AI320" s="0">
        <f>MAX(0,Q320-Calculator!$E$26)</f>
      </c>
      <c r="AJ320" s="0">
        <f>MAX(0,R320-Calculator!$E$27)</f>
      </c>
      <c r="AK320" s="0">
        <f>MAX(0,S320-Calculator!$E$28)</f>
      </c>
      <c r="AL320" s="0">
        <f>MAX(0,MIN(T320,BX320-SUMPRODUCT(($T$2:$AK$2&lt;T$2)*($T320:$AK320))))</f>
      </c>
      <c r="AM320" s="0">
        <f>MAX(0,MIN(U320,BX320-SUMPRODUCT(($T$2:$AK$2&lt;U$2)*($T320:$AK320))))</f>
      </c>
      <c r="AN320" s="0">
        <f>MAX(0,MIN(V320,BX320-SUMPRODUCT(($T$2:$AK$2&lt;V$2)*($T320:$AK320))))</f>
      </c>
      <c r="AO320" s="0">
        <f>MAX(0,MIN(W320,BX320-SUMPRODUCT(($T$2:$AK$2&lt;W$2)*($T320:$AK320))))</f>
      </c>
      <c r="AP320" s="0">
        <f>MAX(0,MIN(X320,BX320-SUMPRODUCT(($T$2:$AK$2&lt;X$2)*($T320:$AK320))))</f>
      </c>
      <c r="AQ320" s="0">
        <f>MAX(0,MIN(Y320,BX320-SUMPRODUCT(($T$2:$AK$2&lt;Y$2)*($T320:$AK320))))</f>
      </c>
      <c r="AR320" s="0">
        <f>MAX(0,MIN(Z320,BX320-SUMPRODUCT(($T$2:$AK$2&lt;Z$2)*($T320:$AK320))))</f>
      </c>
      <c r="AS320" s="0">
        <f>MAX(0,MIN(AA320,BX320-SUMPRODUCT(($T$2:$AK$2&lt;AA$2)*($T320:$AK320))))</f>
      </c>
      <c r="AT320" s="0">
        <f>MAX(0,MIN(AB320,BX320-SUMPRODUCT(($T$2:$AK$2&lt;AB$2)*($T320:$AK320))))</f>
      </c>
      <c r="AU320" s="0">
        <f>MAX(0,MIN(AC320,BX320-SUMPRODUCT(($T$2:$AK$2&lt;AC$2)*($T320:$AK320))))</f>
      </c>
      <c r="AV320" s="0">
        <f>MAX(0,MIN(AD320,BX320-SUMPRODUCT(($T$2:$AK$2&lt;AD$2)*($T320:$AK320))))</f>
      </c>
      <c r="AW320" s="0">
        <f>MAX(0,MIN(AE320,BX320-SUMPRODUCT(($T$2:$AK$2&lt;AE$2)*($T320:$AK320))))</f>
      </c>
      <c r="AX320" s="0">
        <f>MAX(0,MIN(AF320,BX320-SUMPRODUCT(($T$2:$AK$2&lt;AF$2)*($T320:$AK320))))</f>
      </c>
      <c r="AY320" s="0">
        <f>MAX(0,MIN(AG320,BX320-SUMPRODUCT(($T$2:$AK$2&lt;AG$2)*($T320:$AK320))))</f>
      </c>
      <c r="AZ320" s="0">
        <f>MAX(0,MIN(AH320,BX320-SUMPRODUCT(($T$2:$AK$2&lt;AH$2)*($T320:$AK320))))</f>
      </c>
      <c r="BA320" s="0">
        <f>MAX(0,MIN(AI320,BX320-SUMPRODUCT(($T$2:$AK$2&lt;AI$2)*($T320:$AK320))))</f>
      </c>
      <c r="BB320" s="0">
        <f>MAX(0,MIN(AJ320,BX320-SUMPRODUCT(($T$2:$AK$2&lt;AJ$2)*($T320:$AK320))))</f>
      </c>
      <c r="BC320" s="0">
        <f>MAX(0,MIN(AK320,BX320-SUMPRODUCT(($T$2:$AK$2&lt;AK$2)*($T320:$AK320))))</f>
      </c>
      <c r="BD320" s="0">
        <f>T320-AL320</f>
      </c>
      <c r="BE320" s="0">
        <f>U320-AM320</f>
      </c>
      <c r="BF320" s="0">
        <f>V320-AN320</f>
      </c>
      <c r="BG320" s="0">
        <f>W320-AO320</f>
      </c>
      <c r="BH320" s="0">
        <f>X320-AP320</f>
      </c>
      <c r="BI320" s="0">
        <f>Y320-AQ320</f>
      </c>
      <c r="BJ320" s="0">
        <f>Z320-AR320</f>
      </c>
      <c r="BK320" s="0">
        <f>AA320-AS320</f>
      </c>
      <c r="BL320" s="0">
        <f>AB320-AT320</f>
      </c>
      <c r="BM320" s="0">
        <f>AC320-AU320</f>
      </c>
      <c r="BN320" s="0">
        <f>AD320-AV320</f>
      </c>
      <c r="BO320" s="0">
        <f>AE320-AW320</f>
      </c>
      <c r="BP320" s="0">
        <f>AF320-AX320</f>
      </c>
      <c r="BQ320" s="0">
        <f>AG320-AY320</f>
      </c>
      <c r="BR320" s="0">
        <f>AH320-AZ320</f>
      </c>
      <c r="BS320" s="0">
        <f>AI320-BA320</f>
      </c>
      <c r="BT320" s="0">
        <f>AJ320-BB320</f>
      </c>
      <c r="BU320" s="0">
        <f>AK320-BC320</f>
      </c>
      <c r="BV320" s="0">
        <f>SUM(B320:S320)</f>
      </c>
      <c r="BW320" s="0">
        <f>SUM(T320:AK320)</f>
      </c>
      <c r="BX320" s="0">
        <f>MAX(0,(SUM(Calculator!$E$11:$E$28)+Calculator!$C$6)-BV320+BW320)</f>
      </c>
      <c r="BY320" s="0">
        <f>SUM(BD320:BU320)</f>
      </c>
      <c r="BZ320" s="0">
        <f>BV320-BY319</f>
      </c>
      <c r="CA320" s="0">
        <f>IF(A320&lt;=IF($CD$1=0,999,$CD$1),BY320,NA())</f>
      </c>
      <c r="CB320" s="0">
        <f>IF(A320&lt;=IF($CD$1=0,999,$CD$1),A320,NA())</f>
      </c>
    </row>
    <row r="321">
      <c r="A321" s="0">
        <v>318</v>
      </c>
      <c r="B321" s="0">
        <f>BD320*(1+Calculator!$D$11/100/12)</f>
      </c>
      <c r="C321" s="0">
        <f>BE320*(1+Calculator!$D$12/100/12)</f>
      </c>
      <c r="D321" s="0">
        <f>BF320*(1+Calculator!$D$13/100/12)</f>
      </c>
      <c r="E321" s="0">
        <f>BG320*(1+Calculator!$D$14/100/12)</f>
      </c>
      <c r="F321" s="0">
        <f>BH320*(1+Calculator!$D$15/100/12)</f>
      </c>
      <c r="G321" s="0">
        <f>BI320*(1+Calculator!$D$16/100/12)</f>
      </c>
      <c r="H321" s="0">
        <f>BJ320*(1+Calculator!$D$17/100/12)</f>
      </c>
      <c r="I321" s="0">
        <f>BK320*(1+Calculator!$D$18/100/12)</f>
      </c>
      <c r="J321" s="0">
        <f>BL320*(1+Calculator!$D$19/100/12)</f>
      </c>
      <c r="K321" s="0">
        <f>BM320*(1+Calculator!$D$20/100/12)</f>
      </c>
      <c r="L321" s="0">
        <f>BN320*(1+Calculator!$D$21/100/12)</f>
      </c>
      <c r="M321" s="0">
        <f>BO320*(1+Calculator!$D$22/100/12)</f>
      </c>
      <c r="N321" s="0">
        <f>BP320*(1+Calculator!$D$23/100/12)</f>
      </c>
      <c r="O321" s="0">
        <f>BQ320*(1+Calculator!$D$24/100/12)</f>
      </c>
      <c r="P321" s="0">
        <f>BR320*(1+Calculator!$D$25/100/12)</f>
      </c>
      <c r="Q321" s="0">
        <f>BS320*(1+Calculator!$D$26/100/12)</f>
      </c>
      <c r="R321" s="0">
        <f>BT320*(1+Calculator!$D$27/100/12)</f>
      </c>
      <c r="S321" s="0">
        <f>BU320*(1+Calculator!$D$28/100/12)</f>
      </c>
      <c r="T321" s="0">
        <f>MAX(0,B321-Calculator!$E$11)</f>
      </c>
      <c r="U321" s="0">
        <f>MAX(0,C321-Calculator!$E$12)</f>
      </c>
      <c r="V321" s="0">
        <f>MAX(0,D321-Calculator!$E$13)</f>
      </c>
      <c r="W321" s="0">
        <f>MAX(0,E321-Calculator!$E$14)</f>
      </c>
      <c r="X321" s="0">
        <f>MAX(0,F321-Calculator!$E$15)</f>
      </c>
      <c r="Y321" s="0">
        <f>MAX(0,G321-Calculator!$E$16)</f>
      </c>
      <c r="Z321" s="0">
        <f>MAX(0,H321-Calculator!$E$17)</f>
      </c>
      <c r="AA321" s="0">
        <f>MAX(0,I321-Calculator!$E$18)</f>
      </c>
      <c r="AB321" s="0">
        <f>MAX(0,J321-Calculator!$E$19)</f>
      </c>
      <c r="AC321" s="0">
        <f>MAX(0,K321-Calculator!$E$20)</f>
      </c>
      <c r="AD321" s="0">
        <f>MAX(0,L321-Calculator!$E$21)</f>
      </c>
      <c r="AE321" s="0">
        <f>MAX(0,M321-Calculator!$E$22)</f>
      </c>
      <c r="AF321" s="0">
        <f>MAX(0,N321-Calculator!$E$23)</f>
      </c>
      <c r="AG321" s="0">
        <f>MAX(0,O321-Calculator!$E$24)</f>
      </c>
      <c r="AH321" s="0">
        <f>MAX(0,P321-Calculator!$E$25)</f>
      </c>
      <c r="AI321" s="0">
        <f>MAX(0,Q321-Calculator!$E$26)</f>
      </c>
      <c r="AJ321" s="0">
        <f>MAX(0,R321-Calculator!$E$27)</f>
      </c>
      <c r="AK321" s="0">
        <f>MAX(0,S321-Calculator!$E$28)</f>
      </c>
      <c r="AL321" s="0">
        <f>MAX(0,MIN(T321,BX321-SUMPRODUCT(($T$2:$AK$2&lt;T$2)*($T321:$AK321))))</f>
      </c>
      <c r="AM321" s="0">
        <f>MAX(0,MIN(U321,BX321-SUMPRODUCT(($T$2:$AK$2&lt;U$2)*($T321:$AK321))))</f>
      </c>
      <c r="AN321" s="0">
        <f>MAX(0,MIN(V321,BX321-SUMPRODUCT(($T$2:$AK$2&lt;V$2)*($T321:$AK321))))</f>
      </c>
      <c r="AO321" s="0">
        <f>MAX(0,MIN(W321,BX321-SUMPRODUCT(($T$2:$AK$2&lt;W$2)*($T321:$AK321))))</f>
      </c>
      <c r="AP321" s="0">
        <f>MAX(0,MIN(X321,BX321-SUMPRODUCT(($T$2:$AK$2&lt;X$2)*($T321:$AK321))))</f>
      </c>
      <c r="AQ321" s="0">
        <f>MAX(0,MIN(Y321,BX321-SUMPRODUCT(($T$2:$AK$2&lt;Y$2)*($T321:$AK321))))</f>
      </c>
      <c r="AR321" s="0">
        <f>MAX(0,MIN(Z321,BX321-SUMPRODUCT(($T$2:$AK$2&lt;Z$2)*($T321:$AK321))))</f>
      </c>
      <c r="AS321" s="0">
        <f>MAX(0,MIN(AA321,BX321-SUMPRODUCT(($T$2:$AK$2&lt;AA$2)*($T321:$AK321))))</f>
      </c>
      <c r="AT321" s="0">
        <f>MAX(0,MIN(AB321,BX321-SUMPRODUCT(($T$2:$AK$2&lt;AB$2)*($T321:$AK321))))</f>
      </c>
      <c r="AU321" s="0">
        <f>MAX(0,MIN(AC321,BX321-SUMPRODUCT(($T$2:$AK$2&lt;AC$2)*($T321:$AK321))))</f>
      </c>
      <c r="AV321" s="0">
        <f>MAX(0,MIN(AD321,BX321-SUMPRODUCT(($T$2:$AK$2&lt;AD$2)*($T321:$AK321))))</f>
      </c>
      <c r="AW321" s="0">
        <f>MAX(0,MIN(AE321,BX321-SUMPRODUCT(($T$2:$AK$2&lt;AE$2)*($T321:$AK321))))</f>
      </c>
      <c r="AX321" s="0">
        <f>MAX(0,MIN(AF321,BX321-SUMPRODUCT(($T$2:$AK$2&lt;AF$2)*($T321:$AK321))))</f>
      </c>
      <c r="AY321" s="0">
        <f>MAX(0,MIN(AG321,BX321-SUMPRODUCT(($T$2:$AK$2&lt;AG$2)*($T321:$AK321))))</f>
      </c>
      <c r="AZ321" s="0">
        <f>MAX(0,MIN(AH321,BX321-SUMPRODUCT(($T$2:$AK$2&lt;AH$2)*($T321:$AK321))))</f>
      </c>
      <c r="BA321" s="0">
        <f>MAX(0,MIN(AI321,BX321-SUMPRODUCT(($T$2:$AK$2&lt;AI$2)*($T321:$AK321))))</f>
      </c>
      <c r="BB321" s="0">
        <f>MAX(0,MIN(AJ321,BX321-SUMPRODUCT(($T$2:$AK$2&lt;AJ$2)*($T321:$AK321))))</f>
      </c>
      <c r="BC321" s="0">
        <f>MAX(0,MIN(AK321,BX321-SUMPRODUCT(($T$2:$AK$2&lt;AK$2)*($T321:$AK321))))</f>
      </c>
      <c r="BD321" s="0">
        <f>T321-AL321</f>
      </c>
      <c r="BE321" s="0">
        <f>U321-AM321</f>
      </c>
      <c r="BF321" s="0">
        <f>V321-AN321</f>
      </c>
      <c r="BG321" s="0">
        <f>W321-AO321</f>
      </c>
      <c r="BH321" s="0">
        <f>X321-AP321</f>
      </c>
      <c r="BI321" s="0">
        <f>Y321-AQ321</f>
      </c>
      <c r="BJ321" s="0">
        <f>Z321-AR321</f>
      </c>
      <c r="BK321" s="0">
        <f>AA321-AS321</f>
      </c>
      <c r="BL321" s="0">
        <f>AB321-AT321</f>
      </c>
      <c r="BM321" s="0">
        <f>AC321-AU321</f>
      </c>
      <c r="BN321" s="0">
        <f>AD321-AV321</f>
      </c>
      <c r="BO321" s="0">
        <f>AE321-AW321</f>
      </c>
      <c r="BP321" s="0">
        <f>AF321-AX321</f>
      </c>
      <c r="BQ321" s="0">
        <f>AG321-AY321</f>
      </c>
      <c r="BR321" s="0">
        <f>AH321-AZ321</f>
      </c>
      <c r="BS321" s="0">
        <f>AI321-BA321</f>
      </c>
      <c r="BT321" s="0">
        <f>AJ321-BB321</f>
      </c>
      <c r="BU321" s="0">
        <f>AK321-BC321</f>
      </c>
      <c r="BV321" s="0">
        <f>SUM(B321:S321)</f>
      </c>
      <c r="BW321" s="0">
        <f>SUM(T321:AK321)</f>
      </c>
      <c r="BX321" s="0">
        <f>MAX(0,(SUM(Calculator!$E$11:$E$28)+Calculator!$C$6)-BV321+BW321)</f>
      </c>
      <c r="BY321" s="0">
        <f>SUM(BD321:BU321)</f>
      </c>
      <c r="BZ321" s="0">
        <f>BV321-BY320</f>
      </c>
      <c r="CA321" s="0">
        <f>IF(A321&lt;=IF($CD$1=0,999,$CD$1),BY321,NA())</f>
      </c>
      <c r="CB321" s="0">
        <f>IF(A321&lt;=IF($CD$1=0,999,$CD$1),A321,NA())</f>
      </c>
    </row>
    <row r="322">
      <c r="A322" s="0">
        <v>319</v>
      </c>
      <c r="B322" s="0">
        <f>BD321*(1+Calculator!$D$11/100/12)</f>
      </c>
      <c r="C322" s="0">
        <f>BE321*(1+Calculator!$D$12/100/12)</f>
      </c>
      <c r="D322" s="0">
        <f>BF321*(1+Calculator!$D$13/100/12)</f>
      </c>
      <c r="E322" s="0">
        <f>BG321*(1+Calculator!$D$14/100/12)</f>
      </c>
      <c r="F322" s="0">
        <f>BH321*(1+Calculator!$D$15/100/12)</f>
      </c>
      <c r="G322" s="0">
        <f>BI321*(1+Calculator!$D$16/100/12)</f>
      </c>
      <c r="H322" s="0">
        <f>BJ321*(1+Calculator!$D$17/100/12)</f>
      </c>
      <c r="I322" s="0">
        <f>BK321*(1+Calculator!$D$18/100/12)</f>
      </c>
      <c r="J322" s="0">
        <f>BL321*(1+Calculator!$D$19/100/12)</f>
      </c>
      <c r="K322" s="0">
        <f>BM321*(1+Calculator!$D$20/100/12)</f>
      </c>
      <c r="L322" s="0">
        <f>BN321*(1+Calculator!$D$21/100/12)</f>
      </c>
      <c r="M322" s="0">
        <f>BO321*(1+Calculator!$D$22/100/12)</f>
      </c>
      <c r="N322" s="0">
        <f>BP321*(1+Calculator!$D$23/100/12)</f>
      </c>
      <c r="O322" s="0">
        <f>BQ321*(1+Calculator!$D$24/100/12)</f>
      </c>
      <c r="P322" s="0">
        <f>BR321*(1+Calculator!$D$25/100/12)</f>
      </c>
      <c r="Q322" s="0">
        <f>BS321*(1+Calculator!$D$26/100/12)</f>
      </c>
      <c r="R322" s="0">
        <f>BT321*(1+Calculator!$D$27/100/12)</f>
      </c>
      <c r="S322" s="0">
        <f>BU321*(1+Calculator!$D$28/100/12)</f>
      </c>
      <c r="T322" s="0">
        <f>MAX(0,B322-Calculator!$E$11)</f>
      </c>
      <c r="U322" s="0">
        <f>MAX(0,C322-Calculator!$E$12)</f>
      </c>
      <c r="V322" s="0">
        <f>MAX(0,D322-Calculator!$E$13)</f>
      </c>
      <c r="W322" s="0">
        <f>MAX(0,E322-Calculator!$E$14)</f>
      </c>
      <c r="X322" s="0">
        <f>MAX(0,F322-Calculator!$E$15)</f>
      </c>
      <c r="Y322" s="0">
        <f>MAX(0,G322-Calculator!$E$16)</f>
      </c>
      <c r="Z322" s="0">
        <f>MAX(0,H322-Calculator!$E$17)</f>
      </c>
      <c r="AA322" s="0">
        <f>MAX(0,I322-Calculator!$E$18)</f>
      </c>
      <c r="AB322" s="0">
        <f>MAX(0,J322-Calculator!$E$19)</f>
      </c>
      <c r="AC322" s="0">
        <f>MAX(0,K322-Calculator!$E$20)</f>
      </c>
      <c r="AD322" s="0">
        <f>MAX(0,L322-Calculator!$E$21)</f>
      </c>
      <c r="AE322" s="0">
        <f>MAX(0,M322-Calculator!$E$22)</f>
      </c>
      <c r="AF322" s="0">
        <f>MAX(0,N322-Calculator!$E$23)</f>
      </c>
      <c r="AG322" s="0">
        <f>MAX(0,O322-Calculator!$E$24)</f>
      </c>
      <c r="AH322" s="0">
        <f>MAX(0,P322-Calculator!$E$25)</f>
      </c>
      <c r="AI322" s="0">
        <f>MAX(0,Q322-Calculator!$E$26)</f>
      </c>
      <c r="AJ322" s="0">
        <f>MAX(0,R322-Calculator!$E$27)</f>
      </c>
      <c r="AK322" s="0">
        <f>MAX(0,S322-Calculator!$E$28)</f>
      </c>
      <c r="AL322" s="0">
        <f>MAX(0,MIN(T322,BX322-SUMPRODUCT(($T$2:$AK$2&lt;T$2)*($T322:$AK322))))</f>
      </c>
      <c r="AM322" s="0">
        <f>MAX(0,MIN(U322,BX322-SUMPRODUCT(($T$2:$AK$2&lt;U$2)*($T322:$AK322))))</f>
      </c>
      <c r="AN322" s="0">
        <f>MAX(0,MIN(V322,BX322-SUMPRODUCT(($T$2:$AK$2&lt;V$2)*($T322:$AK322))))</f>
      </c>
      <c r="AO322" s="0">
        <f>MAX(0,MIN(W322,BX322-SUMPRODUCT(($T$2:$AK$2&lt;W$2)*($T322:$AK322))))</f>
      </c>
      <c r="AP322" s="0">
        <f>MAX(0,MIN(X322,BX322-SUMPRODUCT(($T$2:$AK$2&lt;X$2)*($T322:$AK322))))</f>
      </c>
      <c r="AQ322" s="0">
        <f>MAX(0,MIN(Y322,BX322-SUMPRODUCT(($T$2:$AK$2&lt;Y$2)*($T322:$AK322))))</f>
      </c>
      <c r="AR322" s="0">
        <f>MAX(0,MIN(Z322,BX322-SUMPRODUCT(($T$2:$AK$2&lt;Z$2)*($T322:$AK322))))</f>
      </c>
      <c r="AS322" s="0">
        <f>MAX(0,MIN(AA322,BX322-SUMPRODUCT(($T$2:$AK$2&lt;AA$2)*($T322:$AK322))))</f>
      </c>
      <c r="AT322" s="0">
        <f>MAX(0,MIN(AB322,BX322-SUMPRODUCT(($T$2:$AK$2&lt;AB$2)*($T322:$AK322))))</f>
      </c>
      <c r="AU322" s="0">
        <f>MAX(0,MIN(AC322,BX322-SUMPRODUCT(($T$2:$AK$2&lt;AC$2)*($T322:$AK322))))</f>
      </c>
      <c r="AV322" s="0">
        <f>MAX(0,MIN(AD322,BX322-SUMPRODUCT(($T$2:$AK$2&lt;AD$2)*($T322:$AK322))))</f>
      </c>
      <c r="AW322" s="0">
        <f>MAX(0,MIN(AE322,BX322-SUMPRODUCT(($T$2:$AK$2&lt;AE$2)*($T322:$AK322))))</f>
      </c>
      <c r="AX322" s="0">
        <f>MAX(0,MIN(AF322,BX322-SUMPRODUCT(($T$2:$AK$2&lt;AF$2)*($T322:$AK322))))</f>
      </c>
      <c r="AY322" s="0">
        <f>MAX(0,MIN(AG322,BX322-SUMPRODUCT(($T$2:$AK$2&lt;AG$2)*($T322:$AK322))))</f>
      </c>
      <c r="AZ322" s="0">
        <f>MAX(0,MIN(AH322,BX322-SUMPRODUCT(($T$2:$AK$2&lt;AH$2)*($T322:$AK322))))</f>
      </c>
      <c r="BA322" s="0">
        <f>MAX(0,MIN(AI322,BX322-SUMPRODUCT(($T$2:$AK$2&lt;AI$2)*($T322:$AK322))))</f>
      </c>
      <c r="BB322" s="0">
        <f>MAX(0,MIN(AJ322,BX322-SUMPRODUCT(($T$2:$AK$2&lt;AJ$2)*($T322:$AK322))))</f>
      </c>
      <c r="BC322" s="0">
        <f>MAX(0,MIN(AK322,BX322-SUMPRODUCT(($T$2:$AK$2&lt;AK$2)*($T322:$AK322))))</f>
      </c>
      <c r="BD322" s="0">
        <f>T322-AL322</f>
      </c>
      <c r="BE322" s="0">
        <f>U322-AM322</f>
      </c>
      <c r="BF322" s="0">
        <f>V322-AN322</f>
      </c>
      <c r="BG322" s="0">
        <f>W322-AO322</f>
      </c>
      <c r="BH322" s="0">
        <f>X322-AP322</f>
      </c>
      <c r="BI322" s="0">
        <f>Y322-AQ322</f>
      </c>
      <c r="BJ322" s="0">
        <f>Z322-AR322</f>
      </c>
      <c r="BK322" s="0">
        <f>AA322-AS322</f>
      </c>
      <c r="BL322" s="0">
        <f>AB322-AT322</f>
      </c>
      <c r="BM322" s="0">
        <f>AC322-AU322</f>
      </c>
      <c r="BN322" s="0">
        <f>AD322-AV322</f>
      </c>
      <c r="BO322" s="0">
        <f>AE322-AW322</f>
      </c>
      <c r="BP322" s="0">
        <f>AF322-AX322</f>
      </c>
      <c r="BQ322" s="0">
        <f>AG322-AY322</f>
      </c>
      <c r="BR322" s="0">
        <f>AH322-AZ322</f>
      </c>
      <c r="BS322" s="0">
        <f>AI322-BA322</f>
      </c>
      <c r="BT322" s="0">
        <f>AJ322-BB322</f>
      </c>
      <c r="BU322" s="0">
        <f>AK322-BC322</f>
      </c>
      <c r="BV322" s="0">
        <f>SUM(B322:S322)</f>
      </c>
      <c r="BW322" s="0">
        <f>SUM(T322:AK322)</f>
      </c>
      <c r="BX322" s="0">
        <f>MAX(0,(SUM(Calculator!$E$11:$E$28)+Calculator!$C$6)-BV322+BW322)</f>
      </c>
      <c r="BY322" s="0">
        <f>SUM(BD322:BU322)</f>
      </c>
      <c r="BZ322" s="0">
        <f>BV322-BY321</f>
      </c>
      <c r="CA322" s="0">
        <f>IF(A322&lt;=IF($CD$1=0,999,$CD$1),BY322,NA())</f>
      </c>
      <c r="CB322" s="0">
        <f>IF(A322&lt;=IF($CD$1=0,999,$CD$1),A322,NA())</f>
      </c>
    </row>
    <row r="323">
      <c r="A323" s="0">
        <v>320</v>
      </c>
      <c r="B323" s="0">
        <f>BD322*(1+Calculator!$D$11/100/12)</f>
      </c>
      <c r="C323" s="0">
        <f>BE322*(1+Calculator!$D$12/100/12)</f>
      </c>
      <c r="D323" s="0">
        <f>BF322*(1+Calculator!$D$13/100/12)</f>
      </c>
      <c r="E323" s="0">
        <f>BG322*(1+Calculator!$D$14/100/12)</f>
      </c>
      <c r="F323" s="0">
        <f>BH322*(1+Calculator!$D$15/100/12)</f>
      </c>
      <c r="G323" s="0">
        <f>BI322*(1+Calculator!$D$16/100/12)</f>
      </c>
      <c r="H323" s="0">
        <f>BJ322*(1+Calculator!$D$17/100/12)</f>
      </c>
      <c r="I323" s="0">
        <f>BK322*(1+Calculator!$D$18/100/12)</f>
      </c>
      <c r="J323" s="0">
        <f>BL322*(1+Calculator!$D$19/100/12)</f>
      </c>
      <c r="K323" s="0">
        <f>BM322*(1+Calculator!$D$20/100/12)</f>
      </c>
      <c r="L323" s="0">
        <f>BN322*(1+Calculator!$D$21/100/12)</f>
      </c>
      <c r="M323" s="0">
        <f>BO322*(1+Calculator!$D$22/100/12)</f>
      </c>
      <c r="N323" s="0">
        <f>BP322*(1+Calculator!$D$23/100/12)</f>
      </c>
      <c r="O323" s="0">
        <f>BQ322*(1+Calculator!$D$24/100/12)</f>
      </c>
      <c r="P323" s="0">
        <f>BR322*(1+Calculator!$D$25/100/12)</f>
      </c>
      <c r="Q323" s="0">
        <f>BS322*(1+Calculator!$D$26/100/12)</f>
      </c>
      <c r="R323" s="0">
        <f>BT322*(1+Calculator!$D$27/100/12)</f>
      </c>
      <c r="S323" s="0">
        <f>BU322*(1+Calculator!$D$28/100/12)</f>
      </c>
      <c r="T323" s="0">
        <f>MAX(0,B323-Calculator!$E$11)</f>
      </c>
      <c r="U323" s="0">
        <f>MAX(0,C323-Calculator!$E$12)</f>
      </c>
      <c r="V323" s="0">
        <f>MAX(0,D323-Calculator!$E$13)</f>
      </c>
      <c r="W323" s="0">
        <f>MAX(0,E323-Calculator!$E$14)</f>
      </c>
      <c r="X323" s="0">
        <f>MAX(0,F323-Calculator!$E$15)</f>
      </c>
      <c r="Y323" s="0">
        <f>MAX(0,G323-Calculator!$E$16)</f>
      </c>
      <c r="Z323" s="0">
        <f>MAX(0,H323-Calculator!$E$17)</f>
      </c>
      <c r="AA323" s="0">
        <f>MAX(0,I323-Calculator!$E$18)</f>
      </c>
      <c r="AB323" s="0">
        <f>MAX(0,J323-Calculator!$E$19)</f>
      </c>
      <c r="AC323" s="0">
        <f>MAX(0,K323-Calculator!$E$20)</f>
      </c>
      <c r="AD323" s="0">
        <f>MAX(0,L323-Calculator!$E$21)</f>
      </c>
      <c r="AE323" s="0">
        <f>MAX(0,M323-Calculator!$E$22)</f>
      </c>
      <c r="AF323" s="0">
        <f>MAX(0,N323-Calculator!$E$23)</f>
      </c>
      <c r="AG323" s="0">
        <f>MAX(0,O323-Calculator!$E$24)</f>
      </c>
      <c r="AH323" s="0">
        <f>MAX(0,P323-Calculator!$E$25)</f>
      </c>
      <c r="AI323" s="0">
        <f>MAX(0,Q323-Calculator!$E$26)</f>
      </c>
      <c r="AJ323" s="0">
        <f>MAX(0,R323-Calculator!$E$27)</f>
      </c>
      <c r="AK323" s="0">
        <f>MAX(0,S323-Calculator!$E$28)</f>
      </c>
      <c r="AL323" s="0">
        <f>MAX(0,MIN(T323,BX323-SUMPRODUCT(($T$2:$AK$2&lt;T$2)*($T323:$AK323))))</f>
      </c>
      <c r="AM323" s="0">
        <f>MAX(0,MIN(U323,BX323-SUMPRODUCT(($T$2:$AK$2&lt;U$2)*($T323:$AK323))))</f>
      </c>
      <c r="AN323" s="0">
        <f>MAX(0,MIN(V323,BX323-SUMPRODUCT(($T$2:$AK$2&lt;V$2)*($T323:$AK323))))</f>
      </c>
      <c r="AO323" s="0">
        <f>MAX(0,MIN(W323,BX323-SUMPRODUCT(($T$2:$AK$2&lt;W$2)*($T323:$AK323))))</f>
      </c>
      <c r="AP323" s="0">
        <f>MAX(0,MIN(X323,BX323-SUMPRODUCT(($T$2:$AK$2&lt;X$2)*($T323:$AK323))))</f>
      </c>
      <c r="AQ323" s="0">
        <f>MAX(0,MIN(Y323,BX323-SUMPRODUCT(($T$2:$AK$2&lt;Y$2)*($T323:$AK323))))</f>
      </c>
      <c r="AR323" s="0">
        <f>MAX(0,MIN(Z323,BX323-SUMPRODUCT(($T$2:$AK$2&lt;Z$2)*($T323:$AK323))))</f>
      </c>
      <c r="AS323" s="0">
        <f>MAX(0,MIN(AA323,BX323-SUMPRODUCT(($T$2:$AK$2&lt;AA$2)*($T323:$AK323))))</f>
      </c>
      <c r="AT323" s="0">
        <f>MAX(0,MIN(AB323,BX323-SUMPRODUCT(($T$2:$AK$2&lt;AB$2)*($T323:$AK323))))</f>
      </c>
      <c r="AU323" s="0">
        <f>MAX(0,MIN(AC323,BX323-SUMPRODUCT(($T$2:$AK$2&lt;AC$2)*($T323:$AK323))))</f>
      </c>
      <c r="AV323" s="0">
        <f>MAX(0,MIN(AD323,BX323-SUMPRODUCT(($T$2:$AK$2&lt;AD$2)*($T323:$AK323))))</f>
      </c>
      <c r="AW323" s="0">
        <f>MAX(0,MIN(AE323,BX323-SUMPRODUCT(($T$2:$AK$2&lt;AE$2)*($T323:$AK323))))</f>
      </c>
      <c r="AX323" s="0">
        <f>MAX(0,MIN(AF323,BX323-SUMPRODUCT(($T$2:$AK$2&lt;AF$2)*($T323:$AK323))))</f>
      </c>
      <c r="AY323" s="0">
        <f>MAX(0,MIN(AG323,BX323-SUMPRODUCT(($T$2:$AK$2&lt;AG$2)*($T323:$AK323))))</f>
      </c>
      <c r="AZ323" s="0">
        <f>MAX(0,MIN(AH323,BX323-SUMPRODUCT(($T$2:$AK$2&lt;AH$2)*($T323:$AK323))))</f>
      </c>
      <c r="BA323" s="0">
        <f>MAX(0,MIN(AI323,BX323-SUMPRODUCT(($T$2:$AK$2&lt;AI$2)*($T323:$AK323))))</f>
      </c>
      <c r="BB323" s="0">
        <f>MAX(0,MIN(AJ323,BX323-SUMPRODUCT(($T$2:$AK$2&lt;AJ$2)*($T323:$AK323))))</f>
      </c>
      <c r="BC323" s="0">
        <f>MAX(0,MIN(AK323,BX323-SUMPRODUCT(($T$2:$AK$2&lt;AK$2)*($T323:$AK323))))</f>
      </c>
      <c r="BD323" s="0">
        <f>T323-AL323</f>
      </c>
      <c r="BE323" s="0">
        <f>U323-AM323</f>
      </c>
      <c r="BF323" s="0">
        <f>V323-AN323</f>
      </c>
      <c r="BG323" s="0">
        <f>W323-AO323</f>
      </c>
      <c r="BH323" s="0">
        <f>X323-AP323</f>
      </c>
      <c r="BI323" s="0">
        <f>Y323-AQ323</f>
      </c>
      <c r="BJ323" s="0">
        <f>Z323-AR323</f>
      </c>
      <c r="BK323" s="0">
        <f>AA323-AS323</f>
      </c>
      <c r="BL323" s="0">
        <f>AB323-AT323</f>
      </c>
      <c r="BM323" s="0">
        <f>AC323-AU323</f>
      </c>
      <c r="BN323" s="0">
        <f>AD323-AV323</f>
      </c>
      <c r="BO323" s="0">
        <f>AE323-AW323</f>
      </c>
      <c r="BP323" s="0">
        <f>AF323-AX323</f>
      </c>
      <c r="BQ323" s="0">
        <f>AG323-AY323</f>
      </c>
      <c r="BR323" s="0">
        <f>AH323-AZ323</f>
      </c>
      <c r="BS323" s="0">
        <f>AI323-BA323</f>
      </c>
      <c r="BT323" s="0">
        <f>AJ323-BB323</f>
      </c>
      <c r="BU323" s="0">
        <f>AK323-BC323</f>
      </c>
      <c r="BV323" s="0">
        <f>SUM(B323:S323)</f>
      </c>
      <c r="BW323" s="0">
        <f>SUM(T323:AK323)</f>
      </c>
      <c r="BX323" s="0">
        <f>MAX(0,(SUM(Calculator!$E$11:$E$28)+Calculator!$C$6)-BV323+BW323)</f>
      </c>
      <c r="BY323" s="0">
        <f>SUM(BD323:BU323)</f>
      </c>
      <c r="BZ323" s="0">
        <f>BV323-BY322</f>
      </c>
      <c r="CA323" s="0">
        <f>IF(A323&lt;=IF($CD$1=0,999,$CD$1),BY323,NA())</f>
      </c>
      <c r="CB323" s="0">
        <f>IF(A323&lt;=IF($CD$1=0,999,$CD$1),A323,NA())</f>
      </c>
    </row>
    <row r="324">
      <c r="A324" s="0">
        <v>321</v>
      </c>
      <c r="B324" s="0">
        <f>BD323*(1+Calculator!$D$11/100/12)</f>
      </c>
      <c r="C324" s="0">
        <f>BE323*(1+Calculator!$D$12/100/12)</f>
      </c>
      <c r="D324" s="0">
        <f>BF323*(1+Calculator!$D$13/100/12)</f>
      </c>
      <c r="E324" s="0">
        <f>BG323*(1+Calculator!$D$14/100/12)</f>
      </c>
      <c r="F324" s="0">
        <f>BH323*(1+Calculator!$D$15/100/12)</f>
      </c>
      <c r="G324" s="0">
        <f>BI323*(1+Calculator!$D$16/100/12)</f>
      </c>
      <c r="H324" s="0">
        <f>BJ323*(1+Calculator!$D$17/100/12)</f>
      </c>
      <c r="I324" s="0">
        <f>BK323*(1+Calculator!$D$18/100/12)</f>
      </c>
      <c r="J324" s="0">
        <f>BL323*(1+Calculator!$D$19/100/12)</f>
      </c>
      <c r="K324" s="0">
        <f>BM323*(1+Calculator!$D$20/100/12)</f>
      </c>
      <c r="L324" s="0">
        <f>BN323*(1+Calculator!$D$21/100/12)</f>
      </c>
      <c r="M324" s="0">
        <f>BO323*(1+Calculator!$D$22/100/12)</f>
      </c>
      <c r="N324" s="0">
        <f>BP323*(1+Calculator!$D$23/100/12)</f>
      </c>
      <c r="O324" s="0">
        <f>BQ323*(1+Calculator!$D$24/100/12)</f>
      </c>
      <c r="P324" s="0">
        <f>BR323*(1+Calculator!$D$25/100/12)</f>
      </c>
      <c r="Q324" s="0">
        <f>BS323*(1+Calculator!$D$26/100/12)</f>
      </c>
      <c r="R324" s="0">
        <f>BT323*(1+Calculator!$D$27/100/12)</f>
      </c>
      <c r="S324" s="0">
        <f>BU323*(1+Calculator!$D$28/100/12)</f>
      </c>
      <c r="T324" s="0">
        <f>MAX(0,B324-Calculator!$E$11)</f>
      </c>
      <c r="U324" s="0">
        <f>MAX(0,C324-Calculator!$E$12)</f>
      </c>
      <c r="V324" s="0">
        <f>MAX(0,D324-Calculator!$E$13)</f>
      </c>
      <c r="W324" s="0">
        <f>MAX(0,E324-Calculator!$E$14)</f>
      </c>
      <c r="X324" s="0">
        <f>MAX(0,F324-Calculator!$E$15)</f>
      </c>
      <c r="Y324" s="0">
        <f>MAX(0,G324-Calculator!$E$16)</f>
      </c>
      <c r="Z324" s="0">
        <f>MAX(0,H324-Calculator!$E$17)</f>
      </c>
      <c r="AA324" s="0">
        <f>MAX(0,I324-Calculator!$E$18)</f>
      </c>
      <c r="AB324" s="0">
        <f>MAX(0,J324-Calculator!$E$19)</f>
      </c>
      <c r="AC324" s="0">
        <f>MAX(0,K324-Calculator!$E$20)</f>
      </c>
      <c r="AD324" s="0">
        <f>MAX(0,L324-Calculator!$E$21)</f>
      </c>
      <c r="AE324" s="0">
        <f>MAX(0,M324-Calculator!$E$22)</f>
      </c>
      <c r="AF324" s="0">
        <f>MAX(0,N324-Calculator!$E$23)</f>
      </c>
      <c r="AG324" s="0">
        <f>MAX(0,O324-Calculator!$E$24)</f>
      </c>
      <c r="AH324" s="0">
        <f>MAX(0,P324-Calculator!$E$25)</f>
      </c>
      <c r="AI324" s="0">
        <f>MAX(0,Q324-Calculator!$E$26)</f>
      </c>
      <c r="AJ324" s="0">
        <f>MAX(0,R324-Calculator!$E$27)</f>
      </c>
      <c r="AK324" s="0">
        <f>MAX(0,S324-Calculator!$E$28)</f>
      </c>
      <c r="AL324" s="0">
        <f>MAX(0,MIN(T324,BX324-SUMPRODUCT(($T$2:$AK$2&lt;T$2)*($T324:$AK324))))</f>
      </c>
      <c r="AM324" s="0">
        <f>MAX(0,MIN(U324,BX324-SUMPRODUCT(($T$2:$AK$2&lt;U$2)*($T324:$AK324))))</f>
      </c>
      <c r="AN324" s="0">
        <f>MAX(0,MIN(V324,BX324-SUMPRODUCT(($T$2:$AK$2&lt;V$2)*($T324:$AK324))))</f>
      </c>
      <c r="AO324" s="0">
        <f>MAX(0,MIN(W324,BX324-SUMPRODUCT(($T$2:$AK$2&lt;W$2)*($T324:$AK324))))</f>
      </c>
      <c r="AP324" s="0">
        <f>MAX(0,MIN(X324,BX324-SUMPRODUCT(($T$2:$AK$2&lt;X$2)*($T324:$AK324))))</f>
      </c>
      <c r="AQ324" s="0">
        <f>MAX(0,MIN(Y324,BX324-SUMPRODUCT(($T$2:$AK$2&lt;Y$2)*($T324:$AK324))))</f>
      </c>
      <c r="AR324" s="0">
        <f>MAX(0,MIN(Z324,BX324-SUMPRODUCT(($T$2:$AK$2&lt;Z$2)*($T324:$AK324))))</f>
      </c>
      <c r="AS324" s="0">
        <f>MAX(0,MIN(AA324,BX324-SUMPRODUCT(($T$2:$AK$2&lt;AA$2)*($T324:$AK324))))</f>
      </c>
      <c r="AT324" s="0">
        <f>MAX(0,MIN(AB324,BX324-SUMPRODUCT(($T$2:$AK$2&lt;AB$2)*($T324:$AK324))))</f>
      </c>
      <c r="AU324" s="0">
        <f>MAX(0,MIN(AC324,BX324-SUMPRODUCT(($T$2:$AK$2&lt;AC$2)*($T324:$AK324))))</f>
      </c>
      <c r="AV324" s="0">
        <f>MAX(0,MIN(AD324,BX324-SUMPRODUCT(($T$2:$AK$2&lt;AD$2)*($T324:$AK324))))</f>
      </c>
      <c r="AW324" s="0">
        <f>MAX(0,MIN(AE324,BX324-SUMPRODUCT(($T$2:$AK$2&lt;AE$2)*($T324:$AK324))))</f>
      </c>
      <c r="AX324" s="0">
        <f>MAX(0,MIN(AF324,BX324-SUMPRODUCT(($T$2:$AK$2&lt;AF$2)*($T324:$AK324))))</f>
      </c>
      <c r="AY324" s="0">
        <f>MAX(0,MIN(AG324,BX324-SUMPRODUCT(($T$2:$AK$2&lt;AG$2)*($T324:$AK324))))</f>
      </c>
      <c r="AZ324" s="0">
        <f>MAX(0,MIN(AH324,BX324-SUMPRODUCT(($T$2:$AK$2&lt;AH$2)*($T324:$AK324))))</f>
      </c>
      <c r="BA324" s="0">
        <f>MAX(0,MIN(AI324,BX324-SUMPRODUCT(($T$2:$AK$2&lt;AI$2)*($T324:$AK324))))</f>
      </c>
      <c r="BB324" s="0">
        <f>MAX(0,MIN(AJ324,BX324-SUMPRODUCT(($T$2:$AK$2&lt;AJ$2)*($T324:$AK324))))</f>
      </c>
      <c r="BC324" s="0">
        <f>MAX(0,MIN(AK324,BX324-SUMPRODUCT(($T$2:$AK$2&lt;AK$2)*($T324:$AK324))))</f>
      </c>
      <c r="BD324" s="0">
        <f>T324-AL324</f>
      </c>
      <c r="BE324" s="0">
        <f>U324-AM324</f>
      </c>
      <c r="BF324" s="0">
        <f>V324-AN324</f>
      </c>
      <c r="BG324" s="0">
        <f>W324-AO324</f>
      </c>
      <c r="BH324" s="0">
        <f>X324-AP324</f>
      </c>
      <c r="BI324" s="0">
        <f>Y324-AQ324</f>
      </c>
      <c r="BJ324" s="0">
        <f>Z324-AR324</f>
      </c>
      <c r="BK324" s="0">
        <f>AA324-AS324</f>
      </c>
      <c r="BL324" s="0">
        <f>AB324-AT324</f>
      </c>
      <c r="BM324" s="0">
        <f>AC324-AU324</f>
      </c>
      <c r="BN324" s="0">
        <f>AD324-AV324</f>
      </c>
      <c r="BO324" s="0">
        <f>AE324-AW324</f>
      </c>
      <c r="BP324" s="0">
        <f>AF324-AX324</f>
      </c>
      <c r="BQ324" s="0">
        <f>AG324-AY324</f>
      </c>
      <c r="BR324" s="0">
        <f>AH324-AZ324</f>
      </c>
      <c r="BS324" s="0">
        <f>AI324-BA324</f>
      </c>
      <c r="BT324" s="0">
        <f>AJ324-BB324</f>
      </c>
      <c r="BU324" s="0">
        <f>AK324-BC324</f>
      </c>
      <c r="BV324" s="0">
        <f>SUM(B324:S324)</f>
      </c>
      <c r="BW324" s="0">
        <f>SUM(T324:AK324)</f>
      </c>
      <c r="BX324" s="0">
        <f>MAX(0,(SUM(Calculator!$E$11:$E$28)+Calculator!$C$6)-BV324+BW324)</f>
      </c>
      <c r="BY324" s="0">
        <f>SUM(BD324:BU324)</f>
      </c>
      <c r="BZ324" s="0">
        <f>BV324-BY323</f>
      </c>
      <c r="CA324" s="0">
        <f>IF(A324&lt;=IF($CD$1=0,999,$CD$1),BY324,NA())</f>
      </c>
      <c r="CB324" s="0">
        <f>IF(A324&lt;=IF($CD$1=0,999,$CD$1),A324,NA())</f>
      </c>
    </row>
    <row r="325">
      <c r="A325" s="0">
        <v>322</v>
      </c>
      <c r="B325" s="0">
        <f>BD324*(1+Calculator!$D$11/100/12)</f>
      </c>
      <c r="C325" s="0">
        <f>BE324*(1+Calculator!$D$12/100/12)</f>
      </c>
      <c r="D325" s="0">
        <f>BF324*(1+Calculator!$D$13/100/12)</f>
      </c>
      <c r="E325" s="0">
        <f>BG324*(1+Calculator!$D$14/100/12)</f>
      </c>
      <c r="F325" s="0">
        <f>BH324*(1+Calculator!$D$15/100/12)</f>
      </c>
      <c r="G325" s="0">
        <f>BI324*(1+Calculator!$D$16/100/12)</f>
      </c>
      <c r="H325" s="0">
        <f>BJ324*(1+Calculator!$D$17/100/12)</f>
      </c>
      <c r="I325" s="0">
        <f>BK324*(1+Calculator!$D$18/100/12)</f>
      </c>
      <c r="J325" s="0">
        <f>BL324*(1+Calculator!$D$19/100/12)</f>
      </c>
      <c r="K325" s="0">
        <f>BM324*(1+Calculator!$D$20/100/12)</f>
      </c>
      <c r="L325" s="0">
        <f>BN324*(1+Calculator!$D$21/100/12)</f>
      </c>
      <c r="M325" s="0">
        <f>BO324*(1+Calculator!$D$22/100/12)</f>
      </c>
      <c r="N325" s="0">
        <f>BP324*(1+Calculator!$D$23/100/12)</f>
      </c>
      <c r="O325" s="0">
        <f>BQ324*(1+Calculator!$D$24/100/12)</f>
      </c>
      <c r="P325" s="0">
        <f>BR324*(1+Calculator!$D$25/100/12)</f>
      </c>
      <c r="Q325" s="0">
        <f>BS324*(1+Calculator!$D$26/100/12)</f>
      </c>
      <c r="R325" s="0">
        <f>BT324*(1+Calculator!$D$27/100/12)</f>
      </c>
      <c r="S325" s="0">
        <f>BU324*(1+Calculator!$D$28/100/12)</f>
      </c>
      <c r="T325" s="0">
        <f>MAX(0,B325-Calculator!$E$11)</f>
      </c>
      <c r="U325" s="0">
        <f>MAX(0,C325-Calculator!$E$12)</f>
      </c>
      <c r="V325" s="0">
        <f>MAX(0,D325-Calculator!$E$13)</f>
      </c>
      <c r="W325" s="0">
        <f>MAX(0,E325-Calculator!$E$14)</f>
      </c>
      <c r="X325" s="0">
        <f>MAX(0,F325-Calculator!$E$15)</f>
      </c>
      <c r="Y325" s="0">
        <f>MAX(0,G325-Calculator!$E$16)</f>
      </c>
      <c r="Z325" s="0">
        <f>MAX(0,H325-Calculator!$E$17)</f>
      </c>
      <c r="AA325" s="0">
        <f>MAX(0,I325-Calculator!$E$18)</f>
      </c>
      <c r="AB325" s="0">
        <f>MAX(0,J325-Calculator!$E$19)</f>
      </c>
      <c r="AC325" s="0">
        <f>MAX(0,K325-Calculator!$E$20)</f>
      </c>
      <c r="AD325" s="0">
        <f>MAX(0,L325-Calculator!$E$21)</f>
      </c>
      <c r="AE325" s="0">
        <f>MAX(0,M325-Calculator!$E$22)</f>
      </c>
      <c r="AF325" s="0">
        <f>MAX(0,N325-Calculator!$E$23)</f>
      </c>
      <c r="AG325" s="0">
        <f>MAX(0,O325-Calculator!$E$24)</f>
      </c>
      <c r="AH325" s="0">
        <f>MAX(0,P325-Calculator!$E$25)</f>
      </c>
      <c r="AI325" s="0">
        <f>MAX(0,Q325-Calculator!$E$26)</f>
      </c>
      <c r="AJ325" s="0">
        <f>MAX(0,R325-Calculator!$E$27)</f>
      </c>
      <c r="AK325" s="0">
        <f>MAX(0,S325-Calculator!$E$28)</f>
      </c>
      <c r="AL325" s="0">
        <f>MAX(0,MIN(T325,BX325-SUMPRODUCT(($T$2:$AK$2&lt;T$2)*($T325:$AK325))))</f>
      </c>
      <c r="AM325" s="0">
        <f>MAX(0,MIN(U325,BX325-SUMPRODUCT(($T$2:$AK$2&lt;U$2)*($T325:$AK325))))</f>
      </c>
      <c r="AN325" s="0">
        <f>MAX(0,MIN(V325,BX325-SUMPRODUCT(($T$2:$AK$2&lt;V$2)*($T325:$AK325))))</f>
      </c>
      <c r="AO325" s="0">
        <f>MAX(0,MIN(W325,BX325-SUMPRODUCT(($T$2:$AK$2&lt;W$2)*($T325:$AK325))))</f>
      </c>
      <c r="AP325" s="0">
        <f>MAX(0,MIN(X325,BX325-SUMPRODUCT(($T$2:$AK$2&lt;X$2)*($T325:$AK325))))</f>
      </c>
      <c r="AQ325" s="0">
        <f>MAX(0,MIN(Y325,BX325-SUMPRODUCT(($T$2:$AK$2&lt;Y$2)*($T325:$AK325))))</f>
      </c>
      <c r="AR325" s="0">
        <f>MAX(0,MIN(Z325,BX325-SUMPRODUCT(($T$2:$AK$2&lt;Z$2)*($T325:$AK325))))</f>
      </c>
      <c r="AS325" s="0">
        <f>MAX(0,MIN(AA325,BX325-SUMPRODUCT(($T$2:$AK$2&lt;AA$2)*($T325:$AK325))))</f>
      </c>
      <c r="AT325" s="0">
        <f>MAX(0,MIN(AB325,BX325-SUMPRODUCT(($T$2:$AK$2&lt;AB$2)*($T325:$AK325))))</f>
      </c>
      <c r="AU325" s="0">
        <f>MAX(0,MIN(AC325,BX325-SUMPRODUCT(($T$2:$AK$2&lt;AC$2)*($T325:$AK325))))</f>
      </c>
      <c r="AV325" s="0">
        <f>MAX(0,MIN(AD325,BX325-SUMPRODUCT(($T$2:$AK$2&lt;AD$2)*($T325:$AK325))))</f>
      </c>
      <c r="AW325" s="0">
        <f>MAX(0,MIN(AE325,BX325-SUMPRODUCT(($T$2:$AK$2&lt;AE$2)*($T325:$AK325))))</f>
      </c>
      <c r="AX325" s="0">
        <f>MAX(0,MIN(AF325,BX325-SUMPRODUCT(($T$2:$AK$2&lt;AF$2)*($T325:$AK325))))</f>
      </c>
      <c r="AY325" s="0">
        <f>MAX(0,MIN(AG325,BX325-SUMPRODUCT(($T$2:$AK$2&lt;AG$2)*($T325:$AK325))))</f>
      </c>
      <c r="AZ325" s="0">
        <f>MAX(0,MIN(AH325,BX325-SUMPRODUCT(($T$2:$AK$2&lt;AH$2)*($T325:$AK325))))</f>
      </c>
      <c r="BA325" s="0">
        <f>MAX(0,MIN(AI325,BX325-SUMPRODUCT(($T$2:$AK$2&lt;AI$2)*($T325:$AK325))))</f>
      </c>
      <c r="BB325" s="0">
        <f>MAX(0,MIN(AJ325,BX325-SUMPRODUCT(($T$2:$AK$2&lt;AJ$2)*($T325:$AK325))))</f>
      </c>
      <c r="BC325" s="0">
        <f>MAX(0,MIN(AK325,BX325-SUMPRODUCT(($T$2:$AK$2&lt;AK$2)*($T325:$AK325))))</f>
      </c>
      <c r="BD325" s="0">
        <f>T325-AL325</f>
      </c>
      <c r="BE325" s="0">
        <f>U325-AM325</f>
      </c>
      <c r="BF325" s="0">
        <f>V325-AN325</f>
      </c>
      <c r="BG325" s="0">
        <f>W325-AO325</f>
      </c>
      <c r="BH325" s="0">
        <f>X325-AP325</f>
      </c>
      <c r="BI325" s="0">
        <f>Y325-AQ325</f>
      </c>
      <c r="BJ325" s="0">
        <f>Z325-AR325</f>
      </c>
      <c r="BK325" s="0">
        <f>AA325-AS325</f>
      </c>
      <c r="BL325" s="0">
        <f>AB325-AT325</f>
      </c>
      <c r="BM325" s="0">
        <f>AC325-AU325</f>
      </c>
      <c r="BN325" s="0">
        <f>AD325-AV325</f>
      </c>
      <c r="BO325" s="0">
        <f>AE325-AW325</f>
      </c>
      <c r="BP325" s="0">
        <f>AF325-AX325</f>
      </c>
      <c r="BQ325" s="0">
        <f>AG325-AY325</f>
      </c>
      <c r="BR325" s="0">
        <f>AH325-AZ325</f>
      </c>
      <c r="BS325" s="0">
        <f>AI325-BA325</f>
      </c>
      <c r="BT325" s="0">
        <f>AJ325-BB325</f>
      </c>
      <c r="BU325" s="0">
        <f>AK325-BC325</f>
      </c>
      <c r="BV325" s="0">
        <f>SUM(B325:S325)</f>
      </c>
      <c r="BW325" s="0">
        <f>SUM(T325:AK325)</f>
      </c>
      <c r="BX325" s="0">
        <f>MAX(0,(SUM(Calculator!$E$11:$E$28)+Calculator!$C$6)-BV325+BW325)</f>
      </c>
      <c r="BY325" s="0">
        <f>SUM(BD325:BU325)</f>
      </c>
      <c r="BZ325" s="0">
        <f>BV325-BY324</f>
      </c>
      <c r="CA325" s="0">
        <f>IF(A325&lt;=IF($CD$1=0,999,$CD$1),BY325,NA())</f>
      </c>
      <c r="CB325" s="0">
        <f>IF(A325&lt;=IF($CD$1=0,999,$CD$1),A325,NA())</f>
      </c>
    </row>
    <row r="326">
      <c r="A326" s="0">
        <v>323</v>
      </c>
      <c r="B326" s="0">
        <f>BD325*(1+Calculator!$D$11/100/12)</f>
      </c>
      <c r="C326" s="0">
        <f>BE325*(1+Calculator!$D$12/100/12)</f>
      </c>
      <c r="D326" s="0">
        <f>BF325*(1+Calculator!$D$13/100/12)</f>
      </c>
      <c r="E326" s="0">
        <f>BG325*(1+Calculator!$D$14/100/12)</f>
      </c>
      <c r="F326" s="0">
        <f>BH325*(1+Calculator!$D$15/100/12)</f>
      </c>
      <c r="G326" s="0">
        <f>BI325*(1+Calculator!$D$16/100/12)</f>
      </c>
      <c r="H326" s="0">
        <f>BJ325*(1+Calculator!$D$17/100/12)</f>
      </c>
      <c r="I326" s="0">
        <f>BK325*(1+Calculator!$D$18/100/12)</f>
      </c>
      <c r="J326" s="0">
        <f>BL325*(1+Calculator!$D$19/100/12)</f>
      </c>
      <c r="K326" s="0">
        <f>BM325*(1+Calculator!$D$20/100/12)</f>
      </c>
      <c r="L326" s="0">
        <f>BN325*(1+Calculator!$D$21/100/12)</f>
      </c>
      <c r="M326" s="0">
        <f>BO325*(1+Calculator!$D$22/100/12)</f>
      </c>
      <c r="N326" s="0">
        <f>BP325*(1+Calculator!$D$23/100/12)</f>
      </c>
      <c r="O326" s="0">
        <f>BQ325*(1+Calculator!$D$24/100/12)</f>
      </c>
      <c r="P326" s="0">
        <f>BR325*(1+Calculator!$D$25/100/12)</f>
      </c>
      <c r="Q326" s="0">
        <f>BS325*(1+Calculator!$D$26/100/12)</f>
      </c>
      <c r="R326" s="0">
        <f>BT325*(1+Calculator!$D$27/100/12)</f>
      </c>
      <c r="S326" s="0">
        <f>BU325*(1+Calculator!$D$28/100/12)</f>
      </c>
      <c r="T326" s="0">
        <f>MAX(0,B326-Calculator!$E$11)</f>
      </c>
      <c r="U326" s="0">
        <f>MAX(0,C326-Calculator!$E$12)</f>
      </c>
      <c r="V326" s="0">
        <f>MAX(0,D326-Calculator!$E$13)</f>
      </c>
      <c r="W326" s="0">
        <f>MAX(0,E326-Calculator!$E$14)</f>
      </c>
      <c r="X326" s="0">
        <f>MAX(0,F326-Calculator!$E$15)</f>
      </c>
      <c r="Y326" s="0">
        <f>MAX(0,G326-Calculator!$E$16)</f>
      </c>
      <c r="Z326" s="0">
        <f>MAX(0,H326-Calculator!$E$17)</f>
      </c>
      <c r="AA326" s="0">
        <f>MAX(0,I326-Calculator!$E$18)</f>
      </c>
      <c r="AB326" s="0">
        <f>MAX(0,J326-Calculator!$E$19)</f>
      </c>
      <c r="AC326" s="0">
        <f>MAX(0,K326-Calculator!$E$20)</f>
      </c>
      <c r="AD326" s="0">
        <f>MAX(0,L326-Calculator!$E$21)</f>
      </c>
      <c r="AE326" s="0">
        <f>MAX(0,M326-Calculator!$E$22)</f>
      </c>
      <c r="AF326" s="0">
        <f>MAX(0,N326-Calculator!$E$23)</f>
      </c>
      <c r="AG326" s="0">
        <f>MAX(0,O326-Calculator!$E$24)</f>
      </c>
      <c r="AH326" s="0">
        <f>MAX(0,P326-Calculator!$E$25)</f>
      </c>
      <c r="AI326" s="0">
        <f>MAX(0,Q326-Calculator!$E$26)</f>
      </c>
      <c r="AJ326" s="0">
        <f>MAX(0,R326-Calculator!$E$27)</f>
      </c>
      <c r="AK326" s="0">
        <f>MAX(0,S326-Calculator!$E$28)</f>
      </c>
      <c r="AL326" s="0">
        <f>MAX(0,MIN(T326,BX326-SUMPRODUCT(($T$2:$AK$2&lt;T$2)*($T326:$AK326))))</f>
      </c>
      <c r="AM326" s="0">
        <f>MAX(0,MIN(U326,BX326-SUMPRODUCT(($T$2:$AK$2&lt;U$2)*($T326:$AK326))))</f>
      </c>
      <c r="AN326" s="0">
        <f>MAX(0,MIN(V326,BX326-SUMPRODUCT(($T$2:$AK$2&lt;V$2)*($T326:$AK326))))</f>
      </c>
      <c r="AO326" s="0">
        <f>MAX(0,MIN(W326,BX326-SUMPRODUCT(($T$2:$AK$2&lt;W$2)*($T326:$AK326))))</f>
      </c>
      <c r="AP326" s="0">
        <f>MAX(0,MIN(X326,BX326-SUMPRODUCT(($T$2:$AK$2&lt;X$2)*($T326:$AK326))))</f>
      </c>
      <c r="AQ326" s="0">
        <f>MAX(0,MIN(Y326,BX326-SUMPRODUCT(($T$2:$AK$2&lt;Y$2)*($T326:$AK326))))</f>
      </c>
      <c r="AR326" s="0">
        <f>MAX(0,MIN(Z326,BX326-SUMPRODUCT(($T$2:$AK$2&lt;Z$2)*($T326:$AK326))))</f>
      </c>
      <c r="AS326" s="0">
        <f>MAX(0,MIN(AA326,BX326-SUMPRODUCT(($T$2:$AK$2&lt;AA$2)*($T326:$AK326))))</f>
      </c>
      <c r="AT326" s="0">
        <f>MAX(0,MIN(AB326,BX326-SUMPRODUCT(($T$2:$AK$2&lt;AB$2)*($T326:$AK326))))</f>
      </c>
      <c r="AU326" s="0">
        <f>MAX(0,MIN(AC326,BX326-SUMPRODUCT(($T$2:$AK$2&lt;AC$2)*($T326:$AK326))))</f>
      </c>
      <c r="AV326" s="0">
        <f>MAX(0,MIN(AD326,BX326-SUMPRODUCT(($T$2:$AK$2&lt;AD$2)*($T326:$AK326))))</f>
      </c>
      <c r="AW326" s="0">
        <f>MAX(0,MIN(AE326,BX326-SUMPRODUCT(($T$2:$AK$2&lt;AE$2)*($T326:$AK326))))</f>
      </c>
      <c r="AX326" s="0">
        <f>MAX(0,MIN(AF326,BX326-SUMPRODUCT(($T$2:$AK$2&lt;AF$2)*($T326:$AK326))))</f>
      </c>
      <c r="AY326" s="0">
        <f>MAX(0,MIN(AG326,BX326-SUMPRODUCT(($T$2:$AK$2&lt;AG$2)*($T326:$AK326))))</f>
      </c>
      <c r="AZ326" s="0">
        <f>MAX(0,MIN(AH326,BX326-SUMPRODUCT(($T$2:$AK$2&lt;AH$2)*($T326:$AK326))))</f>
      </c>
      <c r="BA326" s="0">
        <f>MAX(0,MIN(AI326,BX326-SUMPRODUCT(($T$2:$AK$2&lt;AI$2)*($T326:$AK326))))</f>
      </c>
      <c r="BB326" s="0">
        <f>MAX(0,MIN(AJ326,BX326-SUMPRODUCT(($T$2:$AK$2&lt;AJ$2)*($T326:$AK326))))</f>
      </c>
      <c r="BC326" s="0">
        <f>MAX(0,MIN(AK326,BX326-SUMPRODUCT(($T$2:$AK$2&lt;AK$2)*($T326:$AK326))))</f>
      </c>
      <c r="BD326" s="0">
        <f>T326-AL326</f>
      </c>
      <c r="BE326" s="0">
        <f>U326-AM326</f>
      </c>
      <c r="BF326" s="0">
        <f>V326-AN326</f>
      </c>
      <c r="BG326" s="0">
        <f>W326-AO326</f>
      </c>
      <c r="BH326" s="0">
        <f>X326-AP326</f>
      </c>
      <c r="BI326" s="0">
        <f>Y326-AQ326</f>
      </c>
      <c r="BJ326" s="0">
        <f>Z326-AR326</f>
      </c>
      <c r="BK326" s="0">
        <f>AA326-AS326</f>
      </c>
      <c r="BL326" s="0">
        <f>AB326-AT326</f>
      </c>
      <c r="BM326" s="0">
        <f>AC326-AU326</f>
      </c>
      <c r="BN326" s="0">
        <f>AD326-AV326</f>
      </c>
      <c r="BO326" s="0">
        <f>AE326-AW326</f>
      </c>
      <c r="BP326" s="0">
        <f>AF326-AX326</f>
      </c>
      <c r="BQ326" s="0">
        <f>AG326-AY326</f>
      </c>
      <c r="BR326" s="0">
        <f>AH326-AZ326</f>
      </c>
      <c r="BS326" s="0">
        <f>AI326-BA326</f>
      </c>
      <c r="BT326" s="0">
        <f>AJ326-BB326</f>
      </c>
      <c r="BU326" s="0">
        <f>AK326-BC326</f>
      </c>
      <c r="BV326" s="0">
        <f>SUM(B326:S326)</f>
      </c>
      <c r="BW326" s="0">
        <f>SUM(T326:AK326)</f>
      </c>
      <c r="BX326" s="0">
        <f>MAX(0,(SUM(Calculator!$E$11:$E$28)+Calculator!$C$6)-BV326+BW326)</f>
      </c>
      <c r="BY326" s="0">
        <f>SUM(BD326:BU326)</f>
      </c>
      <c r="BZ326" s="0">
        <f>BV326-BY325</f>
      </c>
      <c r="CA326" s="0">
        <f>IF(A326&lt;=IF($CD$1=0,999,$CD$1),BY326,NA())</f>
      </c>
      <c r="CB326" s="0">
        <f>IF(A326&lt;=IF($CD$1=0,999,$CD$1),A326,NA())</f>
      </c>
    </row>
    <row r="327">
      <c r="A327" s="0">
        <v>324</v>
      </c>
      <c r="B327" s="0">
        <f>BD326*(1+Calculator!$D$11/100/12)</f>
      </c>
      <c r="C327" s="0">
        <f>BE326*(1+Calculator!$D$12/100/12)</f>
      </c>
      <c r="D327" s="0">
        <f>BF326*(1+Calculator!$D$13/100/12)</f>
      </c>
      <c r="E327" s="0">
        <f>BG326*(1+Calculator!$D$14/100/12)</f>
      </c>
      <c r="F327" s="0">
        <f>BH326*(1+Calculator!$D$15/100/12)</f>
      </c>
      <c r="G327" s="0">
        <f>BI326*(1+Calculator!$D$16/100/12)</f>
      </c>
      <c r="H327" s="0">
        <f>BJ326*(1+Calculator!$D$17/100/12)</f>
      </c>
      <c r="I327" s="0">
        <f>BK326*(1+Calculator!$D$18/100/12)</f>
      </c>
      <c r="J327" s="0">
        <f>BL326*(1+Calculator!$D$19/100/12)</f>
      </c>
      <c r="K327" s="0">
        <f>BM326*(1+Calculator!$D$20/100/12)</f>
      </c>
      <c r="L327" s="0">
        <f>BN326*(1+Calculator!$D$21/100/12)</f>
      </c>
      <c r="M327" s="0">
        <f>BO326*(1+Calculator!$D$22/100/12)</f>
      </c>
      <c r="N327" s="0">
        <f>BP326*(1+Calculator!$D$23/100/12)</f>
      </c>
      <c r="O327" s="0">
        <f>BQ326*(1+Calculator!$D$24/100/12)</f>
      </c>
      <c r="P327" s="0">
        <f>BR326*(1+Calculator!$D$25/100/12)</f>
      </c>
      <c r="Q327" s="0">
        <f>BS326*(1+Calculator!$D$26/100/12)</f>
      </c>
      <c r="R327" s="0">
        <f>BT326*(1+Calculator!$D$27/100/12)</f>
      </c>
      <c r="S327" s="0">
        <f>BU326*(1+Calculator!$D$28/100/12)</f>
      </c>
      <c r="T327" s="0">
        <f>MAX(0,B327-Calculator!$E$11)</f>
      </c>
      <c r="U327" s="0">
        <f>MAX(0,C327-Calculator!$E$12)</f>
      </c>
      <c r="V327" s="0">
        <f>MAX(0,D327-Calculator!$E$13)</f>
      </c>
      <c r="W327" s="0">
        <f>MAX(0,E327-Calculator!$E$14)</f>
      </c>
      <c r="X327" s="0">
        <f>MAX(0,F327-Calculator!$E$15)</f>
      </c>
      <c r="Y327" s="0">
        <f>MAX(0,G327-Calculator!$E$16)</f>
      </c>
      <c r="Z327" s="0">
        <f>MAX(0,H327-Calculator!$E$17)</f>
      </c>
      <c r="AA327" s="0">
        <f>MAX(0,I327-Calculator!$E$18)</f>
      </c>
      <c r="AB327" s="0">
        <f>MAX(0,J327-Calculator!$E$19)</f>
      </c>
      <c r="AC327" s="0">
        <f>MAX(0,K327-Calculator!$E$20)</f>
      </c>
      <c r="AD327" s="0">
        <f>MAX(0,L327-Calculator!$E$21)</f>
      </c>
      <c r="AE327" s="0">
        <f>MAX(0,M327-Calculator!$E$22)</f>
      </c>
      <c r="AF327" s="0">
        <f>MAX(0,N327-Calculator!$E$23)</f>
      </c>
      <c r="AG327" s="0">
        <f>MAX(0,O327-Calculator!$E$24)</f>
      </c>
      <c r="AH327" s="0">
        <f>MAX(0,P327-Calculator!$E$25)</f>
      </c>
      <c r="AI327" s="0">
        <f>MAX(0,Q327-Calculator!$E$26)</f>
      </c>
      <c r="AJ327" s="0">
        <f>MAX(0,R327-Calculator!$E$27)</f>
      </c>
      <c r="AK327" s="0">
        <f>MAX(0,S327-Calculator!$E$28)</f>
      </c>
      <c r="AL327" s="0">
        <f>MAX(0,MIN(T327,BX327-SUMPRODUCT(($T$2:$AK$2&lt;T$2)*($T327:$AK327))))</f>
      </c>
      <c r="AM327" s="0">
        <f>MAX(0,MIN(U327,BX327-SUMPRODUCT(($T$2:$AK$2&lt;U$2)*($T327:$AK327))))</f>
      </c>
      <c r="AN327" s="0">
        <f>MAX(0,MIN(V327,BX327-SUMPRODUCT(($T$2:$AK$2&lt;V$2)*($T327:$AK327))))</f>
      </c>
      <c r="AO327" s="0">
        <f>MAX(0,MIN(W327,BX327-SUMPRODUCT(($T$2:$AK$2&lt;W$2)*($T327:$AK327))))</f>
      </c>
      <c r="AP327" s="0">
        <f>MAX(0,MIN(X327,BX327-SUMPRODUCT(($T$2:$AK$2&lt;X$2)*($T327:$AK327))))</f>
      </c>
      <c r="AQ327" s="0">
        <f>MAX(0,MIN(Y327,BX327-SUMPRODUCT(($T$2:$AK$2&lt;Y$2)*($T327:$AK327))))</f>
      </c>
      <c r="AR327" s="0">
        <f>MAX(0,MIN(Z327,BX327-SUMPRODUCT(($T$2:$AK$2&lt;Z$2)*($T327:$AK327))))</f>
      </c>
      <c r="AS327" s="0">
        <f>MAX(0,MIN(AA327,BX327-SUMPRODUCT(($T$2:$AK$2&lt;AA$2)*($T327:$AK327))))</f>
      </c>
      <c r="AT327" s="0">
        <f>MAX(0,MIN(AB327,BX327-SUMPRODUCT(($T$2:$AK$2&lt;AB$2)*($T327:$AK327))))</f>
      </c>
      <c r="AU327" s="0">
        <f>MAX(0,MIN(AC327,BX327-SUMPRODUCT(($T$2:$AK$2&lt;AC$2)*($T327:$AK327))))</f>
      </c>
      <c r="AV327" s="0">
        <f>MAX(0,MIN(AD327,BX327-SUMPRODUCT(($T$2:$AK$2&lt;AD$2)*($T327:$AK327))))</f>
      </c>
      <c r="AW327" s="0">
        <f>MAX(0,MIN(AE327,BX327-SUMPRODUCT(($T$2:$AK$2&lt;AE$2)*($T327:$AK327))))</f>
      </c>
      <c r="AX327" s="0">
        <f>MAX(0,MIN(AF327,BX327-SUMPRODUCT(($T$2:$AK$2&lt;AF$2)*($T327:$AK327))))</f>
      </c>
      <c r="AY327" s="0">
        <f>MAX(0,MIN(AG327,BX327-SUMPRODUCT(($T$2:$AK$2&lt;AG$2)*($T327:$AK327))))</f>
      </c>
      <c r="AZ327" s="0">
        <f>MAX(0,MIN(AH327,BX327-SUMPRODUCT(($T$2:$AK$2&lt;AH$2)*($T327:$AK327))))</f>
      </c>
      <c r="BA327" s="0">
        <f>MAX(0,MIN(AI327,BX327-SUMPRODUCT(($T$2:$AK$2&lt;AI$2)*($T327:$AK327))))</f>
      </c>
      <c r="BB327" s="0">
        <f>MAX(0,MIN(AJ327,BX327-SUMPRODUCT(($T$2:$AK$2&lt;AJ$2)*($T327:$AK327))))</f>
      </c>
      <c r="BC327" s="0">
        <f>MAX(0,MIN(AK327,BX327-SUMPRODUCT(($T$2:$AK$2&lt;AK$2)*($T327:$AK327))))</f>
      </c>
      <c r="BD327" s="0">
        <f>T327-AL327</f>
      </c>
      <c r="BE327" s="0">
        <f>U327-AM327</f>
      </c>
      <c r="BF327" s="0">
        <f>V327-AN327</f>
      </c>
      <c r="BG327" s="0">
        <f>W327-AO327</f>
      </c>
      <c r="BH327" s="0">
        <f>X327-AP327</f>
      </c>
      <c r="BI327" s="0">
        <f>Y327-AQ327</f>
      </c>
      <c r="BJ327" s="0">
        <f>Z327-AR327</f>
      </c>
      <c r="BK327" s="0">
        <f>AA327-AS327</f>
      </c>
      <c r="BL327" s="0">
        <f>AB327-AT327</f>
      </c>
      <c r="BM327" s="0">
        <f>AC327-AU327</f>
      </c>
      <c r="BN327" s="0">
        <f>AD327-AV327</f>
      </c>
      <c r="BO327" s="0">
        <f>AE327-AW327</f>
      </c>
      <c r="BP327" s="0">
        <f>AF327-AX327</f>
      </c>
      <c r="BQ327" s="0">
        <f>AG327-AY327</f>
      </c>
      <c r="BR327" s="0">
        <f>AH327-AZ327</f>
      </c>
      <c r="BS327" s="0">
        <f>AI327-BA327</f>
      </c>
      <c r="BT327" s="0">
        <f>AJ327-BB327</f>
      </c>
      <c r="BU327" s="0">
        <f>AK327-BC327</f>
      </c>
      <c r="BV327" s="0">
        <f>SUM(B327:S327)</f>
      </c>
      <c r="BW327" s="0">
        <f>SUM(T327:AK327)</f>
      </c>
      <c r="BX327" s="0">
        <f>MAX(0,(SUM(Calculator!$E$11:$E$28)+Calculator!$C$6)-BV327+BW327)</f>
      </c>
      <c r="BY327" s="0">
        <f>SUM(BD327:BU327)</f>
      </c>
      <c r="BZ327" s="0">
        <f>BV327-BY326</f>
      </c>
      <c r="CA327" s="0">
        <f>IF(A327&lt;=IF($CD$1=0,999,$CD$1),BY327,NA())</f>
      </c>
      <c r="CB327" s="0">
        <f>IF(A327&lt;=IF($CD$1=0,999,$CD$1),A327,NA())</f>
      </c>
    </row>
    <row r="328">
      <c r="A328" s="0">
        <v>325</v>
      </c>
      <c r="B328" s="0">
        <f>BD327*(1+Calculator!$D$11/100/12)</f>
      </c>
      <c r="C328" s="0">
        <f>BE327*(1+Calculator!$D$12/100/12)</f>
      </c>
      <c r="D328" s="0">
        <f>BF327*(1+Calculator!$D$13/100/12)</f>
      </c>
      <c r="E328" s="0">
        <f>BG327*(1+Calculator!$D$14/100/12)</f>
      </c>
      <c r="F328" s="0">
        <f>BH327*(1+Calculator!$D$15/100/12)</f>
      </c>
      <c r="G328" s="0">
        <f>BI327*(1+Calculator!$D$16/100/12)</f>
      </c>
      <c r="H328" s="0">
        <f>BJ327*(1+Calculator!$D$17/100/12)</f>
      </c>
      <c r="I328" s="0">
        <f>BK327*(1+Calculator!$D$18/100/12)</f>
      </c>
      <c r="J328" s="0">
        <f>BL327*(1+Calculator!$D$19/100/12)</f>
      </c>
      <c r="K328" s="0">
        <f>BM327*(1+Calculator!$D$20/100/12)</f>
      </c>
      <c r="L328" s="0">
        <f>BN327*(1+Calculator!$D$21/100/12)</f>
      </c>
      <c r="M328" s="0">
        <f>BO327*(1+Calculator!$D$22/100/12)</f>
      </c>
      <c r="N328" s="0">
        <f>BP327*(1+Calculator!$D$23/100/12)</f>
      </c>
      <c r="O328" s="0">
        <f>BQ327*(1+Calculator!$D$24/100/12)</f>
      </c>
      <c r="P328" s="0">
        <f>BR327*(1+Calculator!$D$25/100/12)</f>
      </c>
      <c r="Q328" s="0">
        <f>BS327*(1+Calculator!$D$26/100/12)</f>
      </c>
      <c r="R328" s="0">
        <f>BT327*(1+Calculator!$D$27/100/12)</f>
      </c>
      <c r="S328" s="0">
        <f>BU327*(1+Calculator!$D$28/100/12)</f>
      </c>
      <c r="T328" s="0">
        <f>MAX(0,B328-Calculator!$E$11)</f>
      </c>
      <c r="U328" s="0">
        <f>MAX(0,C328-Calculator!$E$12)</f>
      </c>
      <c r="V328" s="0">
        <f>MAX(0,D328-Calculator!$E$13)</f>
      </c>
      <c r="W328" s="0">
        <f>MAX(0,E328-Calculator!$E$14)</f>
      </c>
      <c r="X328" s="0">
        <f>MAX(0,F328-Calculator!$E$15)</f>
      </c>
      <c r="Y328" s="0">
        <f>MAX(0,G328-Calculator!$E$16)</f>
      </c>
      <c r="Z328" s="0">
        <f>MAX(0,H328-Calculator!$E$17)</f>
      </c>
      <c r="AA328" s="0">
        <f>MAX(0,I328-Calculator!$E$18)</f>
      </c>
      <c r="AB328" s="0">
        <f>MAX(0,J328-Calculator!$E$19)</f>
      </c>
      <c r="AC328" s="0">
        <f>MAX(0,K328-Calculator!$E$20)</f>
      </c>
      <c r="AD328" s="0">
        <f>MAX(0,L328-Calculator!$E$21)</f>
      </c>
      <c r="AE328" s="0">
        <f>MAX(0,M328-Calculator!$E$22)</f>
      </c>
      <c r="AF328" s="0">
        <f>MAX(0,N328-Calculator!$E$23)</f>
      </c>
      <c r="AG328" s="0">
        <f>MAX(0,O328-Calculator!$E$24)</f>
      </c>
      <c r="AH328" s="0">
        <f>MAX(0,P328-Calculator!$E$25)</f>
      </c>
      <c r="AI328" s="0">
        <f>MAX(0,Q328-Calculator!$E$26)</f>
      </c>
      <c r="AJ328" s="0">
        <f>MAX(0,R328-Calculator!$E$27)</f>
      </c>
      <c r="AK328" s="0">
        <f>MAX(0,S328-Calculator!$E$28)</f>
      </c>
      <c r="AL328" s="0">
        <f>MAX(0,MIN(T328,BX328-SUMPRODUCT(($T$2:$AK$2&lt;T$2)*($T328:$AK328))))</f>
      </c>
      <c r="AM328" s="0">
        <f>MAX(0,MIN(U328,BX328-SUMPRODUCT(($T$2:$AK$2&lt;U$2)*($T328:$AK328))))</f>
      </c>
      <c r="AN328" s="0">
        <f>MAX(0,MIN(V328,BX328-SUMPRODUCT(($T$2:$AK$2&lt;V$2)*($T328:$AK328))))</f>
      </c>
      <c r="AO328" s="0">
        <f>MAX(0,MIN(W328,BX328-SUMPRODUCT(($T$2:$AK$2&lt;W$2)*($T328:$AK328))))</f>
      </c>
      <c r="AP328" s="0">
        <f>MAX(0,MIN(X328,BX328-SUMPRODUCT(($T$2:$AK$2&lt;X$2)*($T328:$AK328))))</f>
      </c>
      <c r="AQ328" s="0">
        <f>MAX(0,MIN(Y328,BX328-SUMPRODUCT(($T$2:$AK$2&lt;Y$2)*($T328:$AK328))))</f>
      </c>
      <c r="AR328" s="0">
        <f>MAX(0,MIN(Z328,BX328-SUMPRODUCT(($T$2:$AK$2&lt;Z$2)*($T328:$AK328))))</f>
      </c>
      <c r="AS328" s="0">
        <f>MAX(0,MIN(AA328,BX328-SUMPRODUCT(($T$2:$AK$2&lt;AA$2)*($T328:$AK328))))</f>
      </c>
      <c r="AT328" s="0">
        <f>MAX(0,MIN(AB328,BX328-SUMPRODUCT(($T$2:$AK$2&lt;AB$2)*($T328:$AK328))))</f>
      </c>
      <c r="AU328" s="0">
        <f>MAX(0,MIN(AC328,BX328-SUMPRODUCT(($T$2:$AK$2&lt;AC$2)*($T328:$AK328))))</f>
      </c>
      <c r="AV328" s="0">
        <f>MAX(0,MIN(AD328,BX328-SUMPRODUCT(($T$2:$AK$2&lt;AD$2)*($T328:$AK328))))</f>
      </c>
      <c r="AW328" s="0">
        <f>MAX(0,MIN(AE328,BX328-SUMPRODUCT(($T$2:$AK$2&lt;AE$2)*($T328:$AK328))))</f>
      </c>
      <c r="AX328" s="0">
        <f>MAX(0,MIN(AF328,BX328-SUMPRODUCT(($T$2:$AK$2&lt;AF$2)*($T328:$AK328))))</f>
      </c>
      <c r="AY328" s="0">
        <f>MAX(0,MIN(AG328,BX328-SUMPRODUCT(($T$2:$AK$2&lt;AG$2)*($T328:$AK328))))</f>
      </c>
      <c r="AZ328" s="0">
        <f>MAX(0,MIN(AH328,BX328-SUMPRODUCT(($T$2:$AK$2&lt;AH$2)*($T328:$AK328))))</f>
      </c>
      <c r="BA328" s="0">
        <f>MAX(0,MIN(AI328,BX328-SUMPRODUCT(($T$2:$AK$2&lt;AI$2)*($T328:$AK328))))</f>
      </c>
      <c r="BB328" s="0">
        <f>MAX(0,MIN(AJ328,BX328-SUMPRODUCT(($T$2:$AK$2&lt;AJ$2)*($T328:$AK328))))</f>
      </c>
      <c r="BC328" s="0">
        <f>MAX(0,MIN(AK328,BX328-SUMPRODUCT(($T$2:$AK$2&lt;AK$2)*($T328:$AK328))))</f>
      </c>
      <c r="BD328" s="0">
        <f>T328-AL328</f>
      </c>
      <c r="BE328" s="0">
        <f>U328-AM328</f>
      </c>
      <c r="BF328" s="0">
        <f>V328-AN328</f>
      </c>
      <c r="BG328" s="0">
        <f>W328-AO328</f>
      </c>
      <c r="BH328" s="0">
        <f>X328-AP328</f>
      </c>
      <c r="BI328" s="0">
        <f>Y328-AQ328</f>
      </c>
      <c r="BJ328" s="0">
        <f>Z328-AR328</f>
      </c>
      <c r="BK328" s="0">
        <f>AA328-AS328</f>
      </c>
      <c r="BL328" s="0">
        <f>AB328-AT328</f>
      </c>
      <c r="BM328" s="0">
        <f>AC328-AU328</f>
      </c>
      <c r="BN328" s="0">
        <f>AD328-AV328</f>
      </c>
      <c r="BO328" s="0">
        <f>AE328-AW328</f>
      </c>
      <c r="BP328" s="0">
        <f>AF328-AX328</f>
      </c>
      <c r="BQ328" s="0">
        <f>AG328-AY328</f>
      </c>
      <c r="BR328" s="0">
        <f>AH328-AZ328</f>
      </c>
      <c r="BS328" s="0">
        <f>AI328-BA328</f>
      </c>
      <c r="BT328" s="0">
        <f>AJ328-BB328</f>
      </c>
      <c r="BU328" s="0">
        <f>AK328-BC328</f>
      </c>
      <c r="BV328" s="0">
        <f>SUM(B328:S328)</f>
      </c>
      <c r="BW328" s="0">
        <f>SUM(T328:AK328)</f>
      </c>
      <c r="BX328" s="0">
        <f>MAX(0,(SUM(Calculator!$E$11:$E$28)+Calculator!$C$6)-BV328+BW328)</f>
      </c>
      <c r="BY328" s="0">
        <f>SUM(BD328:BU328)</f>
      </c>
      <c r="BZ328" s="0">
        <f>BV328-BY327</f>
      </c>
      <c r="CA328" s="0">
        <f>IF(A328&lt;=IF($CD$1=0,999,$CD$1),BY328,NA())</f>
      </c>
      <c r="CB328" s="0">
        <f>IF(A328&lt;=IF($CD$1=0,999,$CD$1),A328,NA())</f>
      </c>
    </row>
    <row r="329">
      <c r="A329" s="0">
        <v>326</v>
      </c>
      <c r="B329" s="0">
        <f>BD328*(1+Calculator!$D$11/100/12)</f>
      </c>
      <c r="C329" s="0">
        <f>BE328*(1+Calculator!$D$12/100/12)</f>
      </c>
      <c r="D329" s="0">
        <f>BF328*(1+Calculator!$D$13/100/12)</f>
      </c>
      <c r="E329" s="0">
        <f>BG328*(1+Calculator!$D$14/100/12)</f>
      </c>
      <c r="F329" s="0">
        <f>BH328*(1+Calculator!$D$15/100/12)</f>
      </c>
      <c r="G329" s="0">
        <f>BI328*(1+Calculator!$D$16/100/12)</f>
      </c>
      <c r="H329" s="0">
        <f>BJ328*(1+Calculator!$D$17/100/12)</f>
      </c>
      <c r="I329" s="0">
        <f>BK328*(1+Calculator!$D$18/100/12)</f>
      </c>
      <c r="J329" s="0">
        <f>BL328*(1+Calculator!$D$19/100/12)</f>
      </c>
      <c r="K329" s="0">
        <f>BM328*(1+Calculator!$D$20/100/12)</f>
      </c>
      <c r="L329" s="0">
        <f>BN328*(1+Calculator!$D$21/100/12)</f>
      </c>
      <c r="M329" s="0">
        <f>BO328*(1+Calculator!$D$22/100/12)</f>
      </c>
      <c r="N329" s="0">
        <f>BP328*(1+Calculator!$D$23/100/12)</f>
      </c>
      <c r="O329" s="0">
        <f>BQ328*(1+Calculator!$D$24/100/12)</f>
      </c>
      <c r="P329" s="0">
        <f>BR328*(1+Calculator!$D$25/100/12)</f>
      </c>
      <c r="Q329" s="0">
        <f>BS328*(1+Calculator!$D$26/100/12)</f>
      </c>
      <c r="R329" s="0">
        <f>BT328*(1+Calculator!$D$27/100/12)</f>
      </c>
      <c r="S329" s="0">
        <f>BU328*(1+Calculator!$D$28/100/12)</f>
      </c>
      <c r="T329" s="0">
        <f>MAX(0,B329-Calculator!$E$11)</f>
      </c>
      <c r="U329" s="0">
        <f>MAX(0,C329-Calculator!$E$12)</f>
      </c>
      <c r="V329" s="0">
        <f>MAX(0,D329-Calculator!$E$13)</f>
      </c>
      <c r="W329" s="0">
        <f>MAX(0,E329-Calculator!$E$14)</f>
      </c>
      <c r="X329" s="0">
        <f>MAX(0,F329-Calculator!$E$15)</f>
      </c>
      <c r="Y329" s="0">
        <f>MAX(0,G329-Calculator!$E$16)</f>
      </c>
      <c r="Z329" s="0">
        <f>MAX(0,H329-Calculator!$E$17)</f>
      </c>
      <c r="AA329" s="0">
        <f>MAX(0,I329-Calculator!$E$18)</f>
      </c>
      <c r="AB329" s="0">
        <f>MAX(0,J329-Calculator!$E$19)</f>
      </c>
      <c r="AC329" s="0">
        <f>MAX(0,K329-Calculator!$E$20)</f>
      </c>
      <c r="AD329" s="0">
        <f>MAX(0,L329-Calculator!$E$21)</f>
      </c>
      <c r="AE329" s="0">
        <f>MAX(0,M329-Calculator!$E$22)</f>
      </c>
      <c r="AF329" s="0">
        <f>MAX(0,N329-Calculator!$E$23)</f>
      </c>
      <c r="AG329" s="0">
        <f>MAX(0,O329-Calculator!$E$24)</f>
      </c>
      <c r="AH329" s="0">
        <f>MAX(0,P329-Calculator!$E$25)</f>
      </c>
      <c r="AI329" s="0">
        <f>MAX(0,Q329-Calculator!$E$26)</f>
      </c>
      <c r="AJ329" s="0">
        <f>MAX(0,R329-Calculator!$E$27)</f>
      </c>
      <c r="AK329" s="0">
        <f>MAX(0,S329-Calculator!$E$28)</f>
      </c>
      <c r="AL329" s="0">
        <f>MAX(0,MIN(T329,BX329-SUMPRODUCT(($T$2:$AK$2&lt;T$2)*($T329:$AK329))))</f>
      </c>
      <c r="AM329" s="0">
        <f>MAX(0,MIN(U329,BX329-SUMPRODUCT(($T$2:$AK$2&lt;U$2)*($T329:$AK329))))</f>
      </c>
      <c r="AN329" s="0">
        <f>MAX(0,MIN(V329,BX329-SUMPRODUCT(($T$2:$AK$2&lt;V$2)*($T329:$AK329))))</f>
      </c>
      <c r="AO329" s="0">
        <f>MAX(0,MIN(W329,BX329-SUMPRODUCT(($T$2:$AK$2&lt;W$2)*($T329:$AK329))))</f>
      </c>
      <c r="AP329" s="0">
        <f>MAX(0,MIN(X329,BX329-SUMPRODUCT(($T$2:$AK$2&lt;X$2)*($T329:$AK329))))</f>
      </c>
      <c r="AQ329" s="0">
        <f>MAX(0,MIN(Y329,BX329-SUMPRODUCT(($T$2:$AK$2&lt;Y$2)*($T329:$AK329))))</f>
      </c>
      <c r="AR329" s="0">
        <f>MAX(0,MIN(Z329,BX329-SUMPRODUCT(($T$2:$AK$2&lt;Z$2)*($T329:$AK329))))</f>
      </c>
      <c r="AS329" s="0">
        <f>MAX(0,MIN(AA329,BX329-SUMPRODUCT(($T$2:$AK$2&lt;AA$2)*($T329:$AK329))))</f>
      </c>
      <c r="AT329" s="0">
        <f>MAX(0,MIN(AB329,BX329-SUMPRODUCT(($T$2:$AK$2&lt;AB$2)*($T329:$AK329))))</f>
      </c>
      <c r="AU329" s="0">
        <f>MAX(0,MIN(AC329,BX329-SUMPRODUCT(($T$2:$AK$2&lt;AC$2)*($T329:$AK329))))</f>
      </c>
      <c r="AV329" s="0">
        <f>MAX(0,MIN(AD329,BX329-SUMPRODUCT(($T$2:$AK$2&lt;AD$2)*($T329:$AK329))))</f>
      </c>
      <c r="AW329" s="0">
        <f>MAX(0,MIN(AE329,BX329-SUMPRODUCT(($T$2:$AK$2&lt;AE$2)*($T329:$AK329))))</f>
      </c>
      <c r="AX329" s="0">
        <f>MAX(0,MIN(AF329,BX329-SUMPRODUCT(($T$2:$AK$2&lt;AF$2)*($T329:$AK329))))</f>
      </c>
      <c r="AY329" s="0">
        <f>MAX(0,MIN(AG329,BX329-SUMPRODUCT(($T$2:$AK$2&lt;AG$2)*($T329:$AK329))))</f>
      </c>
      <c r="AZ329" s="0">
        <f>MAX(0,MIN(AH329,BX329-SUMPRODUCT(($T$2:$AK$2&lt;AH$2)*($T329:$AK329))))</f>
      </c>
      <c r="BA329" s="0">
        <f>MAX(0,MIN(AI329,BX329-SUMPRODUCT(($T$2:$AK$2&lt;AI$2)*($T329:$AK329))))</f>
      </c>
      <c r="BB329" s="0">
        <f>MAX(0,MIN(AJ329,BX329-SUMPRODUCT(($T$2:$AK$2&lt;AJ$2)*($T329:$AK329))))</f>
      </c>
      <c r="BC329" s="0">
        <f>MAX(0,MIN(AK329,BX329-SUMPRODUCT(($T$2:$AK$2&lt;AK$2)*($T329:$AK329))))</f>
      </c>
      <c r="BD329" s="0">
        <f>T329-AL329</f>
      </c>
      <c r="BE329" s="0">
        <f>U329-AM329</f>
      </c>
      <c r="BF329" s="0">
        <f>V329-AN329</f>
      </c>
      <c r="BG329" s="0">
        <f>W329-AO329</f>
      </c>
      <c r="BH329" s="0">
        <f>X329-AP329</f>
      </c>
      <c r="BI329" s="0">
        <f>Y329-AQ329</f>
      </c>
      <c r="BJ329" s="0">
        <f>Z329-AR329</f>
      </c>
      <c r="BK329" s="0">
        <f>AA329-AS329</f>
      </c>
      <c r="BL329" s="0">
        <f>AB329-AT329</f>
      </c>
      <c r="BM329" s="0">
        <f>AC329-AU329</f>
      </c>
      <c r="BN329" s="0">
        <f>AD329-AV329</f>
      </c>
      <c r="BO329" s="0">
        <f>AE329-AW329</f>
      </c>
      <c r="BP329" s="0">
        <f>AF329-AX329</f>
      </c>
      <c r="BQ329" s="0">
        <f>AG329-AY329</f>
      </c>
      <c r="BR329" s="0">
        <f>AH329-AZ329</f>
      </c>
      <c r="BS329" s="0">
        <f>AI329-BA329</f>
      </c>
      <c r="BT329" s="0">
        <f>AJ329-BB329</f>
      </c>
      <c r="BU329" s="0">
        <f>AK329-BC329</f>
      </c>
      <c r="BV329" s="0">
        <f>SUM(B329:S329)</f>
      </c>
      <c r="BW329" s="0">
        <f>SUM(T329:AK329)</f>
      </c>
      <c r="BX329" s="0">
        <f>MAX(0,(SUM(Calculator!$E$11:$E$28)+Calculator!$C$6)-BV329+BW329)</f>
      </c>
      <c r="BY329" s="0">
        <f>SUM(BD329:BU329)</f>
      </c>
      <c r="BZ329" s="0">
        <f>BV329-BY328</f>
      </c>
      <c r="CA329" s="0">
        <f>IF(A329&lt;=IF($CD$1=0,999,$CD$1),BY329,NA())</f>
      </c>
      <c r="CB329" s="0">
        <f>IF(A329&lt;=IF($CD$1=0,999,$CD$1),A329,NA())</f>
      </c>
    </row>
    <row r="330">
      <c r="A330" s="0">
        <v>327</v>
      </c>
      <c r="B330" s="0">
        <f>BD329*(1+Calculator!$D$11/100/12)</f>
      </c>
      <c r="C330" s="0">
        <f>BE329*(1+Calculator!$D$12/100/12)</f>
      </c>
      <c r="D330" s="0">
        <f>BF329*(1+Calculator!$D$13/100/12)</f>
      </c>
      <c r="E330" s="0">
        <f>BG329*(1+Calculator!$D$14/100/12)</f>
      </c>
      <c r="F330" s="0">
        <f>BH329*(1+Calculator!$D$15/100/12)</f>
      </c>
      <c r="G330" s="0">
        <f>BI329*(1+Calculator!$D$16/100/12)</f>
      </c>
      <c r="H330" s="0">
        <f>BJ329*(1+Calculator!$D$17/100/12)</f>
      </c>
      <c r="I330" s="0">
        <f>BK329*(1+Calculator!$D$18/100/12)</f>
      </c>
      <c r="J330" s="0">
        <f>BL329*(1+Calculator!$D$19/100/12)</f>
      </c>
      <c r="K330" s="0">
        <f>BM329*(1+Calculator!$D$20/100/12)</f>
      </c>
      <c r="L330" s="0">
        <f>BN329*(1+Calculator!$D$21/100/12)</f>
      </c>
      <c r="M330" s="0">
        <f>BO329*(1+Calculator!$D$22/100/12)</f>
      </c>
      <c r="N330" s="0">
        <f>BP329*(1+Calculator!$D$23/100/12)</f>
      </c>
      <c r="O330" s="0">
        <f>BQ329*(1+Calculator!$D$24/100/12)</f>
      </c>
      <c r="P330" s="0">
        <f>BR329*(1+Calculator!$D$25/100/12)</f>
      </c>
      <c r="Q330" s="0">
        <f>BS329*(1+Calculator!$D$26/100/12)</f>
      </c>
      <c r="R330" s="0">
        <f>BT329*(1+Calculator!$D$27/100/12)</f>
      </c>
      <c r="S330" s="0">
        <f>BU329*(1+Calculator!$D$28/100/12)</f>
      </c>
      <c r="T330" s="0">
        <f>MAX(0,B330-Calculator!$E$11)</f>
      </c>
      <c r="U330" s="0">
        <f>MAX(0,C330-Calculator!$E$12)</f>
      </c>
      <c r="V330" s="0">
        <f>MAX(0,D330-Calculator!$E$13)</f>
      </c>
      <c r="W330" s="0">
        <f>MAX(0,E330-Calculator!$E$14)</f>
      </c>
      <c r="X330" s="0">
        <f>MAX(0,F330-Calculator!$E$15)</f>
      </c>
      <c r="Y330" s="0">
        <f>MAX(0,G330-Calculator!$E$16)</f>
      </c>
      <c r="Z330" s="0">
        <f>MAX(0,H330-Calculator!$E$17)</f>
      </c>
      <c r="AA330" s="0">
        <f>MAX(0,I330-Calculator!$E$18)</f>
      </c>
      <c r="AB330" s="0">
        <f>MAX(0,J330-Calculator!$E$19)</f>
      </c>
      <c r="AC330" s="0">
        <f>MAX(0,K330-Calculator!$E$20)</f>
      </c>
      <c r="AD330" s="0">
        <f>MAX(0,L330-Calculator!$E$21)</f>
      </c>
      <c r="AE330" s="0">
        <f>MAX(0,M330-Calculator!$E$22)</f>
      </c>
      <c r="AF330" s="0">
        <f>MAX(0,N330-Calculator!$E$23)</f>
      </c>
      <c r="AG330" s="0">
        <f>MAX(0,O330-Calculator!$E$24)</f>
      </c>
      <c r="AH330" s="0">
        <f>MAX(0,P330-Calculator!$E$25)</f>
      </c>
      <c r="AI330" s="0">
        <f>MAX(0,Q330-Calculator!$E$26)</f>
      </c>
      <c r="AJ330" s="0">
        <f>MAX(0,R330-Calculator!$E$27)</f>
      </c>
      <c r="AK330" s="0">
        <f>MAX(0,S330-Calculator!$E$28)</f>
      </c>
      <c r="AL330" s="0">
        <f>MAX(0,MIN(T330,BX330-SUMPRODUCT(($T$2:$AK$2&lt;T$2)*($T330:$AK330))))</f>
      </c>
      <c r="AM330" s="0">
        <f>MAX(0,MIN(U330,BX330-SUMPRODUCT(($T$2:$AK$2&lt;U$2)*($T330:$AK330))))</f>
      </c>
      <c r="AN330" s="0">
        <f>MAX(0,MIN(V330,BX330-SUMPRODUCT(($T$2:$AK$2&lt;V$2)*($T330:$AK330))))</f>
      </c>
      <c r="AO330" s="0">
        <f>MAX(0,MIN(W330,BX330-SUMPRODUCT(($T$2:$AK$2&lt;W$2)*($T330:$AK330))))</f>
      </c>
      <c r="AP330" s="0">
        <f>MAX(0,MIN(X330,BX330-SUMPRODUCT(($T$2:$AK$2&lt;X$2)*($T330:$AK330))))</f>
      </c>
      <c r="AQ330" s="0">
        <f>MAX(0,MIN(Y330,BX330-SUMPRODUCT(($T$2:$AK$2&lt;Y$2)*($T330:$AK330))))</f>
      </c>
      <c r="AR330" s="0">
        <f>MAX(0,MIN(Z330,BX330-SUMPRODUCT(($T$2:$AK$2&lt;Z$2)*($T330:$AK330))))</f>
      </c>
      <c r="AS330" s="0">
        <f>MAX(0,MIN(AA330,BX330-SUMPRODUCT(($T$2:$AK$2&lt;AA$2)*($T330:$AK330))))</f>
      </c>
      <c r="AT330" s="0">
        <f>MAX(0,MIN(AB330,BX330-SUMPRODUCT(($T$2:$AK$2&lt;AB$2)*($T330:$AK330))))</f>
      </c>
      <c r="AU330" s="0">
        <f>MAX(0,MIN(AC330,BX330-SUMPRODUCT(($T$2:$AK$2&lt;AC$2)*($T330:$AK330))))</f>
      </c>
      <c r="AV330" s="0">
        <f>MAX(0,MIN(AD330,BX330-SUMPRODUCT(($T$2:$AK$2&lt;AD$2)*($T330:$AK330))))</f>
      </c>
      <c r="AW330" s="0">
        <f>MAX(0,MIN(AE330,BX330-SUMPRODUCT(($T$2:$AK$2&lt;AE$2)*($T330:$AK330))))</f>
      </c>
      <c r="AX330" s="0">
        <f>MAX(0,MIN(AF330,BX330-SUMPRODUCT(($T$2:$AK$2&lt;AF$2)*($T330:$AK330))))</f>
      </c>
      <c r="AY330" s="0">
        <f>MAX(0,MIN(AG330,BX330-SUMPRODUCT(($T$2:$AK$2&lt;AG$2)*($T330:$AK330))))</f>
      </c>
      <c r="AZ330" s="0">
        <f>MAX(0,MIN(AH330,BX330-SUMPRODUCT(($T$2:$AK$2&lt;AH$2)*($T330:$AK330))))</f>
      </c>
      <c r="BA330" s="0">
        <f>MAX(0,MIN(AI330,BX330-SUMPRODUCT(($T$2:$AK$2&lt;AI$2)*($T330:$AK330))))</f>
      </c>
      <c r="BB330" s="0">
        <f>MAX(0,MIN(AJ330,BX330-SUMPRODUCT(($T$2:$AK$2&lt;AJ$2)*($T330:$AK330))))</f>
      </c>
      <c r="BC330" s="0">
        <f>MAX(0,MIN(AK330,BX330-SUMPRODUCT(($T$2:$AK$2&lt;AK$2)*($T330:$AK330))))</f>
      </c>
      <c r="BD330" s="0">
        <f>T330-AL330</f>
      </c>
      <c r="BE330" s="0">
        <f>U330-AM330</f>
      </c>
      <c r="BF330" s="0">
        <f>V330-AN330</f>
      </c>
      <c r="BG330" s="0">
        <f>W330-AO330</f>
      </c>
      <c r="BH330" s="0">
        <f>X330-AP330</f>
      </c>
      <c r="BI330" s="0">
        <f>Y330-AQ330</f>
      </c>
      <c r="BJ330" s="0">
        <f>Z330-AR330</f>
      </c>
      <c r="BK330" s="0">
        <f>AA330-AS330</f>
      </c>
      <c r="BL330" s="0">
        <f>AB330-AT330</f>
      </c>
      <c r="BM330" s="0">
        <f>AC330-AU330</f>
      </c>
      <c r="BN330" s="0">
        <f>AD330-AV330</f>
      </c>
      <c r="BO330" s="0">
        <f>AE330-AW330</f>
      </c>
      <c r="BP330" s="0">
        <f>AF330-AX330</f>
      </c>
      <c r="BQ330" s="0">
        <f>AG330-AY330</f>
      </c>
      <c r="BR330" s="0">
        <f>AH330-AZ330</f>
      </c>
      <c r="BS330" s="0">
        <f>AI330-BA330</f>
      </c>
      <c r="BT330" s="0">
        <f>AJ330-BB330</f>
      </c>
      <c r="BU330" s="0">
        <f>AK330-BC330</f>
      </c>
      <c r="BV330" s="0">
        <f>SUM(B330:S330)</f>
      </c>
      <c r="BW330" s="0">
        <f>SUM(T330:AK330)</f>
      </c>
      <c r="BX330" s="0">
        <f>MAX(0,(SUM(Calculator!$E$11:$E$28)+Calculator!$C$6)-BV330+BW330)</f>
      </c>
      <c r="BY330" s="0">
        <f>SUM(BD330:BU330)</f>
      </c>
      <c r="BZ330" s="0">
        <f>BV330-BY329</f>
      </c>
      <c r="CA330" s="0">
        <f>IF(A330&lt;=IF($CD$1=0,999,$CD$1),BY330,NA())</f>
      </c>
      <c r="CB330" s="0">
        <f>IF(A330&lt;=IF($CD$1=0,999,$CD$1),A330,NA())</f>
      </c>
    </row>
    <row r="331">
      <c r="A331" s="0">
        <v>328</v>
      </c>
      <c r="B331" s="0">
        <f>BD330*(1+Calculator!$D$11/100/12)</f>
      </c>
      <c r="C331" s="0">
        <f>BE330*(1+Calculator!$D$12/100/12)</f>
      </c>
      <c r="D331" s="0">
        <f>BF330*(1+Calculator!$D$13/100/12)</f>
      </c>
      <c r="E331" s="0">
        <f>BG330*(1+Calculator!$D$14/100/12)</f>
      </c>
      <c r="F331" s="0">
        <f>BH330*(1+Calculator!$D$15/100/12)</f>
      </c>
      <c r="G331" s="0">
        <f>BI330*(1+Calculator!$D$16/100/12)</f>
      </c>
      <c r="H331" s="0">
        <f>BJ330*(1+Calculator!$D$17/100/12)</f>
      </c>
      <c r="I331" s="0">
        <f>BK330*(1+Calculator!$D$18/100/12)</f>
      </c>
      <c r="J331" s="0">
        <f>BL330*(1+Calculator!$D$19/100/12)</f>
      </c>
      <c r="K331" s="0">
        <f>BM330*(1+Calculator!$D$20/100/12)</f>
      </c>
      <c r="L331" s="0">
        <f>BN330*(1+Calculator!$D$21/100/12)</f>
      </c>
      <c r="M331" s="0">
        <f>BO330*(1+Calculator!$D$22/100/12)</f>
      </c>
      <c r="N331" s="0">
        <f>BP330*(1+Calculator!$D$23/100/12)</f>
      </c>
      <c r="O331" s="0">
        <f>BQ330*(1+Calculator!$D$24/100/12)</f>
      </c>
      <c r="P331" s="0">
        <f>BR330*(1+Calculator!$D$25/100/12)</f>
      </c>
      <c r="Q331" s="0">
        <f>BS330*(1+Calculator!$D$26/100/12)</f>
      </c>
      <c r="R331" s="0">
        <f>BT330*(1+Calculator!$D$27/100/12)</f>
      </c>
      <c r="S331" s="0">
        <f>BU330*(1+Calculator!$D$28/100/12)</f>
      </c>
      <c r="T331" s="0">
        <f>MAX(0,B331-Calculator!$E$11)</f>
      </c>
      <c r="U331" s="0">
        <f>MAX(0,C331-Calculator!$E$12)</f>
      </c>
      <c r="V331" s="0">
        <f>MAX(0,D331-Calculator!$E$13)</f>
      </c>
      <c r="W331" s="0">
        <f>MAX(0,E331-Calculator!$E$14)</f>
      </c>
      <c r="X331" s="0">
        <f>MAX(0,F331-Calculator!$E$15)</f>
      </c>
      <c r="Y331" s="0">
        <f>MAX(0,G331-Calculator!$E$16)</f>
      </c>
      <c r="Z331" s="0">
        <f>MAX(0,H331-Calculator!$E$17)</f>
      </c>
      <c r="AA331" s="0">
        <f>MAX(0,I331-Calculator!$E$18)</f>
      </c>
      <c r="AB331" s="0">
        <f>MAX(0,J331-Calculator!$E$19)</f>
      </c>
      <c r="AC331" s="0">
        <f>MAX(0,K331-Calculator!$E$20)</f>
      </c>
      <c r="AD331" s="0">
        <f>MAX(0,L331-Calculator!$E$21)</f>
      </c>
      <c r="AE331" s="0">
        <f>MAX(0,M331-Calculator!$E$22)</f>
      </c>
      <c r="AF331" s="0">
        <f>MAX(0,N331-Calculator!$E$23)</f>
      </c>
      <c r="AG331" s="0">
        <f>MAX(0,O331-Calculator!$E$24)</f>
      </c>
      <c r="AH331" s="0">
        <f>MAX(0,P331-Calculator!$E$25)</f>
      </c>
      <c r="AI331" s="0">
        <f>MAX(0,Q331-Calculator!$E$26)</f>
      </c>
      <c r="AJ331" s="0">
        <f>MAX(0,R331-Calculator!$E$27)</f>
      </c>
      <c r="AK331" s="0">
        <f>MAX(0,S331-Calculator!$E$28)</f>
      </c>
      <c r="AL331" s="0">
        <f>MAX(0,MIN(T331,BX331-SUMPRODUCT(($T$2:$AK$2&lt;T$2)*($T331:$AK331))))</f>
      </c>
      <c r="AM331" s="0">
        <f>MAX(0,MIN(U331,BX331-SUMPRODUCT(($T$2:$AK$2&lt;U$2)*($T331:$AK331))))</f>
      </c>
      <c r="AN331" s="0">
        <f>MAX(0,MIN(V331,BX331-SUMPRODUCT(($T$2:$AK$2&lt;V$2)*($T331:$AK331))))</f>
      </c>
      <c r="AO331" s="0">
        <f>MAX(0,MIN(W331,BX331-SUMPRODUCT(($T$2:$AK$2&lt;W$2)*($T331:$AK331))))</f>
      </c>
      <c r="AP331" s="0">
        <f>MAX(0,MIN(X331,BX331-SUMPRODUCT(($T$2:$AK$2&lt;X$2)*($T331:$AK331))))</f>
      </c>
      <c r="AQ331" s="0">
        <f>MAX(0,MIN(Y331,BX331-SUMPRODUCT(($T$2:$AK$2&lt;Y$2)*($T331:$AK331))))</f>
      </c>
      <c r="AR331" s="0">
        <f>MAX(0,MIN(Z331,BX331-SUMPRODUCT(($T$2:$AK$2&lt;Z$2)*($T331:$AK331))))</f>
      </c>
      <c r="AS331" s="0">
        <f>MAX(0,MIN(AA331,BX331-SUMPRODUCT(($T$2:$AK$2&lt;AA$2)*($T331:$AK331))))</f>
      </c>
      <c r="AT331" s="0">
        <f>MAX(0,MIN(AB331,BX331-SUMPRODUCT(($T$2:$AK$2&lt;AB$2)*($T331:$AK331))))</f>
      </c>
      <c r="AU331" s="0">
        <f>MAX(0,MIN(AC331,BX331-SUMPRODUCT(($T$2:$AK$2&lt;AC$2)*($T331:$AK331))))</f>
      </c>
      <c r="AV331" s="0">
        <f>MAX(0,MIN(AD331,BX331-SUMPRODUCT(($T$2:$AK$2&lt;AD$2)*($T331:$AK331))))</f>
      </c>
      <c r="AW331" s="0">
        <f>MAX(0,MIN(AE331,BX331-SUMPRODUCT(($T$2:$AK$2&lt;AE$2)*($T331:$AK331))))</f>
      </c>
      <c r="AX331" s="0">
        <f>MAX(0,MIN(AF331,BX331-SUMPRODUCT(($T$2:$AK$2&lt;AF$2)*($T331:$AK331))))</f>
      </c>
      <c r="AY331" s="0">
        <f>MAX(0,MIN(AG331,BX331-SUMPRODUCT(($T$2:$AK$2&lt;AG$2)*($T331:$AK331))))</f>
      </c>
      <c r="AZ331" s="0">
        <f>MAX(0,MIN(AH331,BX331-SUMPRODUCT(($T$2:$AK$2&lt;AH$2)*($T331:$AK331))))</f>
      </c>
      <c r="BA331" s="0">
        <f>MAX(0,MIN(AI331,BX331-SUMPRODUCT(($T$2:$AK$2&lt;AI$2)*($T331:$AK331))))</f>
      </c>
      <c r="BB331" s="0">
        <f>MAX(0,MIN(AJ331,BX331-SUMPRODUCT(($T$2:$AK$2&lt;AJ$2)*($T331:$AK331))))</f>
      </c>
      <c r="BC331" s="0">
        <f>MAX(0,MIN(AK331,BX331-SUMPRODUCT(($T$2:$AK$2&lt;AK$2)*($T331:$AK331))))</f>
      </c>
      <c r="BD331" s="0">
        <f>T331-AL331</f>
      </c>
      <c r="BE331" s="0">
        <f>U331-AM331</f>
      </c>
      <c r="BF331" s="0">
        <f>V331-AN331</f>
      </c>
      <c r="BG331" s="0">
        <f>W331-AO331</f>
      </c>
      <c r="BH331" s="0">
        <f>X331-AP331</f>
      </c>
      <c r="BI331" s="0">
        <f>Y331-AQ331</f>
      </c>
      <c r="BJ331" s="0">
        <f>Z331-AR331</f>
      </c>
      <c r="BK331" s="0">
        <f>AA331-AS331</f>
      </c>
      <c r="BL331" s="0">
        <f>AB331-AT331</f>
      </c>
      <c r="BM331" s="0">
        <f>AC331-AU331</f>
      </c>
      <c r="BN331" s="0">
        <f>AD331-AV331</f>
      </c>
      <c r="BO331" s="0">
        <f>AE331-AW331</f>
      </c>
      <c r="BP331" s="0">
        <f>AF331-AX331</f>
      </c>
      <c r="BQ331" s="0">
        <f>AG331-AY331</f>
      </c>
      <c r="BR331" s="0">
        <f>AH331-AZ331</f>
      </c>
      <c r="BS331" s="0">
        <f>AI331-BA331</f>
      </c>
      <c r="BT331" s="0">
        <f>AJ331-BB331</f>
      </c>
      <c r="BU331" s="0">
        <f>AK331-BC331</f>
      </c>
      <c r="BV331" s="0">
        <f>SUM(B331:S331)</f>
      </c>
      <c r="BW331" s="0">
        <f>SUM(T331:AK331)</f>
      </c>
      <c r="BX331" s="0">
        <f>MAX(0,(SUM(Calculator!$E$11:$E$28)+Calculator!$C$6)-BV331+BW331)</f>
      </c>
      <c r="BY331" s="0">
        <f>SUM(BD331:BU331)</f>
      </c>
      <c r="BZ331" s="0">
        <f>BV331-BY330</f>
      </c>
      <c r="CA331" s="0">
        <f>IF(A331&lt;=IF($CD$1=0,999,$CD$1),BY331,NA())</f>
      </c>
      <c r="CB331" s="0">
        <f>IF(A331&lt;=IF($CD$1=0,999,$CD$1),A331,NA())</f>
      </c>
    </row>
    <row r="332">
      <c r="A332" s="0">
        <v>329</v>
      </c>
      <c r="B332" s="0">
        <f>BD331*(1+Calculator!$D$11/100/12)</f>
      </c>
      <c r="C332" s="0">
        <f>BE331*(1+Calculator!$D$12/100/12)</f>
      </c>
      <c r="D332" s="0">
        <f>BF331*(1+Calculator!$D$13/100/12)</f>
      </c>
      <c r="E332" s="0">
        <f>BG331*(1+Calculator!$D$14/100/12)</f>
      </c>
      <c r="F332" s="0">
        <f>BH331*(1+Calculator!$D$15/100/12)</f>
      </c>
      <c r="G332" s="0">
        <f>BI331*(1+Calculator!$D$16/100/12)</f>
      </c>
      <c r="H332" s="0">
        <f>BJ331*(1+Calculator!$D$17/100/12)</f>
      </c>
      <c r="I332" s="0">
        <f>BK331*(1+Calculator!$D$18/100/12)</f>
      </c>
      <c r="J332" s="0">
        <f>BL331*(1+Calculator!$D$19/100/12)</f>
      </c>
      <c r="K332" s="0">
        <f>BM331*(1+Calculator!$D$20/100/12)</f>
      </c>
      <c r="L332" s="0">
        <f>BN331*(1+Calculator!$D$21/100/12)</f>
      </c>
      <c r="M332" s="0">
        <f>BO331*(1+Calculator!$D$22/100/12)</f>
      </c>
      <c r="N332" s="0">
        <f>BP331*(1+Calculator!$D$23/100/12)</f>
      </c>
      <c r="O332" s="0">
        <f>BQ331*(1+Calculator!$D$24/100/12)</f>
      </c>
      <c r="P332" s="0">
        <f>BR331*(1+Calculator!$D$25/100/12)</f>
      </c>
      <c r="Q332" s="0">
        <f>BS331*(1+Calculator!$D$26/100/12)</f>
      </c>
      <c r="R332" s="0">
        <f>BT331*(1+Calculator!$D$27/100/12)</f>
      </c>
      <c r="S332" s="0">
        <f>BU331*(1+Calculator!$D$28/100/12)</f>
      </c>
      <c r="T332" s="0">
        <f>MAX(0,B332-Calculator!$E$11)</f>
      </c>
      <c r="U332" s="0">
        <f>MAX(0,C332-Calculator!$E$12)</f>
      </c>
      <c r="V332" s="0">
        <f>MAX(0,D332-Calculator!$E$13)</f>
      </c>
      <c r="W332" s="0">
        <f>MAX(0,E332-Calculator!$E$14)</f>
      </c>
      <c r="X332" s="0">
        <f>MAX(0,F332-Calculator!$E$15)</f>
      </c>
      <c r="Y332" s="0">
        <f>MAX(0,G332-Calculator!$E$16)</f>
      </c>
      <c r="Z332" s="0">
        <f>MAX(0,H332-Calculator!$E$17)</f>
      </c>
      <c r="AA332" s="0">
        <f>MAX(0,I332-Calculator!$E$18)</f>
      </c>
      <c r="AB332" s="0">
        <f>MAX(0,J332-Calculator!$E$19)</f>
      </c>
      <c r="AC332" s="0">
        <f>MAX(0,K332-Calculator!$E$20)</f>
      </c>
      <c r="AD332" s="0">
        <f>MAX(0,L332-Calculator!$E$21)</f>
      </c>
      <c r="AE332" s="0">
        <f>MAX(0,M332-Calculator!$E$22)</f>
      </c>
      <c r="AF332" s="0">
        <f>MAX(0,N332-Calculator!$E$23)</f>
      </c>
      <c r="AG332" s="0">
        <f>MAX(0,O332-Calculator!$E$24)</f>
      </c>
      <c r="AH332" s="0">
        <f>MAX(0,P332-Calculator!$E$25)</f>
      </c>
      <c r="AI332" s="0">
        <f>MAX(0,Q332-Calculator!$E$26)</f>
      </c>
      <c r="AJ332" s="0">
        <f>MAX(0,R332-Calculator!$E$27)</f>
      </c>
      <c r="AK332" s="0">
        <f>MAX(0,S332-Calculator!$E$28)</f>
      </c>
      <c r="AL332" s="0">
        <f>MAX(0,MIN(T332,BX332-SUMPRODUCT(($T$2:$AK$2&lt;T$2)*($T332:$AK332))))</f>
      </c>
      <c r="AM332" s="0">
        <f>MAX(0,MIN(U332,BX332-SUMPRODUCT(($T$2:$AK$2&lt;U$2)*($T332:$AK332))))</f>
      </c>
      <c r="AN332" s="0">
        <f>MAX(0,MIN(V332,BX332-SUMPRODUCT(($T$2:$AK$2&lt;V$2)*($T332:$AK332))))</f>
      </c>
      <c r="AO332" s="0">
        <f>MAX(0,MIN(W332,BX332-SUMPRODUCT(($T$2:$AK$2&lt;W$2)*($T332:$AK332))))</f>
      </c>
      <c r="AP332" s="0">
        <f>MAX(0,MIN(X332,BX332-SUMPRODUCT(($T$2:$AK$2&lt;X$2)*($T332:$AK332))))</f>
      </c>
      <c r="AQ332" s="0">
        <f>MAX(0,MIN(Y332,BX332-SUMPRODUCT(($T$2:$AK$2&lt;Y$2)*($T332:$AK332))))</f>
      </c>
      <c r="AR332" s="0">
        <f>MAX(0,MIN(Z332,BX332-SUMPRODUCT(($T$2:$AK$2&lt;Z$2)*($T332:$AK332))))</f>
      </c>
      <c r="AS332" s="0">
        <f>MAX(0,MIN(AA332,BX332-SUMPRODUCT(($T$2:$AK$2&lt;AA$2)*($T332:$AK332))))</f>
      </c>
      <c r="AT332" s="0">
        <f>MAX(0,MIN(AB332,BX332-SUMPRODUCT(($T$2:$AK$2&lt;AB$2)*($T332:$AK332))))</f>
      </c>
      <c r="AU332" s="0">
        <f>MAX(0,MIN(AC332,BX332-SUMPRODUCT(($T$2:$AK$2&lt;AC$2)*($T332:$AK332))))</f>
      </c>
      <c r="AV332" s="0">
        <f>MAX(0,MIN(AD332,BX332-SUMPRODUCT(($T$2:$AK$2&lt;AD$2)*($T332:$AK332))))</f>
      </c>
      <c r="AW332" s="0">
        <f>MAX(0,MIN(AE332,BX332-SUMPRODUCT(($T$2:$AK$2&lt;AE$2)*($T332:$AK332))))</f>
      </c>
      <c r="AX332" s="0">
        <f>MAX(0,MIN(AF332,BX332-SUMPRODUCT(($T$2:$AK$2&lt;AF$2)*($T332:$AK332))))</f>
      </c>
      <c r="AY332" s="0">
        <f>MAX(0,MIN(AG332,BX332-SUMPRODUCT(($T$2:$AK$2&lt;AG$2)*($T332:$AK332))))</f>
      </c>
      <c r="AZ332" s="0">
        <f>MAX(0,MIN(AH332,BX332-SUMPRODUCT(($T$2:$AK$2&lt;AH$2)*($T332:$AK332))))</f>
      </c>
      <c r="BA332" s="0">
        <f>MAX(0,MIN(AI332,BX332-SUMPRODUCT(($T$2:$AK$2&lt;AI$2)*($T332:$AK332))))</f>
      </c>
      <c r="BB332" s="0">
        <f>MAX(0,MIN(AJ332,BX332-SUMPRODUCT(($T$2:$AK$2&lt;AJ$2)*($T332:$AK332))))</f>
      </c>
      <c r="BC332" s="0">
        <f>MAX(0,MIN(AK332,BX332-SUMPRODUCT(($T$2:$AK$2&lt;AK$2)*($T332:$AK332))))</f>
      </c>
      <c r="BD332" s="0">
        <f>T332-AL332</f>
      </c>
      <c r="BE332" s="0">
        <f>U332-AM332</f>
      </c>
      <c r="BF332" s="0">
        <f>V332-AN332</f>
      </c>
      <c r="BG332" s="0">
        <f>W332-AO332</f>
      </c>
      <c r="BH332" s="0">
        <f>X332-AP332</f>
      </c>
      <c r="BI332" s="0">
        <f>Y332-AQ332</f>
      </c>
      <c r="BJ332" s="0">
        <f>Z332-AR332</f>
      </c>
      <c r="BK332" s="0">
        <f>AA332-AS332</f>
      </c>
      <c r="BL332" s="0">
        <f>AB332-AT332</f>
      </c>
      <c r="BM332" s="0">
        <f>AC332-AU332</f>
      </c>
      <c r="BN332" s="0">
        <f>AD332-AV332</f>
      </c>
      <c r="BO332" s="0">
        <f>AE332-AW332</f>
      </c>
      <c r="BP332" s="0">
        <f>AF332-AX332</f>
      </c>
      <c r="BQ332" s="0">
        <f>AG332-AY332</f>
      </c>
      <c r="BR332" s="0">
        <f>AH332-AZ332</f>
      </c>
      <c r="BS332" s="0">
        <f>AI332-BA332</f>
      </c>
      <c r="BT332" s="0">
        <f>AJ332-BB332</f>
      </c>
      <c r="BU332" s="0">
        <f>AK332-BC332</f>
      </c>
      <c r="BV332" s="0">
        <f>SUM(B332:S332)</f>
      </c>
      <c r="BW332" s="0">
        <f>SUM(T332:AK332)</f>
      </c>
      <c r="BX332" s="0">
        <f>MAX(0,(SUM(Calculator!$E$11:$E$28)+Calculator!$C$6)-BV332+BW332)</f>
      </c>
      <c r="BY332" s="0">
        <f>SUM(BD332:BU332)</f>
      </c>
      <c r="BZ332" s="0">
        <f>BV332-BY331</f>
      </c>
      <c r="CA332" s="0">
        <f>IF(A332&lt;=IF($CD$1=0,999,$CD$1),BY332,NA())</f>
      </c>
      <c r="CB332" s="0">
        <f>IF(A332&lt;=IF($CD$1=0,999,$CD$1),A332,NA())</f>
      </c>
    </row>
    <row r="333">
      <c r="A333" s="0">
        <v>330</v>
      </c>
      <c r="B333" s="0">
        <f>BD332*(1+Calculator!$D$11/100/12)</f>
      </c>
      <c r="C333" s="0">
        <f>BE332*(1+Calculator!$D$12/100/12)</f>
      </c>
      <c r="D333" s="0">
        <f>BF332*(1+Calculator!$D$13/100/12)</f>
      </c>
      <c r="E333" s="0">
        <f>BG332*(1+Calculator!$D$14/100/12)</f>
      </c>
      <c r="F333" s="0">
        <f>BH332*(1+Calculator!$D$15/100/12)</f>
      </c>
      <c r="G333" s="0">
        <f>BI332*(1+Calculator!$D$16/100/12)</f>
      </c>
      <c r="H333" s="0">
        <f>BJ332*(1+Calculator!$D$17/100/12)</f>
      </c>
      <c r="I333" s="0">
        <f>BK332*(1+Calculator!$D$18/100/12)</f>
      </c>
      <c r="J333" s="0">
        <f>BL332*(1+Calculator!$D$19/100/12)</f>
      </c>
      <c r="K333" s="0">
        <f>BM332*(1+Calculator!$D$20/100/12)</f>
      </c>
      <c r="L333" s="0">
        <f>BN332*(1+Calculator!$D$21/100/12)</f>
      </c>
      <c r="M333" s="0">
        <f>BO332*(1+Calculator!$D$22/100/12)</f>
      </c>
      <c r="N333" s="0">
        <f>BP332*(1+Calculator!$D$23/100/12)</f>
      </c>
      <c r="O333" s="0">
        <f>BQ332*(1+Calculator!$D$24/100/12)</f>
      </c>
      <c r="P333" s="0">
        <f>BR332*(1+Calculator!$D$25/100/12)</f>
      </c>
      <c r="Q333" s="0">
        <f>BS332*(1+Calculator!$D$26/100/12)</f>
      </c>
      <c r="R333" s="0">
        <f>BT332*(1+Calculator!$D$27/100/12)</f>
      </c>
      <c r="S333" s="0">
        <f>BU332*(1+Calculator!$D$28/100/12)</f>
      </c>
      <c r="T333" s="0">
        <f>MAX(0,B333-Calculator!$E$11)</f>
      </c>
      <c r="U333" s="0">
        <f>MAX(0,C333-Calculator!$E$12)</f>
      </c>
      <c r="V333" s="0">
        <f>MAX(0,D333-Calculator!$E$13)</f>
      </c>
      <c r="W333" s="0">
        <f>MAX(0,E333-Calculator!$E$14)</f>
      </c>
      <c r="X333" s="0">
        <f>MAX(0,F333-Calculator!$E$15)</f>
      </c>
      <c r="Y333" s="0">
        <f>MAX(0,G333-Calculator!$E$16)</f>
      </c>
      <c r="Z333" s="0">
        <f>MAX(0,H333-Calculator!$E$17)</f>
      </c>
      <c r="AA333" s="0">
        <f>MAX(0,I333-Calculator!$E$18)</f>
      </c>
      <c r="AB333" s="0">
        <f>MAX(0,J333-Calculator!$E$19)</f>
      </c>
      <c r="AC333" s="0">
        <f>MAX(0,K333-Calculator!$E$20)</f>
      </c>
      <c r="AD333" s="0">
        <f>MAX(0,L333-Calculator!$E$21)</f>
      </c>
      <c r="AE333" s="0">
        <f>MAX(0,M333-Calculator!$E$22)</f>
      </c>
      <c r="AF333" s="0">
        <f>MAX(0,N333-Calculator!$E$23)</f>
      </c>
      <c r="AG333" s="0">
        <f>MAX(0,O333-Calculator!$E$24)</f>
      </c>
      <c r="AH333" s="0">
        <f>MAX(0,P333-Calculator!$E$25)</f>
      </c>
      <c r="AI333" s="0">
        <f>MAX(0,Q333-Calculator!$E$26)</f>
      </c>
      <c r="AJ333" s="0">
        <f>MAX(0,R333-Calculator!$E$27)</f>
      </c>
      <c r="AK333" s="0">
        <f>MAX(0,S333-Calculator!$E$28)</f>
      </c>
      <c r="AL333" s="0">
        <f>MAX(0,MIN(T333,BX333-SUMPRODUCT(($T$2:$AK$2&lt;T$2)*($T333:$AK333))))</f>
      </c>
      <c r="AM333" s="0">
        <f>MAX(0,MIN(U333,BX333-SUMPRODUCT(($T$2:$AK$2&lt;U$2)*($T333:$AK333))))</f>
      </c>
      <c r="AN333" s="0">
        <f>MAX(0,MIN(V333,BX333-SUMPRODUCT(($T$2:$AK$2&lt;V$2)*($T333:$AK333))))</f>
      </c>
      <c r="AO333" s="0">
        <f>MAX(0,MIN(W333,BX333-SUMPRODUCT(($T$2:$AK$2&lt;W$2)*($T333:$AK333))))</f>
      </c>
      <c r="AP333" s="0">
        <f>MAX(0,MIN(X333,BX333-SUMPRODUCT(($T$2:$AK$2&lt;X$2)*($T333:$AK333))))</f>
      </c>
      <c r="AQ333" s="0">
        <f>MAX(0,MIN(Y333,BX333-SUMPRODUCT(($T$2:$AK$2&lt;Y$2)*($T333:$AK333))))</f>
      </c>
      <c r="AR333" s="0">
        <f>MAX(0,MIN(Z333,BX333-SUMPRODUCT(($T$2:$AK$2&lt;Z$2)*($T333:$AK333))))</f>
      </c>
      <c r="AS333" s="0">
        <f>MAX(0,MIN(AA333,BX333-SUMPRODUCT(($T$2:$AK$2&lt;AA$2)*($T333:$AK333))))</f>
      </c>
      <c r="AT333" s="0">
        <f>MAX(0,MIN(AB333,BX333-SUMPRODUCT(($T$2:$AK$2&lt;AB$2)*($T333:$AK333))))</f>
      </c>
      <c r="AU333" s="0">
        <f>MAX(0,MIN(AC333,BX333-SUMPRODUCT(($T$2:$AK$2&lt;AC$2)*($T333:$AK333))))</f>
      </c>
      <c r="AV333" s="0">
        <f>MAX(0,MIN(AD333,BX333-SUMPRODUCT(($T$2:$AK$2&lt;AD$2)*($T333:$AK333))))</f>
      </c>
      <c r="AW333" s="0">
        <f>MAX(0,MIN(AE333,BX333-SUMPRODUCT(($T$2:$AK$2&lt;AE$2)*($T333:$AK333))))</f>
      </c>
      <c r="AX333" s="0">
        <f>MAX(0,MIN(AF333,BX333-SUMPRODUCT(($T$2:$AK$2&lt;AF$2)*($T333:$AK333))))</f>
      </c>
      <c r="AY333" s="0">
        <f>MAX(0,MIN(AG333,BX333-SUMPRODUCT(($T$2:$AK$2&lt;AG$2)*($T333:$AK333))))</f>
      </c>
      <c r="AZ333" s="0">
        <f>MAX(0,MIN(AH333,BX333-SUMPRODUCT(($T$2:$AK$2&lt;AH$2)*($T333:$AK333))))</f>
      </c>
      <c r="BA333" s="0">
        <f>MAX(0,MIN(AI333,BX333-SUMPRODUCT(($T$2:$AK$2&lt;AI$2)*($T333:$AK333))))</f>
      </c>
      <c r="BB333" s="0">
        <f>MAX(0,MIN(AJ333,BX333-SUMPRODUCT(($T$2:$AK$2&lt;AJ$2)*($T333:$AK333))))</f>
      </c>
      <c r="BC333" s="0">
        <f>MAX(0,MIN(AK333,BX333-SUMPRODUCT(($T$2:$AK$2&lt;AK$2)*($T333:$AK333))))</f>
      </c>
      <c r="BD333" s="0">
        <f>T333-AL333</f>
      </c>
      <c r="BE333" s="0">
        <f>U333-AM333</f>
      </c>
      <c r="BF333" s="0">
        <f>V333-AN333</f>
      </c>
      <c r="BG333" s="0">
        <f>W333-AO333</f>
      </c>
      <c r="BH333" s="0">
        <f>X333-AP333</f>
      </c>
      <c r="BI333" s="0">
        <f>Y333-AQ333</f>
      </c>
      <c r="BJ333" s="0">
        <f>Z333-AR333</f>
      </c>
      <c r="BK333" s="0">
        <f>AA333-AS333</f>
      </c>
      <c r="BL333" s="0">
        <f>AB333-AT333</f>
      </c>
      <c r="BM333" s="0">
        <f>AC333-AU333</f>
      </c>
      <c r="BN333" s="0">
        <f>AD333-AV333</f>
      </c>
      <c r="BO333" s="0">
        <f>AE333-AW333</f>
      </c>
      <c r="BP333" s="0">
        <f>AF333-AX333</f>
      </c>
      <c r="BQ333" s="0">
        <f>AG333-AY333</f>
      </c>
      <c r="BR333" s="0">
        <f>AH333-AZ333</f>
      </c>
      <c r="BS333" s="0">
        <f>AI333-BA333</f>
      </c>
      <c r="BT333" s="0">
        <f>AJ333-BB333</f>
      </c>
      <c r="BU333" s="0">
        <f>AK333-BC333</f>
      </c>
      <c r="BV333" s="0">
        <f>SUM(B333:S333)</f>
      </c>
      <c r="BW333" s="0">
        <f>SUM(T333:AK333)</f>
      </c>
      <c r="BX333" s="0">
        <f>MAX(0,(SUM(Calculator!$E$11:$E$28)+Calculator!$C$6)-BV333+BW333)</f>
      </c>
      <c r="BY333" s="0">
        <f>SUM(BD333:BU333)</f>
      </c>
      <c r="BZ333" s="0">
        <f>BV333-BY332</f>
      </c>
      <c r="CA333" s="0">
        <f>IF(A333&lt;=IF($CD$1=0,999,$CD$1),BY333,NA())</f>
      </c>
      <c r="CB333" s="0">
        <f>IF(A333&lt;=IF($CD$1=0,999,$CD$1),A333,NA())</f>
      </c>
    </row>
    <row r="334">
      <c r="A334" s="0">
        <v>331</v>
      </c>
      <c r="B334" s="0">
        <f>BD333*(1+Calculator!$D$11/100/12)</f>
      </c>
      <c r="C334" s="0">
        <f>BE333*(1+Calculator!$D$12/100/12)</f>
      </c>
      <c r="D334" s="0">
        <f>BF333*(1+Calculator!$D$13/100/12)</f>
      </c>
      <c r="E334" s="0">
        <f>BG333*(1+Calculator!$D$14/100/12)</f>
      </c>
      <c r="F334" s="0">
        <f>BH333*(1+Calculator!$D$15/100/12)</f>
      </c>
      <c r="G334" s="0">
        <f>BI333*(1+Calculator!$D$16/100/12)</f>
      </c>
      <c r="H334" s="0">
        <f>BJ333*(1+Calculator!$D$17/100/12)</f>
      </c>
      <c r="I334" s="0">
        <f>BK333*(1+Calculator!$D$18/100/12)</f>
      </c>
      <c r="J334" s="0">
        <f>BL333*(1+Calculator!$D$19/100/12)</f>
      </c>
      <c r="K334" s="0">
        <f>BM333*(1+Calculator!$D$20/100/12)</f>
      </c>
      <c r="L334" s="0">
        <f>BN333*(1+Calculator!$D$21/100/12)</f>
      </c>
      <c r="M334" s="0">
        <f>BO333*(1+Calculator!$D$22/100/12)</f>
      </c>
      <c r="N334" s="0">
        <f>BP333*(1+Calculator!$D$23/100/12)</f>
      </c>
      <c r="O334" s="0">
        <f>BQ333*(1+Calculator!$D$24/100/12)</f>
      </c>
      <c r="P334" s="0">
        <f>BR333*(1+Calculator!$D$25/100/12)</f>
      </c>
      <c r="Q334" s="0">
        <f>BS333*(1+Calculator!$D$26/100/12)</f>
      </c>
      <c r="R334" s="0">
        <f>BT333*(1+Calculator!$D$27/100/12)</f>
      </c>
      <c r="S334" s="0">
        <f>BU333*(1+Calculator!$D$28/100/12)</f>
      </c>
      <c r="T334" s="0">
        <f>MAX(0,B334-Calculator!$E$11)</f>
      </c>
      <c r="U334" s="0">
        <f>MAX(0,C334-Calculator!$E$12)</f>
      </c>
      <c r="V334" s="0">
        <f>MAX(0,D334-Calculator!$E$13)</f>
      </c>
      <c r="W334" s="0">
        <f>MAX(0,E334-Calculator!$E$14)</f>
      </c>
      <c r="X334" s="0">
        <f>MAX(0,F334-Calculator!$E$15)</f>
      </c>
      <c r="Y334" s="0">
        <f>MAX(0,G334-Calculator!$E$16)</f>
      </c>
      <c r="Z334" s="0">
        <f>MAX(0,H334-Calculator!$E$17)</f>
      </c>
      <c r="AA334" s="0">
        <f>MAX(0,I334-Calculator!$E$18)</f>
      </c>
      <c r="AB334" s="0">
        <f>MAX(0,J334-Calculator!$E$19)</f>
      </c>
      <c r="AC334" s="0">
        <f>MAX(0,K334-Calculator!$E$20)</f>
      </c>
      <c r="AD334" s="0">
        <f>MAX(0,L334-Calculator!$E$21)</f>
      </c>
      <c r="AE334" s="0">
        <f>MAX(0,M334-Calculator!$E$22)</f>
      </c>
      <c r="AF334" s="0">
        <f>MAX(0,N334-Calculator!$E$23)</f>
      </c>
      <c r="AG334" s="0">
        <f>MAX(0,O334-Calculator!$E$24)</f>
      </c>
      <c r="AH334" s="0">
        <f>MAX(0,P334-Calculator!$E$25)</f>
      </c>
      <c r="AI334" s="0">
        <f>MAX(0,Q334-Calculator!$E$26)</f>
      </c>
      <c r="AJ334" s="0">
        <f>MAX(0,R334-Calculator!$E$27)</f>
      </c>
      <c r="AK334" s="0">
        <f>MAX(0,S334-Calculator!$E$28)</f>
      </c>
      <c r="AL334" s="0">
        <f>MAX(0,MIN(T334,BX334-SUMPRODUCT(($T$2:$AK$2&lt;T$2)*($T334:$AK334))))</f>
      </c>
      <c r="AM334" s="0">
        <f>MAX(0,MIN(U334,BX334-SUMPRODUCT(($T$2:$AK$2&lt;U$2)*($T334:$AK334))))</f>
      </c>
      <c r="AN334" s="0">
        <f>MAX(0,MIN(V334,BX334-SUMPRODUCT(($T$2:$AK$2&lt;V$2)*($T334:$AK334))))</f>
      </c>
      <c r="AO334" s="0">
        <f>MAX(0,MIN(W334,BX334-SUMPRODUCT(($T$2:$AK$2&lt;W$2)*($T334:$AK334))))</f>
      </c>
      <c r="AP334" s="0">
        <f>MAX(0,MIN(X334,BX334-SUMPRODUCT(($T$2:$AK$2&lt;X$2)*($T334:$AK334))))</f>
      </c>
      <c r="AQ334" s="0">
        <f>MAX(0,MIN(Y334,BX334-SUMPRODUCT(($T$2:$AK$2&lt;Y$2)*($T334:$AK334))))</f>
      </c>
      <c r="AR334" s="0">
        <f>MAX(0,MIN(Z334,BX334-SUMPRODUCT(($T$2:$AK$2&lt;Z$2)*($T334:$AK334))))</f>
      </c>
      <c r="AS334" s="0">
        <f>MAX(0,MIN(AA334,BX334-SUMPRODUCT(($T$2:$AK$2&lt;AA$2)*($T334:$AK334))))</f>
      </c>
      <c r="AT334" s="0">
        <f>MAX(0,MIN(AB334,BX334-SUMPRODUCT(($T$2:$AK$2&lt;AB$2)*($T334:$AK334))))</f>
      </c>
      <c r="AU334" s="0">
        <f>MAX(0,MIN(AC334,BX334-SUMPRODUCT(($T$2:$AK$2&lt;AC$2)*($T334:$AK334))))</f>
      </c>
      <c r="AV334" s="0">
        <f>MAX(0,MIN(AD334,BX334-SUMPRODUCT(($T$2:$AK$2&lt;AD$2)*($T334:$AK334))))</f>
      </c>
      <c r="AW334" s="0">
        <f>MAX(0,MIN(AE334,BX334-SUMPRODUCT(($T$2:$AK$2&lt;AE$2)*($T334:$AK334))))</f>
      </c>
      <c r="AX334" s="0">
        <f>MAX(0,MIN(AF334,BX334-SUMPRODUCT(($T$2:$AK$2&lt;AF$2)*($T334:$AK334))))</f>
      </c>
      <c r="AY334" s="0">
        <f>MAX(0,MIN(AG334,BX334-SUMPRODUCT(($T$2:$AK$2&lt;AG$2)*($T334:$AK334))))</f>
      </c>
      <c r="AZ334" s="0">
        <f>MAX(0,MIN(AH334,BX334-SUMPRODUCT(($T$2:$AK$2&lt;AH$2)*($T334:$AK334))))</f>
      </c>
      <c r="BA334" s="0">
        <f>MAX(0,MIN(AI334,BX334-SUMPRODUCT(($T$2:$AK$2&lt;AI$2)*($T334:$AK334))))</f>
      </c>
      <c r="BB334" s="0">
        <f>MAX(0,MIN(AJ334,BX334-SUMPRODUCT(($T$2:$AK$2&lt;AJ$2)*($T334:$AK334))))</f>
      </c>
      <c r="BC334" s="0">
        <f>MAX(0,MIN(AK334,BX334-SUMPRODUCT(($T$2:$AK$2&lt;AK$2)*($T334:$AK334))))</f>
      </c>
      <c r="BD334" s="0">
        <f>T334-AL334</f>
      </c>
      <c r="BE334" s="0">
        <f>U334-AM334</f>
      </c>
      <c r="BF334" s="0">
        <f>V334-AN334</f>
      </c>
      <c r="BG334" s="0">
        <f>W334-AO334</f>
      </c>
      <c r="BH334" s="0">
        <f>X334-AP334</f>
      </c>
      <c r="BI334" s="0">
        <f>Y334-AQ334</f>
      </c>
      <c r="BJ334" s="0">
        <f>Z334-AR334</f>
      </c>
      <c r="BK334" s="0">
        <f>AA334-AS334</f>
      </c>
      <c r="BL334" s="0">
        <f>AB334-AT334</f>
      </c>
      <c r="BM334" s="0">
        <f>AC334-AU334</f>
      </c>
      <c r="BN334" s="0">
        <f>AD334-AV334</f>
      </c>
      <c r="BO334" s="0">
        <f>AE334-AW334</f>
      </c>
      <c r="BP334" s="0">
        <f>AF334-AX334</f>
      </c>
      <c r="BQ334" s="0">
        <f>AG334-AY334</f>
      </c>
      <c r="BR334" s="0">
        <f>AH334-AZ334</f>
      </c>
      <c r="BS334" s="0">
        <f>AI334-BA334</f>
      </c>
      <c r="BT334" s="0">
        <f>AJ334-BB334</f>
      </c>
      <c r="BU334" s="0">
        <f>AK334-BC334</f>
      </c>
      <c r="BV334" s="0">
        <f>SUM(B334:S334)</f>
      </c>
      <c r="BW334" s="0">
        <f>SUM(T334:AK334)</f>
      </c>
      <c r="BX334" s="0">
        <f>MAX(0,(SUM(Calculator!$E$11:$E$28)+Calculator!$C$6)-BV334+BW334)</f>
      </c>
      <c r="BY334" s="0">
        <f>SUM(BD334:BU334)</f>
      </c>
      <c r="BZ334" s="0">
        <f>BV334-BY333</f>
      </c>
      <c r="CA334" s="0">
        <f>IF(A334&lt;=IF($CD$1=0,999,$CD$1),BY334,NA())</f>
      </c>
      <c r="CB334" s="0">
        <f>IF(A334&lt;=IF($CD$1=0,999,$CD$1),A334,NA())</f>
      </c>
    </row>
    <row r="335">
      <c r="A335" s="0">
        <v>332</v>
      </c>
      <c r="B335" s="0">
        <f>BD334*(1+Calculator!$D$11/100/12)</f>
      </c>
      <c r="C335" s="0">
        <f>BE334*(1+Calculator!$D$12/100/12)</f>
      </c>
      <c r="D335" s="0">
        <f>BF334*(1+Calculator!$D$13/100/12)</f>
      </c>
      <c r="E335" s="0">
        <f>BG334*(1+Calculator!$D$14/100/12)</f>
      </c>
      <c r="F335" s="0">
        <f>BH334*(1+Calculator!$D$15/100/12)</f>
      </c>
      <c r="G335" s="0">
        <f>BI334*(1+Calculator!$D$16/100/12)</f>
      </c>
      <c r="H335" s="0">
        <f>BJ334*(1+Calculator!$D$17/100/12)</f>
      </c>
      <c r="I335" s="0">
        <f>BK334*(1+Calculator!$D$18/100/12)</f>
      </c>
      <c r="J335" s="0">
        <f>BL334*(1+Calculator!$D$19/100/12)</f>
      </c>
      <c r="K335" s="0">
        <f>BM334*(1+Calculator!$D$20/100/12)</f>
      </c>
      <c r="L335" s="0">
        <f>BN334*(1+Calculator!$D$21/100/12)</f>
      </c>
      <c r="M335" s="0">
        <f>BO334*(1+Calculator!$D$22/100/12)</f>
      </c>
      <c r="N335" s="0">
        <f>BP334*(1+Calculator!$D$23/100/12)</f>
      </c>
      <c r="O335" s="0">
        <f>BQ334*(1+Calculator!$D$24/100/12)</f>
      </c>
      <c r="P335" s="0">
        <f>BR334*(1+Calculator!$D$25/100/12)</f>
      </c>
      <c r="Q335" s="0">
        <f>BS334*(1+Calculator!$D$26/100/12)</f>
      </c>
      <c r="R335" s="0">
        <f>BT334*(1+Calculator!$D$27/100/12)</f>
      </c>
      <c r="S335" s="0">
        <f>BU334*(1+Calculator!$D$28/100/12)</f>
      </c>
      <c r="T335" s="0">
        <f>MAX(0,B335-Calculator!$E$11)</f>
      </c>
      <c r="U335" s="0">
        <f>MAX(0,C335-Calculator!$E$12)</f>
      </c>
      <c r="V335" s="0">
        <f>MAX(0,D335-Calculator!$E$13)</f>
      </c>
      <c r="W335" s="0">
        <f>MAX(0,E335-Calculator!$E$14)</f>
      </c>
      <c r="X335" s="0">
        <f>MAX(0,F335-Calculator!$E$15)</f>
      </c>
      <c r="Y335" s="0">
        <f>MAX(0,G335-Calculator!$E$16)</f>
      </c>
      <c r="Z335" s="0">
        <f>MAX(0,H335-Calculator!$E$17)</f>
      </c>
      <c r="AA335" s="0">
        <f>MAX(0,I335-Calculator!$E$18)</f>
      </c>
      <c r="AB335" s="0">
        <f>MAX(0,J335-Calculator!$E$19)</f>
      </c>
      <c r="AC335" s="0">
        <f>MAX(0,K335-Calculator!$E$20)</f>
      </c>
      <c r="AD335" s="0">
        <f>MAX(0,L335-Calculator!$E$21)</f>
      </c>
      <c r="AE335" s="0">
        <f>MAX(0,M335-Calculator!$E$22)</f>
      </c>
      <c r="AF335" s="0">
        <f>MAX(0,N335-Calculator!$E$23)</f>
      </c>
      <c r="AG335" s="0">
        <f>MAX(0,O335-Calculator!$E$24)</f>
      </c>
      <c r="AH335" s="0">
        <f>MAX(0,P335-Calculator!$E$25)</f>
      </c>
      <c r="AI335" s="0">
        <f>MAX(0,Q335-Calculator!$E$26)</f>
      </c>
      <c r="AJ335" s="0">
        <f>MAX(0,R335-Calculator!$E$27)</f>
      </c>
      <c r="AK335" s="0">
        <f>MAX(0,S335-Calculator!$E$28)</f>
      </c>
      <c r="AL335" s="0">
        <f>MAX(0,MIN(T335,BX335-SUMPRODUCT(($T$2:$AK$2&lt;T$2)*($T335:$AK335))))</f>
      </c>
      <c r="AM335" s="0">
        <f>MAX(0,MIN(U335,BX335-SUMPRODUCT(($T$2:$AK$2&lt;U$2)*($T335:$AK335))))</f>
      </c>
      <c r="AN335" s="0">
        <f>MAX(0,MIN(V335,BX335-SUMPRODUCT(($T$2:$AK$2&lt;V$2)*($T335:$AK335))))</f>
      </c>
      <c r="AO335" s="0">
        <f>MAX(0,MIN(W335,BX335-SUMPRODUCT(($T$2:$AK$2&lt;W$2)*($T335:$AK335))))</f>
      </c>
      <c r="AP335" s="0">
        <f>MAX(0,MIN(X335,BX335-SUMPRODUCT(($T$2:$AK$2&lt;X$2)*($T335:$AK335))))</f>
      </c>
      <c r="AQ335" s="0">
        <f>MAX(0,MIN(Y335,BX335-SUMPRODUCT(($T$2:$AK$2&lt;Y$2)*($T335:$AK335))))</f>
      </c>
      <c r="AR335" s="0">
        <f>MAX(0,MIN(Z335,BX335-SUMPRODUCT(($T$2:$AK$2&lt;Z$2)*($T335:$AK335))))</f>
      </c>
      <c r="AS335" s="0">
        <f>MAX(0,MIN(AA335,BX335-SUMPRODUCT(($T$2:$AK$2&lt;AA$2)*($T335:$AK335))))</f>
      </c>
      <c r="AT335" s="0">
        <f>MAX(0,MIN(AB335,BX335-SUMPRODUCT(($T$2:$AK$2&lt;AB$2)*($T335:$AK335))))</f>
      </c>
      <c r="AU335" s="0">
        <f>MAX(0,MIN(AC335,BX335-SUMPRODUCT(($T$2:$AK$2&lt;AC$2)*($T335:$AK335))))</f>
      </c>
      <c r="AV335" s="0">
        <f>MAX(0,MIN(AD335,BX335-SUMPRODUCT(($T$2:$AK$2&lt;AD$2)*($T335:$AK335))))</f>
      </c>
      <c r="AW335" s="0">
        <f>MAX(0,MIN(AE335,BX335-SUMPRODUCT(($T$2:$AK$2&lt;AE$2)*($T335:$AK335))))</f>
      </c>
      <c r="AX335" s="0">
        <f>MAX(0,MIN(AF335,BX335-SUMPRODUCT(($T$2:$AK$2&lt;AF$2)*($T335:$AK335))))</f>
      </c>
      <c r="AY335" s="0">
        <f>MAX(0,MIN(AG335,BX335-SUMPRODUCT(($T$2:$AK$2&lt;AG$2)*($T335:$AK335))))</f>
      </c>
      <c r="AZ335" s="0">
        <f>MAX(0,MIN(AH335,BX335-SUMPRODUCT(($T$2:$AK$2&lt;AH$2)*($T335:$AK335))))</f>
      </c>
      <c r="BA335" s="0">
        <f>MAX(0,MIN(AI335,BX335-SUMPRODUCT(($T$2:$AK$2&lt;AI$2)*($T335:$AK335))))</f>
      </c>
      <c r="BB335" s="0">
        <f>MAX(0,MIN(AJ335,BX335-SUMPRODUCT(($T$2:$AK$2&lt;AJ$2)*($T335:$AK335))))</f>
      </c>
      <c r="BC335" s="0">
        <f>MAX(0,MIN(AK335,BX335-SUMPRODUCT(($T$2:$AK$2&lt;AK$2)*($T335:$AK335))))</f>
      </c>
      <c r="BD335" s="0">
        <f>T335-AL335</f>
      </c>
      <c r="BE335" s="0">
        <f>U335-AM335</f>
      </c>
      <c r="BF335" s="0">
        <f>V335-AN335</f>
      </c>
      <c r="BG335" s="0">
        <f>W335-AO335</f>
      </c>
      <c r="BH335" s="0">
        <f>X335-AP335</f>
      </c>
      <c r="BI335" s="0">
        <f>Y335-AQ335</f>
      </c>
      <c r="BJ335" s="0">
        <f>Z335-AR335</f>
      </c>
      <c r="BK335" s="0">
        <f>AA335-AS335</f>
      </c>
      <c r="BL335" s="0">
        <f>AB335-AT335</f>
      </c>
      <c r="BM335" s="0">
        <f>AC335-AU335</f>
      </c>
      <c r="BN335" s="0">
        <f>AD335-AV335</f>
      </c>
      <c r="BO335" s="0">
        <f>AE335-AW335</f>
      </c>
      <c r="BP335" s="0">
        <f>AF335-AX335</f>
      </c>
      <c r="BQ335" s="0">
        <f>AG335-AY335</f>
      </c>
      <c r="BR335" s="0">
        <f>AH335-AZ335</f>
      </c>
      <c r="BS335" s="0">
        <f>AI335-BA335</f>
      </c>
      <c r="BT335" s="0">
        <f>AJ335-BB335</f>
      </c>
      <c r="BU335" s="0">
        <f>AK335-BC335</f>
      </c>
      <c r="BV335" s="0">
        <f>SUM(B335:S335)</f>
      </c>
      <c r="BW335" s="0">
        <f>SUM(T335:AK335)</f>
      </c>
      <c r="BX335" s="0">
        <f>MAX(0,(SUM(Calculator!$E$11:$E$28)+Calculator!$C$6)-BV335+BW335)</f>
      </c>
      <c r="BY335" s="0">
        <f>SUM(BD335:BU335)</f>
      </c>
      <c r="BZ335" s="0">
        <f>BV335-BY334</f>
      </c>
      <c r="CA335" s="0">
        <f>IF(A335&lt;=IF($CD$1=0,999,$CD$1),BY335,NA())</f>
      </c>
      <c r="CB335" s="0">
        <f>IF(A335&lt;=IF($CD$1=0,999,$CD$1),A335,NA())</f>
      </c>
    </row>
    <row r="336">
      <c r="A336" s="0">
        <v>333</v>
      </c>
      <c r="B336" s="0">
        <f>BD335*(1+Calculator!$D$11/100/12)</f>
      </c>
      <c r="C336" s="0">
        <f>BE335*(1+Calculator!$D$12/100/12)</f>
      </c>
      <c r="D336" s="0">
        <f>BF335*(1+Calculator!$D$13/100/12)</f>
      </c>
      <c r="E336" s="0">
        <f>BG335*(1+Calculator!$D$14/100/12)</f>
      </c>
      <c r="F336" s="0">
        <f>BH335*(1+Calculator!$D$15/100/12)</f>
      </c>
      <c r="G336" s="0">
        <f>BI335*(1+Calculator!$D$16/100/12)</f>
      </c>
      <c r="H336" s="0">
        <f>BJ335*(1+Calculator!$D$17/100/12)</f>
      </c>
      <c r="I336" s="0">
        <f>BK335*(1+Calculator!$D$18/100/12)</f>
      </c>
      <c r="J336" s="0">
        <f>BL335*(1+Calculator!$D$19/100/12)</f>
      </c>
      <c r="K336" s="0">
        <f>BM335*(1+Calculator!$D$20/100/12)</f>
      </c>
      <c r="L336" s="0">
        <f>BN335*(1+Calculator!$D$21/100/12)</f>
      </c>
      <c r="M336" s="0">
        <f>BO335*(1+Calculator!$D$22/100/12)</f>
      </c>
      <c r="N336" s="0">
        <f>BP335*(1+Calculator!$D$23/100/12)</f>
      </c>
      <c r="O336" s="0">
        <f>BQ335*(1+Calculator!$D$24/100/12)</f>
      </c>
      <c r="P336" s="0">
        <f>BR335*(1+Calculator!$D$25/100/12)</f>
      </c>
      <c r="Q336" s="0">
        <f>BS335*(1+Calculator!$D$26/100/12)</f>
      </c>
      <c r="R336" s="0">
        <f>BT335*(1+Calculator!$D$27/100/12)</f>
      </c>
      <c r="S336" s="0">
        <f>BU335*(1+Calculator!$D$28/100/12)</f>
      </c>
      <c r="T336" s="0">
        <f>MAX(0,B336-Calculator!$E$11)</f>
      </c>
      <c r="U336" s="0">
        <f>MAX(0,C336-Calculator!$E$12)</f>
      </c>
      <c r="V336" s="0">
        <f>MAX(0,D336-Calculator!$E$13)</f>
      </c>
      <c r="W336" s="0">
        <f>MAX(0,E336-Calculator!$E$14)</f>
      </c>
      <c r="X336" s="0">
        <f>MAX(0,F336-Calculator!$E$15)</f>
      </c>
      <c r="Y336" s="0">
        <f>MAX(0,G336-Calculator!$E$16)</f>
      </c>
      <c r="Z336" s="0">
        <f>MAX(0,H336-Calculator!$E$17)</f>
      </c>
      <c r="AA336" s="0">
        <f>MAX(0,I336-Calculator!$E$18)</f>
      </c>
      <c r="AB336" s="0">
        <f>MAX(0,J336-Calculator!$E$19)</f>
      </c>
      <c r="AC336" s="0">
        <f>MAX(0,K336-Calculator!$E$20)</f>
      </c>
      <c r="AD336" s="0">
        <f>MAX(0,L336-Calculator!$E$21)</f>
      </c>
      <c r="AE336" s="0">
        <f>MAX(0,M336-Calculator!$E$22)</f>
      </c>
      <c r="AF336" s="0">
        <f>MAX(0,N336-Calculator!$E$23)</f>
      </c>
      <c r="AG336" s="0">
        <f>MAX(0,O336-Calculator!$E$24)</f>
      </c>
      <c r="AH336" s="0">
        <f>MAX(0,P336-Calculator!$E$25)</f>
      </c>
      <c r="AI336" s="0">
        <f>MAX(0,Q336-Calculator!$E$26)</f>
      </c>
      <c r="AJ336" s="0">
        <f>MAX(0,R336-Calculator!$E$27)</f>
      </c>
      <c r="AK336" s="0">
        <f>MAX(0,S336-Calculator!$E$28)</f>
      </c>
      <c r="AL336" s="0">
        <f>MAX(0,MIN(T336,BX336-SUMPRODUCT(($T$2:$AK$2&lt;T$2)*($T336:$AK336))))</f>
      </c>
      <c r="AM336" s="0">
        <f>MAX(0,MIN(U336,BX336-SUMPRODUCT(($T$2:$AK$2&lt;U$2)*($T336:$AK336))))</f>
      </c>
      <c r="AN336" s="0">
        <f>MAX(0,MIN(V336,BX336-SUMPRODUCT(($T$2:$AK$2&lt;V$2)*($T336:$AK336))))</f>
      </c>
      <c r="AO336" s="0">
        <f>MAX(0,MIN(W336,BX336-SUMPRODUCT(($T$2:$AK$2&lt;W$2)*($T336:$AK336))))</f>
      </c>
      <c r="AP336" s="0">
        <f>MAX(0,MIN(X336,BX336-SUMPRODUCT(($T$2:$AK$2&lt;X$2)*($T336:$AK336))))</f>
      </c>
      <c r="AQ336" s="0">
        <f>MAX(0,MIN(Y336,BX336-SUMPRODUCT(($T$2:$AK$2&lt;Y$2)*($T336:$AK336))))</f>
      </c>
      <c r="AR336" s="0">
        <f>MAX(0,MIN(Z336,BX336-SUMPRODUCT(($T$2:$AK$2&lt;Z$2)*($T336:$AK336))))</f>
      </c>
      <c r="AS336" s="0">
        <f>MAX(0,MIN(AA336,BX336-SUMPRODUCT(($T$2:$AK$2&lt;AA$2)*($T336:$AK336))))</f>
      </c>
      <c r="AT336" s="0">
        <f>MAX(0,MIN(AB336,BX336-SUMPRODUCT(($T$2:$AK$2&lt;AB$2)*($T336:$AK336))))</f>
      </c>
      <c r="AU336" s="0">
        <f>MAX(0,MIN(AC336,BX336-SUMPRODUCT(($T$2:$AK$2&lt;AC$2)*($T336:$AK336))))</f>
      </c>
      <c r="AV336" s="0">
        <f>MAX(0,MIN(AD336,BX336-SUMPRODUCT(($T$2:$AK$2&lt;AD$2)*($T336:$AK336))))</f>
      </c>
      <c r="AW336" s="0">
        <f>MAX(0,MIN(AE336,BX336-SUMPRODUCT(($T$2:$AK$2&lt;AE$2)*($T336:$AK336))))</f>
      </c>
      <c r="AX336" s="0">
        <f>MAX(0,MIN(AF336,BX336-SUMPRODUCT(($T$2:$AK$2&lt;AF$2)*($T336:$AK336))))</f>
      </c>
      <c r="AY336" s="0">
        <f>MAX(0,MIN(AG336,BX336-SUMPRODUCT(($T$2:$AK$2&lt;AG$2)*($T336:$AK336))))</f>
      </c>
      <c r="AZ336" s="0">
        <f>MAX(0,MIN(AH336,BX336-SUMPRODUCT(($T$2:$AK$2&lt;AH$2)*($T336:$AK336))))</f>
      </c>
      <c r="BA336" s="0">
        <f>MAX(0,MIN(AI336,BX336-SUMPRODUCT(($T$2:$AK$2&lt;AI$2)*($T336:$AK336))))</f>
      </c>
      <c r="BB336" s="0">
        <f>MAX(0,MIN(AJ336,BX336-SUMPRODUCT(($T$2:$AK$2&lt;AJ$2)*($T336:$AK336))))</f>
      </c>
      <c r="BC336" s="0">
        <f>MAX(0,MIN(AK336,BX336-SUMPRODUCT(($T$2:$AK$2&lt;AK$2)*($T336:$AK336))))</f>
      </c>
      <c r="BD336" s="0">
        <f>T336-AL336</f>
      </c>
      <c r="BE336" s="0">
        <f>U336-AM336</f>
      </c>
      <c r="BF336" s="0">
        <f>V336-AN336</f>
      </c>
      <c r="BG336" s="0">
        <f>W336-AO336</f>
      </c>
      <c r="BH336" s="0">
        <f>X336-AP336</f>
      </c>
      <c r="BI336" s="0">
        <f>Y336-AQ336</f>
      </c>
      <c r="BJ336" s="0">
        <f>Z336-AR336</f>
      </c>
      <c r="BK336" s="0">
        <f>AA336-AS336</f>
      </c>
      <c r="BL336" s="0">
        <f>AB336-AT336</f>
      </c>
      <c r="BM336" s="0">
        <f>AC336-AU336</f>
      </c>
      <c r="BN336" s="0">
        <f>AD336-AV336</f>
      </c>
      <c r="BO336" s="0">
        <f>AE336-AW336</f>
      </c>
      <c r="BP336" s="0">
        <f>AF336-AX336</f>
      </c>
      <c r="BQ336" s="0">
        <f>AG336-AY336</f>
      </c>
      <c r="BR336" s="0">
        <f>AH336-AZ336</f>
      </c>
      <c r="BS336" s="0">
        <f>AI336-BA336</f>
      </c>
      <c r="BT336" s="0">
        <f>AJ336-BB336</f>
      </c>
      <c r="BU336" s="0">
        <f>AK336-BC336</f>
      </c>
      <c r="BV336" s="0">
        <f>SUM(B336:S336)</f>
      </c>
      <c r="BW336" s="0">
        <f>SUM(T336:AK336)</f>
      </c>
      <c r="BX336" s="0">
        <f>MAX(0,(SUM(Calculator!$E$11:$E$28)+Calculator!$C$6)-BV336+BW336)</f>
      </c>
      <c r="BY336" s="0">
        <f>SUM(BD336:BU336)</f>
      </c>
      <c r="BZ336" s="0">
        <f>BV336-BY335</f>
      </c>
      <c r="CA336" s="0">
        <f>IF(A336&lt;=IF($CD$1=0,999,$CD$1),BY336,NA())</f>
      </c>
      <c r="CB336" s="0">
        <f>IF(A336&lt;=IF($CD$1=0,999,$CD$1),A336,NA())</f>
      </c>
    </row>
    <row r="337">
      <c r="A337" s="0">
        <v>334</v>
      </c>
      <c r="B337" s="0">
        <f>BD336*(1+Calculator!$D$11/100/12)</f>
      </c>
      <c r="C337" s="0">
        <f>BE336*(1+Calculator!$D$12/100/12)</f>
      </c>
      <c r="D337" s="0">
        <f>BF336*(1+Calculator!$D$13/100/12)</f>
      </c>
      <c r="E337" s="0">
        <f>BG336*(1+Calculator!$D$14/100/12)</f>
      </c>
      <c r="F337" s="0">
        <f>BH336*(1+Calculator!$D$15/100/12)</f>
      </c>
      <c r="G337" s="0">
        <f>BI336*(1+Calculator!$D$16/100/12)</f>
      </c>
      <c r="H337" s="0">
        <f>BJ336*(1+Calculator!$D$17/100/12)</f>
      </c>
      <c r="I337" s="0">
        <f>BK336*(1+Calculator!$D$18/100/12)</f>
      </c>
      <c r="J337" s="0">
        <f>BL336*(1+Calculator!$D$19/100/12)</f>
      </c>
      <c r="K337" s="0">
        <f>BM336*(1+Calculator!$D$20/100/12)</f>
      </c>
      <c r="L337" s="0">
        <f>BN336*(1+Calculator!$D$21/100/12)</f>
      </c>
      <c r="M337" s="0">
        <f>BO336*(1+Calculator!$D$22/100/12)</f>
      </c>
      <c r="N337" s="0">
        <f>BP336*(1+Calculator!$D$23/100/12)</f>
      </c>
      <c r="O337" s="0">
        <f>BQ336*(1+Calculator!$D$24/100/12)</f>
      </c>
      <c r="P337" s="0">
        <f>BR336*(1+Calculator!$D$25/100/12)</f>
      </c>
      <c r="Q337" s="0">
        <f>BS336*(1+Calculator!$D$26/100/12)</f>
      </c>
      <c r="R337" s="0">
        <f>BT336*(1+Calculator!$D$27/100/12)</f>
      </c>
      <c r="S337" s="0">
        <f>BU336*(1+Calculator!$D$28/100/12)</f>
      </c>
      <c r="T337" s="0">
        <f>MAX(0,B337-Calculator!$E$11)</f>
      </c>
      <c r="U337" s="0">
        <f>MAX(0,C337-Calculator!$E$12)</f>
      </c>
      <c r="V337" s="0">
        <f>MAX(0,D337-Calculator!$E$13)</f>
      </c>
      <c r="W337" s="0">
        <f>MAX(0,E337-Calculator!$E$14)</f>
      </c>
      <c r="X337" s="0">
        <f>MAX(0,F337-Calculator!$E$15)</f>
      </c>
      <c r="Y337" s="0">
        <f>MAX(0,G337-Calculator!$E$16)</f>
      </c>
      <c r="Z337" s="0">
        <f>MAX(0,H337-Calculator!$E$17)</f>
      </c>
      <c r="AA337" s="0">
        <f>MAX(0,I337-Calculator!$E$18)</f>
      </c>
      <c r="AB337" s="0">
        <f>MAX(0,J337-Calculator!$E$19)</f>
      </c>
      <c r="AC337" s="0">
        <f>MAX(0,K337-Calculator!$E$20)</f>
      </c>
      <c r="AD337" s="0">
        <f>MAX(0,L337-Calculator!$E$21)</f>
      </c>
      <c r="AE337" s="0">
        <f>MAX(0,M337-Calculator!$E$22)</f>
      </c>
      <c r="AF337" s="0">
        <f>MAX(0,N337-Calculator!$E$23)</f>
      </c>
      <c r="AG337" s="0">
        <f>MAX(0,O337-Calculator!$E$24)</f>
      </c>
      <c r="AH337" s="0">
        <f>MAX(0,P337-Calculator!$E$25)</f>
      </c>
      <c r="AI337" s="0">
        <f>MAX(0,Q337-Calculator!$E$26)</f>
      </c>
      <c r="AJ337" s="0">
        <f>MAX(0,R337-Calculator!$E$27)</f>
      </c>
      <c r="AK337" s="0">
        <f>MAX(0,S337-Calculator!$E$28)</f>
      </c>
      <c r="AL337" s="0">
        <f>MAX(0,MIN(T337,BX337-SUMPRODUCT(($T$2:$AK$2&lt;T$2)*($T337:$AK337))))</f>
      </c>
      <c r="AM337" s="0">
        <f>MAX(0,MIN(U337,BX337-SUMPRODUCT(($T$2:$AK$2&lt;U$2)*($T337:$AK337))))</f>
      </c>
      <c r="AN337" s="0">
        <f>MAX(0,MIN(V337,BX337-SUMPRODUCT(($T$2:$AK$2&lt;V$2)*($T337:$AK337))))</f>
      </c>
      <c r="AO337" s="0">
        <f>MAX(0,MIN(W337,BX337-SUMPRODUCT(($T$2:$AK$2&lt;W$2)*($T337:$AK337))))</f>
      </c>
      <c r="AP337" s="0">
        <f>MAX(0,MIN(X337,BX337-SUMPRODUCT(($T$2:$AK$2&lt;X$2)*($T337:$AK337))))</f>
      </c>
      <c r="AQ337" s="0">
        <f>MAX(0,MIN(Y337,BX337-SUMPRODUCT(($T$2:$AK$2&lt;Y$2)*($T337:$AK337))))</f>
      </c>
      <c r="AR337" s="0">
        <f>MAX(0,MIN(Z337,BX337-SUMPRODUCT(($T$2:$AK$2&lt;Z$2)*($T337:$AK337))))</f>
      </c>
      <c r="AS337" s="0">
        <f>MAX(0,MIN(AA337,BX337-SUMPRODUCT(($T$2:$AK$2&lt;AA$2)*($T337:$AK337))))</f>
      </c>
      <c r="AT337" s="0">
        <f>MAX(0,MIN(AB337,BX337-SUMPRODUCT(($T$2:$AK$2&lt;AB$2)*($T337:$AK337))))</f>
      </c>
      <c r="AU337" s="0">
        <f>MAX(0,MIN(AC337,BX337-SUMPRODUCT(($T$2:$AK$2&lt;AC$2)*($T337:$AK337))))</f>
      </c>
      <c r="AV337" s="0">
        <f>MAX(0,MIN(AD337,BX337-SUMPRODUCT(($T$2:$AK$2&lt;AD$2)*($T337:$AK337))))</f>
      </c>
      <c r="AW337" s="0">
        <f>MAX(0,MIN(AE337,BX337-SUMPRODUCT(($T$2:$AK$2&lt;AE$2)*($T337:$AK337))))</f>
      </c>
      <c r="AX337" s="0">
        <f>MAX(0,MIN(AF337,BX337-SUMPRODUCT(($T$2:$AK$2&lt;AF$2)*($T337:$AK337))))</f>
      </c>
      <c r="AY337" s="0">
        <f>MAX(0,MIN(AG337,BX337-SUMPRODUCT(($T$2:$AK$2&lt;AG$2)*($T337:$AK337))))</f>
      </c>
      <c r="AZ337" s="0">
        <f>MAX(0,MIN(AH337,BX337-SUMPRODUCT(($T$2:$AK$2&lt;AH$2)*($T337:$AK337))))</f>
      </c>
      <c r="BA337" s="0">
        <f>MAX(0,MIN(AI337,BX337-SUMPRODUCT(($T$2:$AK$2&lt;AI$2)*($T337:$AK337))))</f>
      </c>
      <c r="BB337" s="0">
        <f>MAX(0,MIN(AJ337,BX337-SUMPRODUCT(($T$2:$AK$2&lt;AJ$2)*($T337:$AK337))))</f>
      </c>
      <c r="BC337" s="0">
        <f>MAX(0,MIN(AK337,BX337-SUMPRODUCT(($T$2:$AK$2&lt;AK$2)*($T337:$AK337))))</f>
      </c>
      <c r="BD337" s="0">
        <f>T337-AL337</f>
      </c>
      <c r="BE337" s="0">
        <f>U337-AM337</f>
      </c>
      <c r="BF337" s="0">
        <f>V337-AN337</f>
      </c>
      <c r="BG337" s="0">
        <f>W337-AO337</f>
      </c>
      <c r="BH337" s="0">
        <f>X337-AP337</f>
      </c>
      <c r="BI337" s="0">
        <f>Y337-AQ337</f>
      </c>
      <c r="BJ337" s="0">
        <f>Z337-AR337</f>
      </c>
      <c r="BK337" s="0">
        <f>AA337-AS337</f>
      </c>
      <c r="BL337" s="0">
        <f>AB337-AT337</f>
      </c>
      <c r="BM337" s="0">
        <f>AC337-AU337</f>
      </c>
      <c r="BN337" s="0">
        <f>AD337-AV337</f>
      </c>
      <c r="BO337" s="0">
        <f>AE337-AW337</f>
      </c>
      <c r="BP337" s="0">
        <f>AF337-AX337</f>
      </c>
      <c r="BQ337" s="0">
        <f>AG337-AY337</f>
      </c>
      <c r="BR337" s="0">
        <f>AH337-AZ337</f>
      </c>
      <c r="BS337" s="0">
        <f>AI337-BA337</f>
      </c>
      <c r="BT337" s="0">
        <f>AJ337-BB337</f>
      </c>
      <c r="BU337" s="0">
        <f>AK337-BC337</f>
      </c>
      <c r="BV337" s="0">
        <f>SUM(B337:S337)</f>
      </c>
      <c r="BW337" s="0">
        <f>SUM(T337:AK337)</f>
      </c>
      <c r="BX337" s="0">
        <f>MAX(0,(SUM(Calculator!$E$11:$E$28)+Calculator!$C$6)-BV337+BW337)</f>
      </c>
      <c r="BY337" s="0">
        <f>SUM(BD337:BU337)</f>
      </c>
      <c r="BZ337" s="0">
        <f>BV337-BY336</f>
      </c>
      <c r="CA337" s="0">
        <f>IF(A337&lt;=IF($CD$1=0,999,$CD$1),BY337,NA())</f>
      </c>
      <c r="CB337" s="0">
        <f>IF(A337&lt;=IF($CD$1=0,999,$CD$1),A337,NA())</f>
      </c>
    </row>
    <row r="338">
      <c r="A338" s="0">
        <v>335</v>
      </c>
      <c r="B338" s="0">
        <f>BD337*(1+Calculator!$D$11/100/12)</f>
      </c>
      <c r="C338" s="0">
        <f>BE337*(1+Calculator!$D$12/100/12)</f>
      </c>
      <c r="D338" s="0">
        <f>BF337*(1+Calculator!$D$13/100/12)</f>
      </c>
      <c r="E338" s="0">
        <f>BG337*(1+Calculator!$D$14/100/12)</f>
      </c>
      <c r="F338" s="0">
        <f>BH337*(1+Calculator!$D$15/100/12)</f>
      </c>
      <c r="G338" s="0">
        <f>BI337*(1+Calculator!$D$16/100/12)</f>
      </c>
      <c r="H338" s="0">
        <f>BJ337*(1+Calculator!$D$17/100/12)</f>
      </c>
      <c r="I338" s="0">
        <f>BK337*(1+Calculator!$D$18/100/12)</f>
      </c>
      <c r="J338" s="0">
        <f>BL337*(1+Calculator!$D$19/100/12)</f>
      </c>
      <c r="K338" s="0">
        <f>BM337*(1+Calculator!$D$20/100/12)</f>
      </c>
      <c r="L338" s="0">
        <f>BN337*(1+Calculator!$D$21/100/12)</f>
      </c>
      <c r="M338" s="0">
        <f>BO337*(1+Calculator!$D$22/100/12)</f>
      </c>
      <c r="N338" s="0">
        <f>BP337*(1+Calculator!$D$23/100/12)</f>
      </c>
      <c r="O338" s="0">
        <f>BQ337*(1+Calculator!$D$24/100/12)</f>
      </c>
      <c r="P338" s="0">
        <f>BR337*(1+Calculator!$D$25/100/12)</f>
      </c>
      <c r="Q338" s="0">
        <f>BS337*(1+Calculator!$D$26/100/12)</f>
      </c>
      <c r="R338" s="0">
        <f>BT337*(1+Calculator!$D$27/100/12)</f>
      </c>
      <c r="S338" s="0">
        <f>BU337*(1+Calculator!$D$28/100/12)</f>
      </c>
      <c r="T338" s="0">
        <f>MAX(0,B338-Calculator!$E$11)</f>
      </c>
      <c r="U338" s="0">
        <f>MAX(0,C338-Calculator!$E$12)</f>
      </c>
      <c r="V338" s="0">
        <f>MAX(0,D338-Calculator!$E$13)</f>
      </c>
      <c r="W338" s="0">
        <f>MAX(0,E338-Calculator!$E$14)</f>
      </c>
      <c r="X338" s="0">
        <f>MAX(0,F338-Calculator!$E$15)</f>
      </c>
      <c r="Y338" s="0">
        <f>MAX(0,G338-Calculator!$E$16)</f>
      </c>
      <c r="Z338" s="0">
        <f>MAX(0,H338-Calculator!$E$17)</f>
      </c>
      <c r="AA338" s="0">
        <f>MAX(0,I338-Calculator!$E$18)</f>
      </c>
      <c r="AB338" s="0">
        <f>MAX(0,J338-Calculator!$E$19)</f>
      </c>
      <c r="AC338" s="0">
        <f>MAX(0,K338-Calculator!$E$20)</f>
      </c>
      <c r="AD338" s="0">
        <f>MAX(0,L338-Calculator!$E$21)</f>
      </c>
      <c r="AE338" s="0">
        <f>MAX(0,M338-Calculator!$E$22)</f>
      </c>
      <c r="AF338" s="0">
        <f>MAX(0,N338-Calculator!$E$23)</f>
      </c>
      <c r="AG338" s="0">
        <f>MAX(0,O338-Calculator!$E$24)</f>
      </c>
      <c r="AH338" s="0">
        <f>MAX(0,P338-Calculator!$E$25)</f>
      </c>
      <c r="AI338" s="0">
        <f>MAX(0,Q338-Calculator!$E$26)</f>
      </c>
      <c r="AJ338" s="0">
        <f>MAX(0,R338-Calculator!$E$27)</f>
      </c>
      <c r="AK338" s="0">
        <f>MAX(0,S338-Calculator!$E$28)</f>
      </c>
      <c r="AL338" s="0">
        <f>MAX(0,MIN(T338,BX338-SUMPRODUCT(($T$2:$AK$2&lt;T$2)*($T338:$AK338))))</f>
      </c>
      <c r="AM338" s="0">
        <f>MAX(0,MIN(U338,BX338-SUMPRODUCT(($T$2:$AK$2&lt;U$2)*($T338:$AK338))))</f>
      </c>
      <c r="AN338" s="0">
        <f>MAX(0,MIN(V338,BX338-SUMPRODUCT(($T$2:$AK$2&lt;V$2)*($T338:$AK338))))</f>
      </c>
      <c r="AO338" s="0">
        <f>MAX(0,MIN(W338,BX338-SUMPRODUCT(($T$2:$AK$2&lt;W$2)*($T338:$AK338))))</f>
      </c>
      <c r="AP338" s="0">
        <f>MAX(0,MIN(X338,BX338-SUMPRODUCT(($T$2:$AK$2&lt;X$2)*($T338:$AK338))))</f>
      </c>
      <c r="AQ338" s="0">
        <f>MAX(0,MIN(Y338,BX338-SUMPRODUCT(($T$2:$AK$2&lt;Y$2)*($T338:$AK338))))</f>
      </c>
      <c r="AR338" s="0">
        <f>MAX(0,MIN(Z338,BX338-SUMPRODUCT(($T$2:$AK$2&lt;Z$2)*($T338:$AK338))))</f>
      </c>
      <c r="AS338" s="0">
        <f>MAX(0,MIN(AA338,BX338-SUMPRODUCT(($T$2:$AK$2&lt;AA$2)*($T338:$AK338))))</f>
      </c>
      <c r="AT338" s="0">
        <f>MAX(0,MIN(AB338,BX338-SUMPRODUCT(($T$2:$AK$2&lt;AB$2)*($T338:$AK338))))</f>
      </c>
      <c r="AU338" s="0">
        <f>MAX(0,MIN(AC338,BX338-SUMPRODUCT(($T$2:$AK$2&lt;AC$2)*($T338:$AK338))))</f>
      </c>
      <c r="AV338" s="0">
        <f>MAX(0,MIN(AD338,BX338-SUMPRODUCT(($T$2:$AK$2&lt;AD$2)*($T338:$AK338))))</f>
      </c>
      <c r="AW338" s="0">
        <f>MAX(0,MIN(AE338,BX338-SUMPRODUCT(($T$2:$AK$2&lt;AE$2)*($T338:$AK338))))</f>
      </c>
      <c r="AX338" s="0">
        <f>MAX(0,MIN(AF338,BX338-SUMPRODUCT(($T$2:$AK$2&lt;AF$2)*($T338:$AK338))))</f>
      </c>
      <c r="AY338" s="0">
        <f>MAX(0,MIN(AG338,BX338-SUMPRODUCT(($T$2:$AK$2&lt;AG$2)*($T338:$AK338))))</f>
      </c>
      <c r="AZ338" s="0">
        <f>MAX(0,MIN(AH338,BX338-SUMPRODUCT(($T$2:$AK$2&lt;AH$2)*($T338:$AK338))))</f>
      </c>
      <c r="BA338" s="0">
        <f>MAX(0,MIN(AI338,BX338-SUMPRODUCT(($T$2:$AK$2&lt;AI$2)*($T338:$AK338))))</f>
      </c>
      <c r="BB338" s="0">
        <f>MAX(0,MIN(AJ338,BX338-SUMPRODUCT(($T$2:$AK$2&lt;AJ$2)*($T338:$AK338))))</f>
      </c>
      <c r="BC338" s="0">
        <f>MAX(0,MIN(AK338,BX338-SUMPRODUCT(($T$2:$AK$2&lt;AK$2)*($T338:$AK338))))</f>
      </c>
      <c r="BD338" s="0">
        <f>T338-AL338</f>
      </c>
      <c r="BE338" s="0">
        <f>U338-AM338</f>
      </c>
      <c r="BF338" s="0">
        <f>V338-AN338</f>
      </c>
      <c r="BG338" s="0">
        <f>W338-AO338</f>
      </c>
      <c r="BH338" s="0">
        <f>X338-AP338</f>
      </c>
      <c r="BI338" s="0">
        <f>Y338-AQ338</f>
      </c>
      <c r="BJ338" s="0">
        <f>Z338-AR338</f>
      </c>
      <c r="BK338" s="0">
        <f>AA338-AS338</f>
      </c>
      <c r="BL338" s="0">
        <f>AB338-AT338</f>
      </c>
      <c r="BM338" s="0">
        <f>AC338-AU338</f>
      </c>
      <c r="BN338" s="0">
        <f>AD338-AV338</f>
      </c>
      <c r="BO338" s="0">
        <f>AE338-AW338</f>
      </c>
      <c r="BP338" s="0">
        <f>AF338-AX338</f>
      </c>
      <c r="BQ338" s="0">
        <f>AG338-AY338</f>
      </c>
      <c r="BR338" s="0">
        <f>AH338-AZ338</f>
      </c>
      <c r="BS338" s="0">
        <f>AI338-BA338</f>
      </c>
      <c r="BT338" s="0">
        <f>AJ338-BB338</f>
      </c>
      <c r="BU338" s="0">
        <f>AK338-BC338</f>
      </c>
      <c r="BV338" s="0">
        <f>SUM(B338:S338)</f>
      </c>
      <c r="BW338" s="0">
        <f>SUM(T338:AK338)</f>
      </c>
      <c r="BX338" s="0">
        <f>MAX(0,(SUM(Calculator!$E$11:$E$28)+Calculator!$C$6)-BV338+BW338)</f>
      </c>
      <c r="BY338" s="0">
        <f>SUM(BD338:BU338)</f>
      </c>
      <c r="BZ338" s="0">
        <f>BV338-BY337</f>
      </c>
      <c r="CA338" s="0">
        <f>IF(A338&lt;=IF($CD$1=0,999,$CD$1),BY338,NA())</f>
      </c>
      <c r="CB338" s="0">
        <f>IF(A338&lt;=IF($CD$1=0,999,$CD$1),A338,NA())</f>
      </c>
    </row>
    <row r="339">
      <c r="A339" s="0">
        <v>336</v>
      </c>
      <c r="B339" s="0">
        <f>BD338*(1+Calculator!$D$11/100/12)</f>
      </c>
      <c r="C339" s="0">
        <f>BE338*(1+Calculator!$D$12/100/12)</f>
      </c>
      <c r="D339" s="0">
        <f>BF338*(1+Calculator!$D$13/100/12)</f>
      </c>
      <c r="E339" s="0">
        <f>BG338*(1+Calculator!$D$14/100/12)</f>
      </c>
      <c r="F339" s="0">
        <f>BH338*(1+Calculator!$D$15/100/12)</f>
      </c>
      <c r="G339" s="0">
        <f>BI338*(1+Calculator!$D$16/100/12)</f>
      </c>
      <c r="H339" s="0">
        <f>BJ338*(1+Calculator!$D$17/100/12)</f>
      </c>
      <c r="I339" s="0">
        <f>BK338*(1+Calculator!$D$18/100/12)</f>
      </c>
      <c r="J339" s="0">
        <f>BL338*(1+Calculator!$D$19/100/12)</f>
      </c>
      <c r="K339" s="0">
        <f>BM338*(1+Calculator!$D$20/100/12)</f>
      </c>
      <c r="L339" s="0">
        <f>BN338*(1+Calculator!$D$21/100/12)</f>
      </c>
      <c r="M339" s="0">
        <f>BO338*(1+Calculator!$D$22/100/12)</f>
      </c>
      <c r="N339" s="0">
        <f>BP338*(1+Calculator!$D$23/100/12)</f>
      </c>
      <c r="O339" s="0">
        <f>BQ338*(1+Calculator!$D$24/100/12)</f>
      </c>
      <c r="P339" s="0">
        <f>BR338*(1+Calculator!$D$25/100/12)</f>
      </c>
      <c r="Q339" s="0">
        <f>BS338*(1+Calculator!$D$26/100/12)</f>
      </c>
      <c r="R339" s="0">
        <f>BT338*(1+Calculator!$D$27/100/12)</f>
      </c>
      <c r="S339" s="0">
        <f>BU338*(1+Calculator!$D$28/100/12)</f>
      </c>
      <c r="T339" s="0">
        <f>MAX(0,B339-Calculator!$E$11)</f>
      </c>
      <c r="U339" s="0">
        <f>MAX(0,C339-Calculator!$E$12)</f>
      </c>
      <c r="V339" s="0">
        <f>MAX(0,D339-Calculator!$E$13)</f>
      </c>
      <c r="W339" s="0">
        <f>MAX(0,E339-Calculator!$E$14)</f>
      </c>
      <c r="X339" s="0">
        <f>MAX(0,F339-Calculator!$E$15)</f>
      </c>
      <c r="Y339" s="0">
        <f>MAX(0,G339-Calculator!$E$16)</f>
      </c>
      <c r="Z339" s="0">
        <f>MAX(0,H339-Calculator!$E$17)</f>
      </c>
      <c r="AA339" s="0">
        <f>MAX(0,I339-Calculator!$E$18)</f>
      </c>
      <c r="AB339" s="0">
        <f>MAX(0,J339-Calculator!$E$19)</f>
      </c>
      <c r="AC339" s="0">
        <f>MAX(0,K339-Calculator!$E$20)</f>
      </c>
      <c r="AD339" s="0">
        <f>MAX(0,L339-Calculator!$E$21)</f>
      </c>
      <c r="AE339" s="0">
        <f>MAX(0,M339-Calculator!$E$22)</f>
      </c>
      <c r="AF339" s="0">
        <f>MAX(0,N339-Calculator!$E$23)</f>
      </c>
      <c r="AG339" s="0">
        <f>MAX(0,O339-Calculator!$E$24)</f>
      </c>
      <c r="AH339" s="0">
        <f>MAX(0,P339-Calculator!$E$25)</f>
      </c>
      <c r="AI339" s="0">
        <f>MAX(0,Q339-Calculator!$E$26)</f>
      </c>
      <c r="AJ339" s="0">
        <f>MAX(0,R339-Calculator!$E$27)</f>
      </c>
      <c r="AK339" s="0">
        <f>MAX(0,S339-Calculator!$E$28)</f>
      </c>
      <c r="AL339" s="0">
        <f>MAX(0,MIN(T339,BX339-SUMPRODUCT(($T$2:$AK$2&lt;T$2)*($T339:$AK339))))</f>
      </c>
      <c r="AM339" s="0">
        <f>MAX(0,MIN(U339,BX339-SUMPRODUCT(($T$2:$AK$2&lt;U$2)*($T339:$AK339))))</f>
      </c>
      <c r="AN339" s="0">
        <f>MAX(0,MIN(V339,BX339-SUMPRODUCT(($T$2:$AK$2&lt;V$2)*($T339:$AK339))))</f>
      </c>
      <c r="AO339" s="0">
        <f>MAX(0,MIN(W339,BX339-SUMPRODUCT(($T$2:$AK$2&lt;W$2)*($T339:$AK339))))</f>
      </c>
      <c r="AP339" s="0">
        <f>MAX(0,MIN(X339,BX339-SUMPRODUCT(($T$2:$AK$2&lt;X$2)*($T339:$AK339))))</f>
      </c>
      <c r="AQ339" s="0">
        <f>MAX(0,MIN(Y339,BX339-SUMPRODUCT(($T$2:$AK$2&lt;Y$2)*($T339:$AK339))))</f>
      </c>
      <c r="AR339" s="0">
        <f>MAX(0,MIN(Z339,BX339-SUMPRODUCT(($T$2:$AK$2&lt;Z$2)*($T339:$AK339))))</f>
      </c>
      <c r="AS339" s="0">
        <f>MAX(0,MIN(AA339,BX339-SUMPRODUCT(($T$2:$AK$2&lt;AA$2)*($T339:$AK339))))</f>
      </c>
      <c r="AT339" s="0">
        <f>MAX(0,MIN(AB339,BX339-SUMPRODUCT(($T$2:$AK$2&lt;AB$2)*($T339:$AK339))))</f>
      </c>
      <c r="AU339" s="0">
        <f>MAX(0,MIN(AC339,BX339-SUMPRODUCT(($T$2:$AK$2&lt;AC$2)*($T339:$AK339))))</f>
      </c>
      <c r="AV339" s="0">
        <f>MAX(0,MIN(AD339,BX339-SUMPRODUCT(($T$2:$AK$2&lt;AD$2)*($T339:$AK339))))</f>
      </c>
      <c r="AW339" s="0">
        <f>MAX(0,MIN(AE339,BX339-SUMPRODUCT(($T$2:$AK$2&lt;AE$2)*($T339:$AK339))))</f>
      </c>
      <c r="AX339" s="0">
        <f>MAX(0,MIN(AF339,BX339-SUMPRODUCT(($T$2:$AK$2&lt;AF$2)*($T339:$AK339))))</f>
      </c>
      <c r="AY339" s="0">
        <f>MAX(0,MIN(AG339,BX339-SUMPRODUCT(($T$2:$AK$2&lt;AG$2)*($T339:$AK339))))</f>
      </c>
      <c r="AZ339" s="0">
        <f>MAX(0,MIN(AH339,BX339-SUMPRODUCT(($T$2:$AK$2&lt;AH$2)*($T339:$AK339))))</f>
      </c>
      <c r="BA339" s="0">
        <f>MAX(0,MIN(AI339,BX339-SUMPRODUCT(($T$2:$AK$2&lt;AI$2)*($T339:$AK339))))</f>
      </c>
      <c r="BB339" s="0">
        <f>MAX(0,MIN(AJ339,BX339-SUMPRODUCT(($T$2:$AK$2&lt;AJ$2)*($T339:$AK339))))</f>
      </c>
      <c r="BC339" s="0">
        <f>MAX(0,MIN(AK339,BX339-SUMPRODUCT(($T$2:$AK$2&lt;AK$2)*($T339:$AK339))))</f>
      </c>
      <c r="BD339" s="0">
        <f>T339-AL339</f>
      </c>
      <c r="BE339" s="0">
        <f>U339-AM339</f>
      </c>
      <c r="BF339" s="0">
        <f>V339-AN339</f>
      </c>
      <c r="BG339" s="0">
        <f>W339-AO339</f>
      </c>
      <c r="BH339" s="0">
        <f>X339-AP339</f>
      </c>
      <c r="BI339" s="0">
        <f>Y339-AQ339</f>
      </c>
      <c r="BJ339" s="0">
        <f>Z339-AR339</f>
      </c>
      <c r="BK339" s="0">
        <f>AA339-AS339</f>
      </c>
      <c r="BL339" s="0">
        <f>AB339-AT339</f>
      </c>
      <c r="BM339" s="0">
        <f>AC339-AU339</f>
      </c>
      <c r="BN339" s="0">
        <f>AD339-AV339</f>
      </c>
      <c r="BO339" s="0">
        <f>AE339-AW339</f>
      </c>
      <c r="BP339" s="0">
        <f>AF339-AX339</f>
      </c>
      <c r="BQ339" s="0">
        <f>AG339-AY339</f>
      </c>
      <c r="BR339" s="0">
        <f>AH339-AZ339</f>
      </c>
      <c r="BS339" s="0">
        <f>AI339-BA339</f>
      </c>
      <c r="BT339" s="0">
        <f>AJ339-BB339</f>
      </c>
      <c r="BU339" s="0">
        <f>AK339-BC339</f>
      </c>
      <c r="BV339" s="0">
        <f>SUM(B339:S339)</f>
      </c>
      <c r="BW339" s="0">
        <f>SUM(T339:AK339)</f>
      </c>
      <c r="BX339" s="0">
        <f>MAX(0,(SUM(Calculator!$E$11:$E$28)+Calculator!$C$6)-BV339+BW339)</f>
      </c>
      <c r="BY339" s="0">
        <f>SUM(BD339:BU339)</f>
      </c>
      <c r="BZ339" s="0">
        <f>BV339-BY338</f>
      </c>
      <c r="CA339" s="0">
        <f>IF(A339&lt;=IF($CD$1=0,999,$CD$1),BY339,NA())</f>
      </c>
      <c r="CB339" s="0">
        <f>IF(A339&lt;=IF($CD$1=0,999,$CD$1),A339,NA())</f>
      </c>
    </row>
    <row r="340">
      <c r="A340" s="0">
        <v>337</v>
      </c>
      <c r="B340" s="0">
        <f>BD339*(1+Calculator!$D$11/100/12)</f>
      </c>
      <c r="C340" s="0">
        <f>BE339*(1+Calculator!$D$12/100/12)</f>
      </c>
      <c r="D340" s="0">
        <f>BF339*(1+Calculator!$D$13/100/12)</f>
      </c>
      <c r="E340" s="0">
        <f>BG339*(1+Calculator!$D$14/100/12)</f>
      </c>
      <c r="F340" s="0">
        <f>BH339*(1+Calculator!$D$15/100/12)</f>
      </c>
      <c r="G340" s="0">
        <f>BI339*(1+Calculator!$D$16/100/12)</f>
      </c>
      <c r="H340" s="0">
        <f>BJ339*(1+Calculator!$D$17/100/12)</f>
      </c>
      <c r="I340" s="0">
        <f>BK339*(1+Calculator!$D$18/100/12)</f>
      </c>
      <c r="J340" s="0">
        <f>BL339*(1+Calculator!$D$19/100/12)</f>
      </c>
      <c r="K340" s="0">
        <f>BM339*(1+Calculator!$D$20/100/12)</f>
      </c>
      <c r="L340" s="0">
        <f>BN339*(1+Calculator!$D$21/100/12)</f>
      </c>
      <c r="M340" s="0">
        <f>BO339*(1+Calculator!$D$22/100/12)</f>
      </c>
      <c r="N340" s="0">
        <f>BP339*(1+Calculator!$D$23/100/12)</f>
      </c>
      <c r="O340" s="0">
        <f>BQ339*(1+Calculator!$D$24/100/12)</f>
      </c>
      <c r="P340" s="0">
        <f>BR339*(1+Calculator!$D$25/100/12)</f>
      </c>
      <c r="Q340" s="0">
        <f>BS339*(1+Calculator!$D$26/100/12)</f>
      </c>
      <c r="R340" s="0">
        <f>BT339*(1+Calculator!$D$27/100/12)</f>
      </c>
      <c r="S340" s="0">
        <f>BU339*(1+Calculator!$D$28/100/12)</f>
      </c>
      <c r="T340" s="0">
        <f>MAX(0,B340-Calculator!$E$11)</f>
      </c>
      <c r="U340" s="0">
        <f>MAX(0,C340-Calculator!$E$12)</f>
      </c>
      <c r="V340" s="0">
        <f>MAX(0,D340-Calculator!$E$13)</f>
      </c>
      <c r="W340" s="0">
        <f>MAX(0,E340-Calculator!$E$14)</f>
      </c>
      <c r="X340" s="0">
        <f>MAX(0,F340-Calculator!$E$15)</f>
      </c>
      <c r="Y340" s="0">
        <f>MAX(0,G340-Calculator!$E$16)</f>
      </c>
      <c r="Z340" s="0">
        <f>MAX(0,H340-Calculator!$E$17)</f>
      </c>
      <c r="AA340" s="0">
        <f>MAX(0,I340-Calculator!$E$18)</f>
      </c>
      <c r="AB340" s="0">
        <f>MAX(0,J340-Calculator!$E$19)</f>
      </c>
      <c r="AC340" s="0">
        <f>MAX(0,K340-Calculator!$E$20)</f>
      </c>
      <c r="AD340" s="0">
        <f>MAX(0,L340-Calculator!$E$21)</f>
      </c>
      <c r="AE340" s="0">
        <f>MAX(0,M340-Calculator!$E$22)</f>
      </c>
      <c r="AF340" s="0">
        <f>MAX(0,N340-Calculator!$E$23)</f>
      </c>
      <c r="AG340" s="0">
        <f>MAX(0,O340-Calculator!$E$24)</f>
      </c>
      <c r="AH340" s="0">
        <f>MAX(0,P340-Calculator!$E$25)</f>
      </c>
      <c r="AI340" s="0">
        <f>MAX(0,Q340-Calculator!$E$26)</f>
      </c>
      <c r="AJ340" s="0">
        <f>MAX(0,R340-Calculator!$E$27)</f>
      </c>
      <c r="AK340" s="0">
        <f>MAX(0,S340-Calculator!$E$28)</f>
      </c>
      <c r="AL340" s="0">
        <f>MAX(0,MIN(T340,BX340-SUMPRODUCT(($T$2:$AK$2&lt;T$2)*($T340:$AK340))))</f>
      </c>
      <c r="AM340" s="0">
        <f>MAX(0,MIN(U340,BX340-SUMPRODUCT(($T$2:$AK$2&lt;U$2)*($T340:$AK340))))</f>
      </c>
      <c r="AN340" s="0">
        <f>MAX(0,MIN(V340,BX340-SUMPRODUCT(($T$2:$AK$2&lt;V$2)*($T340:$AK340))))</f>
      </c>
      <c r="AO340" s="0">
        <f>MAX(0,MIN(W340,BX340-SUMPRODUCT(($T$2:$AK$2&lt;W$2)*($T340:$AK340))))</f>
      </c>
      <c r="AP340" s="0">
        <f>MAX(0,MIN(X340,BX340-SUMPRODUCT(($T$2:$AK$2&lt;X$2)*($T340:$AK340))))</f>
      </c>
      <c r="AQ340" s="0">
        <f>MAX(0,MIN(Y340,BX340-SUMPRODUCT(($T$2:$AK$2&lt;Y$2)*($T340:$AK340))))</f>
      </c>
      <c r="AR340" s="0">
        <f>MAX(0,MIN(Z340,BX340-SUMPRODUCT(($T$2:$AK$2&lt;Z$2)*($T340:$AK340))))</f>
      </c>
      <c r="AS340" s="0">
        <f>MAX(0,MIN(AA340,BX340-SUMPRODUCT(($T$2:$AK$2&lt;AA$2)*($T340:$AK340))))</f>
      </c>
      <c r="AT340" s="0">
        <f>MAX(0,MIN(AB340,BX340-SUMPRODUCT(($T$2:$AK$2&lt;AB$2)*($T340:$AK340))))</f>
      </c>
      <c r="AU340" s="0">
        <f>MAX(0,MIN(AC340,BX340-SUMPRODUCT(($T$2:$AK$2&lt;AC$2)*($T340:$AK340))))</f>
      </c>
      <c r="AV340" s="0">
        <f>MAX(0,MIN(AD340,BX340-SUMPRODUCT(($T$2:$AK$2&lt;AD$2)*($T340:$AK340))))</f>
      </c>
      <c r="AW340" s="0">
        <f>MAX(0,MIN(AE340,BX340-SUMPRODUCT(($T$2:$AK$2&lt;AE$2)*($T340:$AK340))))</f>
      </c>
      <c r="AX340" s="0">
        <f>MAX(0,MIN(AF340,BX340-SUMPRODUCT(($T$2:$AK$2&lt;AF$2)*($T340:$AK340))))</f>
      </c>
      <c r="AY340" s="0">
        <f>MAX(0,MIN(AG340,BX340-SUMPRODUCT(($T$2:$AK$2&lt;AG$2)*($T340:$AK340))))</f>
      </c>
      <c r="AZ340" s="0">
        <f>MAX(0,MIN(AH340,BX340-SUMPRODUCT(($T$2:$AK$2&lt;AH$2)*($T340:$AK340))))</f>
      </c>
      <c r="BA340" s="0">
        <f>MAX(0,MIN(AI340,BX340-SUMPRODUCT(($T$2:$AK$2&lt;AI$2)*($T340:$AK340))))</f>
      </c>
      <c r="BB340" s="0">
        <f>MAX(0,MIN(AJ340,BX340-SUMPRODUCT(($T$2:$AK$2&lt;AJ$2)*($T340:$AK340))))</f>
      </c>
      <c r="BC340" s="0">
        <f>MAX(0,MIN(AK340,BX340-SUMPRODUCT(($T$2:$AK$2&lt;AK$2)*($T340:$AK340))))</f>
      </c>
      <c r="BD340" s="0">
        <f>T340-AL340</f>
      </c>
      <c r="BE340" s="0">
        <f>U340-AM340</f>
      </c>
      <c r="BF340" s="0">
        <f>V340-AN340</f>
      </c>
      <c r="BG340" s="0">
        <f>W340-AO340</f>
      </c>
      <c r="BH340" s="0">
        <f>X340-AP340</f>
      </c>
      <c r="BI340" s="0">
        <f>Y340-AQ340</f>
      </c>
      <c r="BJ340" s="0">
        <f>Z340-AR340</f>
      </c>
      <c r="BK340" s="0">
        <f>AA340-AS340</f>
      </c>
      <c r="BL340" s="0">
        <f>AB340-AT340</f>
      </c>
      <c r="BM340" s="0">
        <f>AC340-AU340</f>
      </c>
      <c r="BN340" s="0">
        <f>AD340-AV340</f>
      </c>
      <c r="BO340" s="0">
        <f>AE340-AW340</f>
      </c>
      <c r="BP340" s="0">
        <f>AF340-AX340</f>
      </c>
      <c r="BQ340" s="0">
        <f>AG340-AY340</f>
      </c>
      <c r="BR340" s="0">
        <f>AH340-AZ340</f>
      </c>
      <c r="BS340" s="0">
        <f>AI340-BA340</f>
      </c>
      <c r="BT340" s="0">
        <f>AJ340-BB340</f>
      </c>
      <c r="BU340" s="0">
        <f>AK340-BC340</f>
      </c>
      <c r="BV340" s="0">
        <f>SUM(B340:S340)</f>
      </c>
      <c r="BW340" s="0">
        <f>SUM(T340:AK340)</f>
      </c>
      <c r="BX340" s="0">
        <f>MAX(0,(SUM(Calculator!$E$11:$E$28)+Calculator!$C$6)-BV340+BW340)</f>
      </c>
      <c r="BY340" s="0">
        <f>SUM(BD340:BU340)</f>
      </c>
      <c r="BZ340" s="0">
        <f>BV340-BY339</f>
      </c>
      <c r="CA340" s="0">
        <f>IF(A340&lt;=IF($CD$1=0,999,$CD$1),BY340,NA())</f>
      </c>
      <c r="CB340" s="0">
        <f>IF(A340&lt;=IF($CD$1=0,999,$CD$1),A340,NA())</f>
      </c>
    </row>
    <row r="341">
      <c r="A341" s="0">
        <v>338</v>
      </c>
      <c r="B341" s="0">
        <f>BD340*(1+Calculator!$D$11/100/12)</f>
      </c>
      <c r="C341" s="0">
        <f>BE340*(1+Calculator!$D$12/100/12)</f>
      </c>
      <c r="D341" s="0">
        <f>BF340*(1+Calculator!$D$13/100/12)</f>
      </c>
      <c r="E341" s="0">
        <f>BG340*(1+Calculator!$D$14/100/12)</f>
      </c>
      <c r="F341" s="0">
        <f>BH340*(1+Calculator!$D$15/100/12)</f>
      </c>
      <c r="G341" s="0">
        <f>BI340*(1+Calculator!$D$16/100/12)</f>
      </c>
      <c r="H341" s="0">
        <f>BJ340*(1+Calculator!$D$17/100/12)</f>
      </c>
      <c r="I341" s="0">
        <f>BK340*(1+Calculator!$D$18/100/12)</f>
      </c>
      <c r="J341" s="0">
        <f>BL340*(1+Calculator!$D$19/100/12)</f>
      </c>
      <c r="K341" s="0">
        <f>BM340*(1+Calculator!$D$20/100/12)</f>
      </c>
      <c r="L341" s="0">
        <f>BN340*(1+Calculator!$D$21/100/12)</f>
      </c>
      <c r="M341" s="0">
        <f>BO340*(1+Calculator!$D$22/100/12)</f>
      </c>
      <c r="N341" s="0">
        <f>BP340*(1+Calculator!$D$23/100/12)</f>
      </c>
      <c r="O341" s="0">
        <f>BQ340*(1+Calculator!$D$24/100/12)</f>
      </c>
      <c r="P341" s="0">
        <f>BR340*(1+Calculator!$D$25/100/12)</f>
      </c>
      <c r="Q341" s="0">
        <f>BS340*(1+Calculator!$D$26/100/12)</f>
      </c>
      <c r="R341" s="0">
        <f>BT340*(1+Calculator!$D$27/100/12)</f>
      </c>
      <c r="S341" s="0">
        <f>BU340*(1+Calculator!$D$28/100/12)</f>
      </c>
      <c r="T341" s="0">
        <f>MAX(0,B341-Calculator!$E$11)</f>
      </c>
      <c r="U341" s="0">
        <f>MAX(0,C341-Calculator!$E$12)</f>
      </c>
      <c r="V341" s="0">
        <f>MAX(0,D341-Calculator!$E$13)</f>
      </c>
      <c r="W341" s="0">
        <f>MAX(0,E341-Calculator!$E$14)</f>
      </c>
      <c r="X341" s="0">
        <f>MAX(0,F341-Calculator!$E$15)</f>
      </c>
      <c r="Y341" s="0">
        <f>MAX(0,G341-Calculator!$E$16)</f>
      </c>
      <c r="Z341" s="0">
        <f>MAX(0,H341-Calculator!$E$17)</f>
      </c>
      <c r="AA341" s="0">
        <f>MAX(0,I341-Calculator!$E$18)</f>
      </c>
      <c r="AB341" s="0">
        <f>MAX(0,J341-Calculator!$E$19)</f>
      </c>
      <c r="AC341" s="0">
        <f>MAX(0,K341-Calculator!$E$20)</f>
      </c>
      <c r="AD341" s="0">
        <f>MAX(0,L341-Calculator!$E$21)</f>
      </c>
      <c r="AE341" s="0">
        <f>MAX(0,M341-Calculator!$E$22)</f>
      </c>
      <c r="AF341" s="0">
        <f>MAX(0,N341-Calculator!$E$23)</f>
      </c>
      <c r="AG341" s="0">
        <f>MAX(0,O341-Calculator!$E$24)</f>
      </c>
      <c r="AH341" s="0">
        <f>MAX(0,P341-Calculator!$E$25)</f>
      </c>
      <c r="AI341" s="0">
        <f>MAX(0,Q341-Calculator!$E$26)</f>
      </c>
      <c r="AJ341" s="0">
        <f>MAX(0,R341-Calculator!$E$27)</f>
      </c>
      <c r="AK341" s="0">
        <f>MAX(0,S341-Calculator!$E$28)</f>
      </c>
      <c r="AL341" s="0">
        <f>MAX(0,MIN(T341,BX341-SUMPRODUCT(($T$2:$AK$2&lt;T$2)*($T341:$AK341))))</f>
      </c>
      <c r="AM341" s="0">
        <f>MAX(0,MIN(U341,BX341-SUMPRODUCT(($T$2:$AK$2&lt;U$2)*($T341:$AK341))))</f>
      </c>
      <c r="AN341" s="0">
        <f>MAX(0,MIN(V341,BX341-SUMPRODUCT(($T$2:$AK$2&lt;V$2)*($T341:$AK341))))</f>
      </c>
      <c r="AO341" s="0">
        <f>MAX(0,MIN(W341,BX341-SUMPRODUCT(($T$2:$AK$2&lt;W$2)*($T341:$AK341))))</f>
      </c>
      <c r="AP341" s="0">
        <f>MAX(0,MIN(X341,BX341-SUMPRODUCT(($T$2:$AK$2&lt;X$2)*($T341:$AK341))))</f>
      </c>
      <c r="AQ341" s="0">
        <f>MAX(0,MIN(Y341,BX341-SUMPRODUCT(($T$2:$AK$2&lt;Y$2)*($T341:$AK341))))</f>
      </c>
      <c r="AR341" s="0">
        <f>MAX(0,MIN(Z341,BX341-SUMPRODUCT(($T$2:$AK$2&lt;Z$2)*($T341:$AK341))))</f>
      </c>
      <c r="AS341" s="0">
        <f>MAX(0,MIN(AA341,BX341-SUMPRODUCT(($T$2:$AK$2&lt;AA$2)*($T341:$AK341))))</f>
      </c>
      <c r="AT341" s="0">
        <f>MAX(0,MIN(AB341,BX341-SUMPRODUCT(($T$2:$AK$2&lt;AB$2)*($T341:$AK341))))</f>
      </c>
      <c r="AU341" s="0">
        <f>MAX(0,MIN(AC341,BX341-SUMPRODUCT(($T$2:$AK$2&lt;AC$2)*($T341:$AK341))))</f>
      </c>
      <c r="AV341" s="0">
        <f>MAX(0,MIN(AD341,BX341-SUMPRODUCT(($T$2:$AK$2&lt;AD$2)*($T341:$AK341))))</f>
      </c>
      <c r="AW341" s="0">
        <f>MAX(0,MIN(AE341,BX341-SUMPRODUCT(($T$2:$AK$2&lt;AE$2)*($T341:$AK341))))</f>
      </c>
      <c r="AX341" s="0">
        <f>MAX(0,MIN(AF341,BX341-SUMPRODUCT(($T$2:$AK$2&lt;AF$2)*($T341:$AK341))))</f>
      </c>
      <c r="AY341" s="0">
        <f>MAX(0,MIN(AG341,BX341-SUMPRODUCT(($T$2:$AK$2&lt;AG$2)*($T341:$AK341))))</f>
      </c>
      <c r="AZ341" s="0">
        <f>MAX(0,MIN(AH341,BX341-SUMPRODUCT(($T$2:$AK$2&lt;AH$2)*($T341:$AK341))))</f>
      </c>
      <c r="BA341" s="0">
        <f>MAX(0,MIN(AI341,BX341-SUMPRODUCT(($T$2:$AK$2&lt;AI$2)*($T341:$AK341))))</f>
      </c>
      <c r="BB341" s="0">
        <f>MAX(0,MIN(AJ341,BX341-SUMPRODUCT(($T$2:$AK$2&lt;AJ$2)*($T341:$AK341))))</f>
      </c>
      <c r="BC341" s="0">
        <f>MAX(0,MIN(AK341,BX341-SUMPRODUCT(($T$2:$AK$2&lt;AK$2)*($T341:$AK341))))</f>
      </c>
      <c r="BD341" s="0">
        <f>T341-AL341</f>
      </c>
      <c r="BE341" s="0">
        <f>U341-AM341</f>
      </c>
      <c r="BF341" s="0">
        <f>V341-AN341</f>
      </c>
      <c r="BG341" s="0">
        <f>W341-AO341</f>
      </c>
      <c r="BH341" s="0">
        <f>X341-AP341</f>
      </c>
      <c r="BI341" s="0">
        <f>Y341-AQ341</f>
      </c>
      <c r="BJ341" s="0">
        <f>Z341-AR341</f>
      </c>
      <c r="BK341" s="0">
        <f>AA341-AS341</f>
      </c>
      <c r="BL341" s="0">
        <f>AB341-AT341</f>
      </c>
      <c r="BM341" s="0">
        <f>AC341-AU341</f>
      </c>
      <c r="BN341" s="0">
        <f>AD341-AV341</f>
      </c>
      <c r="BO341" s="0">
        <f>AE341-AW341</f>
      </c>
      <c r="BP341" s="0">
        <f>AF341-AX341</f>
      </c>
      <c r="BQ341" s="0">
        <f>AG341-AY341</f>
      </c>
      <c r="BR341" s="0">
        <f>AH341-AZ341</f>
      </c>
      <c r="BS341" s="0">
        <f>AI341-BA341</f>
      </c>
      <c r="BT341" s="0">
        <f>AJ341-BB341</f>
      </c>
      <c r="BU341" s="0">
        <f>AK341-BC341</f>
      </c>
      <c r="BV341" s="0">
        <f>SUM(B341:S341)</f>
      </c>
      <c r="BW341" s="0">
        <f>SUM(T341:AK341)</f>
      </c>
      <c r="BX341" s="0">
        <f>MAX(0,(SUM(Calculator!$E$11:$E$28)+Calculator!$C$6)-BV341+BW341)</f>
      </c>
      <c r="BY341" s="0">
        <f>SUM(BD341:BU341)</f>
      </c>
      <c r="BZ341" s="0">
        <f>BV341-BY340</f>
      </c>
      <c r="CA341" s="0">
        <f>IF(A341&lt;=IF($CD$1=0,999,$CD$1),BY341,NA())</f>
      </c>
      <c r="CB341" s="0">
        <f>IF(A341&lt;=IF($CD$1=0,999,$CD$1),A341,NA())</f>
      </c>
    </row>
    <row r="342">
      <c r="A342" s="0">
        <v>339</v>
      </c>
      <c r="B342" s="0">
        <f>BD341*(1+Calculator!$D$11/100/12)</f>
      </c>
      <c r="C342" s="0">
        <f>BE341*(1+Calculator!$D$12/100/12)</f>
      </c>
      <c r="D342" s="0">
        <f>BF341*(1+Calculator!$D$13/100/12)</f>
      </c>
      <c r="E342" s="0">
        <f>BG341*(1+Calculator!$D$14/100/12)</f>
      </c>
      <c r="F342" s="0">
        <f>BH341*(1+Calculator!$D$15/100/12)</f>
      </c>
      <c r="G342" s="0">
        <f>BI341*(1+Calculator!$D$16/100/12)</f>
      </c>
      <c r="H342" s="0">
        <f>BJ341*(1+Calculator!$D$17/100/12)</f>
      </c>
      <c r="I342" s="0">
        <f>BK341*(1+Calculator!$D$18/100/12)</f>
      </c>
      <c r="J342" s="0">
        <f>BL341*(1+Calculator!$D$19/100/12)</f>
      </c>
      <c r="K342" s="0">
        <f>BM341*(1+Calculator!$D$20/100/12)</f>
      </c>
      <c r="L342" s="0">
        <f>BN341*(1+Calculator!$D$21/100/12)</f>
      </c>
      <c r="M342" s="0">
        <f>BO341*(1+Calculator!$D$22/100/12)</f>
      </c>
      <c r="N342" s="0">
        <f>BP341*(1+Calculator!$D$23/100/12)</f>
      </c>
      <c r="O342" s="0">
        <f>BQ341*(1+Calculator!$D$24/100/12)</f>
      </c>
      <c r="P342" s="0">
        <f>BR341*(1+Calculator!$D$25/100/12)</f>
      </c>
      <c r="Q342" s="0">
        <f>BS341*(1+Calculator!$D$26/100/12)</f>
      </c>
      <c r="R342" s="0">
        <f>BT341*(1+Calculator!$D$27/100/12)</f>
      </c>
      <c r="S342" s="0">
        <f>BU341*(1+Calculator!$D$28/100/12)</f>
      </c>
      <c r="T342" s="0">
        <f>MAX(0,B342-Calculator!$E$11)</f>
      </c>
      <c r="U342" s="0">
        <f>MAX(0,C342-Calculator!$E$12)</f>
      </c>
      <c r="V342" s="0">
        <f>MAX(0,D342-Calculator!$E$13)</f>
      </c>
      <c r="W342" s="0">
        <f>MAX(0,E342-Calculator!$E$14)</f>
      </c>
      <c r="X342" s="0">
        <f>MAX(0,F342-Calculator!$E$15)</f>
      </c>
      <c r="Y342" s="0">
        <f>MAX(0,G342-Calculator!$E$16)</f>
      </c>
      <c r="Z342" s="0">
        <f>MAX(0,H342-Calculator!$E$17)</f>
      </c>
      <c r="AA342" s="0">
        <f>MAX(0,I342-Calculator!$E$18)</f>
      </c>
      <c r="AB342" s="0">
        <f>MAX(0,J342-Calculator!$E$19)</f>
      </c>
      <c r="AC342" s="0">
        <f>MAX(0,K342-Calculator!$E$20)</f>
      </c>
      <c r="AD342" s="0">
        <f>MAX(0,L342-Calculator!$E$21)</f>
      </c>
      <c r="AE342" s="0">
        <f>MAX(0,M342-Calculator!$E$22)</f>
      </c>
      <c r="AF342" s="0">
        <f>MAX(0,N342-Calculator!$E$23)</f>
      </c>
      <c r="AG342" s="0">
        <f>MAX(0,O342-Calculator!$E$24)</f>
      </c>
      <c r="AH342" s="0">
        <f>MAX(0,P342-Calculator!$E$25)</f>
      </c>
      <c r="AI342" s="0">
        <f>MAX(0,Q342-Calculator!$E$26)</f>
      </c>
      <c r="AJ342" s="0">
        <f>MAX(0,R342-Calculator!$E$27)</f>
      </c>
      <c r="AK342" s="0">
        <f>MAX(0,S342-Calculator!$E$28)</f>
      </c>
      <c r="AL342" s="0">
        <f>MAX(0,MIN(T342,BX342-SUMPRODUCT(($T$2:$AK$2&lt;T$2)*($T342:$AK342))))</f>
      </c>
      <c r="AM342" s="0">
        <f>MAX(0,MIN(U342,BX342-SUMPRODUCT(($T$2:$AK$2&lt;U$2)*($T342:$AK342))))</f>
      </c>
      <c r="AN342" s="0">
        <f>MAX(0,MIN(V342,BX342-SUMPRODUCT(($T$2:$AK$2&lt;V$2)*($T342:$AK342))))</f>
      </c>
      <c r="AO342" s="0">
        <f>MAX(0,MIN(W342,BX342-SUMPRODUCT(($T$2:$AK$2&lt;W$2)*($T342:$AK342))))</f>
      </c>
      <c r="AP342" s="0">
        <f>MAX(0,MIN(X342,BX342-SUMPRODUCT(($T$2:$AK$2&lt;X$2)*($T342:$AK342))))</f>
      </c>
      <c r="AQ342" s="0">
        <f>MAX(0,MIN(Y342,BX342-SUMPRODUCT(($T$2:$AK$2&lt;Y$2)*($T342:$AK342))))</f>
      </c>
      <c r="AR342" s="0">
        <f>MAX(0,MIN(Z342,BX342-SUMPRODUCT(($T$2:$AK$2&lt;Z$2)*($T342:$AK342))))</f>
      </c>
      <c r="AS342" s="0">
        <f>MAX(0,MIN(AA342,BX342-SUMPRODUCT(($T$2:$AK$2&lt;AA$2)*($T342:$AK342))))</f>
      </c>
      <c r="AT342" s="0">
        <f>MAX(0,MIN(AB342,BX342-SUMPRODUCT(($T$2:$AK$2&lt;AB$2)*($T342:$AK342))))</f>
      </c>
      <c r="AU342" s="0">
        <f>MAX(0,MIN(AC342,BX342-SUMPRODUCT(($T$2:$AK$2&lt;AC$2)*($T342:$AK342))))</f>
      </c>
      <c r="AV342" s="0">
        <f>MAX(0,MIN(AD342,BX342-SUMPRODUCT(($T$2:$AK$2&lt;AD$2)*($T342:$AK342))))</f>
      </c>
      <c r="AW342" s="0">
        <f>MAX(0,MIN(AE342,BX342-SUMPRODUCT(($T$2:$AK$2&lt;AE$2)*($T342:$AK342))))</f>
      </c>
      <c r="AX342" s="0">
        <f>MAX(0,MIN(AF342,BX342-SUMPRODUCT(($T$2:$AK$2&lt;AF$2)*($T342:$AK342))))</f>
      </c>
      <c r="AY342" s="0">
        <f>MAX(0,MIN(AG342,BX342-SUMPRODUCT(($T$2:$AK$2&lt;AG$2)*($T342:$AK342))))</f>
      </c>
      <c r="AZ342" s="0">
        <f>MAX(0,MIN(AH342,BX342-SUMPRODUCT(($T$2:$AK$2&lt;AH$2)*($T342:$AK342))))</f>
      </c>
      <c r="BA342" s="0">
        <f>MAX(0,MIN(AI342,BX342-SUMPRODUCT(($T$2:$AK$2&lt;AI$2)*($T342:$AK342))))</f>
      </c>
      <c r="BB342" s="0">
        <f>MAX(0,MIN(AJ342,BX342-SUMPRODUCT(($T$2:$AK$2&lt;AJ$2)*($T342:$AK342))))</f>
      </c>
      <c r="BC342" s="0">
        <f>MAX(0,MIN(AK342,BX342-SUMPRODUCT(($T$2:$AK$2&lt;AK$2)*($T342:$AK342))))</f>
      </c>
      <c r="BD342" s="0">
        <f>T342-AL342</f>
      </c>
      <c r="BE342" s="0">
        <f>U342-AM342</f>
      </c>
      <c r="BF342" s="0">
        <f>V342-AN342</f>
      </c>
      <c r="BG342" s="0">
        <f>W342-AO342</f>
      </c>
      <c r="BH342" s="0">
        <f>X342-AP342</f>
      </c>
      <c r="BI342" s="0">
        <f>Y342-AQ342</f>
      </c>
      <c r="BJ342" s="0">
        <f>Z342-AR342</f>
      </c>
      <c r="BK342" s="0">
        <f>AA342-AS342</f>
      </c>
      <c r="BL342" s="0">
        <f>AB342-AT342</f>
      </c>
      <c r="BM342" s="0">
        <f>AC342-AU342</f>
      </c>
      <c r="BN342" s="0">
        <f>AD342-AV342</f>
      </c>
      <c r="BO342" s="0">
        <f>AE342-AW342</f>
      </c>
      <c r="BP342" s="0">
        <f>AF342-AX342</f>
      </c>
      <c r="BQ342" s="0">
        <f>AG342-AY342</f>
      </c>
      <c r="BR342" s="0">
        <f>AH342-AZ342</f>
      </c>
      <c r="BS342" s="0">
        <f>AI342-BA342</f>
      </c>
      <c r="BT342" s="0">
        <f>AJ342-BB342</f>
      </c>
      <c r="BU342" s="0">
        <f>AK342-BC342</f>
      </c>
      <c r="BV342" s="0">
        <f>SUM(B342:S342)</f>
      </c>
      <c r="BW342" s="0">
        <f>SUM(T342:AK342)</f>
      </c>
      <c r="BX342" s="0">
        <f>MAX(0,(SUM(Calculator!$E$11:$E$28)+Calculator!$C$6)-BV342+BW342)</f>
      </c>
      <c r="BY342" s="0">
        <f>SUM(BD342:BU342)</f>
      </c>
      <c r="BZ342" s="0">
        <f>BV342-BY341</f>
      </c>
      <c r="CA342" s="0">
        <f>IF(A342&lt;=IF($CD$1=0,999,$CD$1),BY342,NA())</f>
      </c>
      <c r="CB342" s="0">
        <f>IF(A342&lt;=IF($CD$1=0,999,$CD$1),A342,NA())</f>
      </c>
    </row>
    <row r="343">
      <c r="A343" s="0">
        <v>340</v>
      </c>
      <c r="B343" s="0">
        <f>BD342*(1+Calculator!$D$11/100/12)</f>
      </c>
      <c r="C343" s="0">
        <f>BE342*(1+Calculator!$D$12/100/12)</f>
      </c>
      <c r="D343" s="0">
        <f>BF342*(1+Calculator!$D$13/100/12)</f>
      </c>
      <c r="E343" s="0">
        <f>BG342*(1+Calculator!$D$14/100/12)</f>
      </c>
      <c r="F343" s="0">
        <f>BH342*(1+Calculator!$D$15/100/12)</f>
      </c>
      <c r="G343" s="0">
        <f>BI342*(1+Calculator!$D$16/100/12)</f>
      </c>
      <c r="H343" s="0">
        <f>BJ342*(1+Calculator!$D$17/100/12)</f>
      </c>
      <c r="I343" s="0">
        <f>BK342*(1+Calculator!$D$18/100/12)</f>
      </c>
      <c r="J343" s="0">
        <f>BL342*(1+Calculator!$D$19/100/12)</f>
      </c>
      <c r="K343" s="0">
        <f>BM342*(1+Calculator!$D$20/100/12)</f>
      </c>
      <c r="L343" s="0">
        <f>BN342*(1+Calculator!$D$21/100/12)</f>
      </c>
      <c r="M343" s="0">
        <f>BO342*(1+Calculator!$D$22/100/12)</f>
      </c>
      <c r="N343" s="0">
        <f>BP342*(1+Calculator!$D$23/100/12)</f>
      </c>
      <c r="O343" s="0">
        <f>BQ342*(1+Calculator!$D$24/100/12)</f>
      </c>
      <c r="P343" s="0">
        <f>BR342*(1+Calculator!$D$25/100/12)</f>
      </c>
      <c r="Q343" s="0">
        <f>BS342*(1+Calculator!$D$26/100/12)</f>
      </c>
      <c r="R343" s="0">
        <f>BT342*(1+Calculator!$D$27/100/12)</f>
      </c>
      <c r="S343" s="0">
        <f>BU342*(1+Calculator!$D$28/100/12)</f>
      </c>
      <c r="T343" s="0">
        <f>MAX(0,B343-Calculator!$E$11)</f>
      </c>
      <c r="U343" s="0">
        <f>MAX(0,C343-Calculator!$E$12)</f>
      </c>
      <c r="V343" s="0">
        <f>MAX(0,D343-Calculator!$E$13)</f>
      </c>
      <c r="W343" s="0">
        <f>MAX(0,E343-Calculator!$E$14)</f>
      </c>
      <c r="X343" s="0">
        <f>MAX(0,F343-Calculator!$E$15)</f>
      </c>
      <c r="Y343" s="0">
        <f>MAX(0,G343-Calculator!$E$16)</f>
      </c>
      <c r="Z343" s="0">
        <f>MAX(0,H343-Calculator!$E$17)</f>
      </c>
      <c r="AA343" s="0">
        <f>MAX(0,I343-Calculator!$E$18)</f>
      </c>
      <c r="AB343" s="0">
        <f>MAX(0,J343-Calculator!$E$19)</f>
      </c>
      <c r="AC343" s="0">
        <f>MAX(0,K343-Calculator!$E$20)</f>
      </c>
      <c r="AD343" s="0">
        <f>MAX(0,L343-Calculator!$E$21)</f>
      </c>
      <c r="AE343" s="0">
        <f>MAX(0,M343-Calculator!$E$22)</f>
      </c>
      <c r="AF343" s="0">
        <f>MAX(0,N343-Calculator!$E$23)</f>
      </c>
      <c r="AG343" s="0">
        <f>MAX(0,O343-Calculator!$E$24)</f>
      </c>
      <c r="AH343" s="0">
        <f>MAX(0,P343-Calculator!$E$25)</f>
      </c>
      <c r="AI343" s="0">
        <f>MAX(0,Q343-Calculator!$E$26)</f>
      </c>
      <c r="AJ343" s="0">
        <f>MAX(0,R343-Calculator!$E$27)</f>
      </c>
      <c r="AK343" s="0">
        <f>MAX(0,S343-Calculator!$E$28)</f>
      </c>
      <c r="AL343" s="0">
        <f>MAX(0,MIN(T343,BX343-SUMPRODUCT(($T$2:$AK$2&lt;T$2)*($T343:$AK343))))</f>
      </c>
      <c r="AM343" s="0">
        <f>MAX(0,MIN(U343,BX343-SUMPRODUCT(($T$2:$AK$2&lt;U$2)*($T343:$AK343))))</f>
      </c>
      <c r="AN343" s="0">
        <f>MAX(0,MIN(V343,BX343-SUMPRODUCT(($T$2:$AK$2&lt;V$2)*($T343:$AK343))))</f>
      </c>
      <c r="AO343" s="0">
        <f>MAX(0,MIN(W343,BX343-SUMPRODUCT(($T$2:$AK$2&lt;W$2)*($T343:$AK343))))</f>
      </c>
      <c r="AP343" s="0">
        <f>MAX(0,MIN(X343,BX343-SUMPRODUCT(($T$2:$AK$2&lt;X$2)*($T343:$AK343))))</f>
      </c>
      <c r="AQ343" s="0">
        <f>MAX(0,MIN(Y343,BX343-SUMPRODUCT(($T$2:$AK$2&lt;Y$2)*($T343:$AK343))))</f>
      </c>
      <c r="AR343" s="0">
        <f>MAX(0,MIN(Z343,BX343-SUMPRODUCT(($T$2:$AK$2&lt;Z$2)*($T343:$AK343))))</f>
      </c>
      <c r="AS343" s="0">
        <f>MAX(0,MIN(AA343,BX343-SUMPRODUCT(($T$2:$AK$2&lt;AA$2)*($T343:$AK343))))</f>
      </c>
      <c r="AT343" s="0">
        <f>MAX(0,MIN(AB343,BX343-SUMPRODUCT(($T$2:$AK$2&lt;AB$2)*($T343:$AK343))))</f>
      </c>
      <c r="AU343" s="0">
        <f>MAX(0,MIN(AC343,BX343-SUMPRODUCT(($T$2:$AK$2&lt;AC$2)*($T343:$AK343))))</f>
      </c>
      <c r="AV343" s="0">
        <f>MAX(0,MIN(AD343,BX343-SUMPRODUCT(($T$2:$AK$2&lt;AD$2)*($T343:$AK343))))</f>
      </c>
      <c r="AW343" s="0">
        <f>MAX(0,MIN(AE343,BX343-SUMPRODUCT(($T$2:$AK$2&lt;AE$2)*($T343:$AK343))))</f>
      </c>
      <c r="AX343" s="0">
        <f>MAX(0,MIN(AF343,BX343-SUMPRODUCT(($T$2:$AK$2&lt;AF$2)*($T343:$AK343))))</f>
      </c>
      <c r="AY343" s="0">
        <f>MAX(0,MIN(AG343,BX343-SUMPRODUCT(($T$2:$AK$2&lt;AG$2)*($T343:$AK343))))</f>
      </c>
      <c r="AZ343" s="0">
        <f>MAX(0,MIN(AH343,BX343-SUMPRODUCT(($T$2:$AK$2&lt;AH$2)*($T343:$AK343))))</f>
      </c>
      <c r="BA343" s="0">
        <f>MAX(0,MIN(AI343,BX343-SUMPRODUCT(($T$2:$AK$2&lt;AI$2)*($T343:$AK343))))</f>
      </c>
      <c r="BB343" s="0">
        <f>MAX(0,MIN(AJ343,BX343-SUMPRODUCT(($T$2:$AK$2&lt;AJ$2)*($T343:$AK343))))</f>
      </c>
      <c r="BC343" s="0">
        <f>MAX(0,MIN(AK343,BX343-SUMPRODUCT(($T$2:$AK$2&lt;AK$2)*($T343:$AK343))))</f>
      </c>
      <c r="BD343" s="0">
        <f>T343-AL343</f>
      </c>
      <c r="BE343" s="0">
        <f>U343-AM343</f>
      </c>
      <c r="BF343" s="0">
        <f>V343-AN343</f>
      </c>
      <c r="BG343" s="0">
        <f>W343-AO343</f>
      </c>
      <c r="BH343" s="0">
        <f>X343-AP343</f>
      </c>
      <c r="BI343" s="0">
        <f>Y343-AQ343</f>
      </c>
      <c r="BJ343" s="0">
        <f>Z343-AR343</f>
      </c>
      <c r="BK343" s="0">
        <f>AA343-AS343</f>
      </c>
      <c r="BL343" s="0">
        <f>AB343-AT343</f>
      </c>
      <c r="BM343" s="0">
        <f>AC343-AU343</f>
      </c>
      <c r="BN343" s="0">
        <f>AD343-AV343</f>
      </c>
      <c r="BO343" s="0">
        <f>AE343-AW343</f>
      </c>
      <c r="BP343" s="0">
        <f>AF343-AX343</f>
      </c>
      <c r="BQ343" s="0">
        <f>AG343-AY343</f>
      </c>
      <c r="BR343" s="0">
        <f>AH343-AZ343</f>
      </c>
      <c r="BS343" s="0">
        <f>AI343-BA343</f>
      </c>
      <c r="BT343" s="0">
        <f>AJ343-BB343</f>
      </c>
      <c r="BU343" s="0">
        <f>AK343-BC343</f>
      </c>
      <c r="BV343" s="0">
        <f>SUM(B343:S343)</f>
      </c>
      <c r="BW343" s="0">
        <f>SUM(T343:AK343)</f>
      </c>
      <c r="BX343" s="0">
        <f>MAX(0,(SUM(Calculator!$E$11:$E$28)+Calculator!$C$6)-BV343+BW343)</f>
      </c>
      <c r="BY343" s="0">
        <f>SUM(BD343:BU343)</f>
      </c>
      <c r="BZ343" s="0">
        <f>BV343-BY342</f>
      </c>
      <c r="CA343" s="0">
        <f>IF(A343&lt;=IF($CD$1=0,999,$CD$1),BY343,NA())</f>
      </c>
      <c r="CB343" s="0">
        <f>IF(A343&lt;=IF($CD$1=0,999,$CD$1),A343,NA())</f>
      </c>
    </row>
    <row r="344">
      <c r="A344" s="0">
        <v>341</v>
      </c>
      <c r="B344" s="0">
        <f>BD343*(1+Calculator!$D$11/100/12)</f>
      </c>
      <c r="C344" s="0">
        <f>BE343*(1+Calculator!$D$12/100/12)</f>
      </c>
      <c r="D344" s="0">
        <f>BF343*(1+Calculator!$D$13/100/12)</f>
      </c>
      <c r="E344" s="0">
        <f>BG343*(1+Calculator!$D$14/100/12)</f>
      </c>
      <c r="F344" s="0">
        <f>BH343*(1+Calculator!$D$15/100/12)</f>
      </c>
      <c r="G344" s="0">
        <f>BI343*(1+Calculator!$D$16/100/12)</f>
      </c>
      <c r="H344" s="0">
        <f>BJ343*(1+Calculator!$D$17/100/12)</f>
      </c>
      <c r="I344" s="0">
        <f>BK343*(1+Calculator!$D$18/100/12)</f>
      </c>
      <c r="J344" s="0">
        <f>BL343*(1+Calculator!$D$19/100/12)</f>
      </c>
      <c r="K344" s="0">
        <f>BM343*(1+Calculator!$D$20/100/12)</f>
      </c>
      <c r="L344" s="0">
        <f>BN343*(1+Calculator!$D$21/100/12)</f>
      </c>
      <c r="M344" s="0">
        <f>BO343*(1+Calculator!$D$22/100/12)</f>
      </c>
      <c r="N344" s="0">
        <f>BP343*(1+Calculator!$D$23/100/12)</f>
      </c>
      <c r="O344" s="0">
        <f>BQ343*(1+Calculator!$D$24/100/12)</f>
      </c>
      <c r="P344" s="0">
        <f>BR343*(1+Calculator!$D$25/100/12)</f>
      </c>
      <c r="Q344" s="0">
        <f>BS343*(1+Calculator!$D$26/100/12)</f>
      </c>
      <c r="R344" s="0">
        <f>BT343*(1+Calculator!$D$27/100/12)</f>
      </c>
      <c r="S344" s="0">
        <f>BU343*(1+Calculator!$D$28/100/12)</f>
      </c>
      <c r="T344" s="0">
        <f>MAX(0,B344-Calculator!$E$11)</f>
      </c>
      <c r="U344" s="0">
        <f>MAX(0,C344-Calculator!$E$12)</f>
      </c>
      <c r="V344" s="0">
        <f>MAX(0,D344-Calculator!$E$13)</f>
      </c>
      <c r="W344" s="0">
        <f>MAX(0,E344-Calculator!$E$14)</f>
      </c>
      <c r="X344" s="0">
        <f>MAX(0,F344-Calculator!$E$15)</f>
      </c>
      <c r="Y344" s="0">
        <f>MAX(0,G344-Calculator!$E$16)</f>
      </c>
      <c r="Z344" s="0">
        <f>MAX(0,H344-Calculator!$E$17)</f>
      </c>
      <c r="AA344" s="0">
        <f>MAX(0,I344-Calculator!$E$18)</f>
      </c>
      <c r="AB344" s="0">
        <f>MAX(0,J344-Calculator!$E$19)</f>
      </c>
      <c r="AC344" s="0">
        <f>MAX(0,K344-Calculator!$E$20)</f>
      </c>
      <c r="AD344" s="0">
        <f>MAX(0,L344-Calculator!$E$21)</f>
      </c>
      <c r="AE344" s="0">
        <f>MAX(0,M344-Calculator!$E$22)</f>
      </c>
      <c r="AF344" s="0">
        <f>MAX(0,N344-Calculator!$E$23)</f>
      </c>
      <c r="AG344" s="0">
        <f>MAX(0,O344-Calculator!$E$24)</f>
      </c>
      <c r="AH344" s="0">
        <f>MAX(0,P344-Calculator!$E$25)</f>
      </c>
      <c r="AI344" s="0">
        <f>MAX(0,Q344-Calculator!$E$26)</f>
      </c>
      <c r="AJ344" s="0">
        <f>MAX(0,R344-Calculator!$E$27)</f>
      </c>
      <c r="AK344" s="0">
        <f>MAX(0,S344-Calculator!$E$28)</f>
      </c>
      <c r="AL344" s="0">
        <f>MAX(0,MIN(T344,BX344-SUMPRODUCT(($T$2:$AK$2&lt;T$2)*($T344:$AK344))))</f>
      </c>
      <c r="AM344" s="0">
        <f>MAX(0,MIN(U344,BX344-SUMPRODUCT(($T$2:$AK$2&lt;U$2)*($T344:$AK344))))</f>
      </c>
      <c r="AN344" s="0">
        <f>MAX(0,MIN(V344,BX344-SUMPRODUCT(($T$2:$AK$2&lt;V$2)*($T344:$AK344))))</f>
      </c>
      <c r="AO344" s="0">
        <f>MAX(0,MIN(W344,BX344-SUMPRODUCT(($T$2:$AK$2&lt;W$2)*($T344:$AK344))))</f>
      </c>
      <c r="AP344" s="0">
        <f>MAX(0,MIN(X344,BX344-SUMPRODUCT(($T$2:$AK$2&lt;X$2)*($T344:$AK344))))</f>
      </c>
      <c r="AQ344" s="0">
        <f>MAX(0,MIN(Y344,BX344-SUMPRODUCT(($T$2:$AK$2&lt;Y$2)*($T344:$AK344))))</f>
      </c>
      <c r="AR344" s="0">
        <f>MAX(0,MIN(Z344,BX344-SUMPRODUCT(($T$2:$AK$2&lt;Z$2)*($T344:$AK344))))</f>
      </c>
      <c r="AS344" s="0">
        <f>MAX(0,MIN(AA344,BX344-SUMPRODUCT(($T$2:$AK$2&lt;AA$2)*($T344:$AK344))))</f>
      </c>
      <c r="AT344" s="0">
        <f>MAX(0,MIN(AB344,BX344-SUMPRODUCT(($T$2:$AK$2&lt;AB$2)*($T344:$AK344))))</f>
      </c>
      <c r="AU344" s="0">
        <f>MAX(0,MIN(AC344,BX344-SUMPRODUCT(($T$2:$AK$2&lt;AC$2)*($T344:$AK344))))</f>
      </c>
      <c r="AV344" s="0">
        <f>MAX(0,MIN(AD344,BX344-SUMPRODUCT(($T$2:$AK$2&lt;AD$2)*($T344:$AK344))))</f>
      </c>
      <c r="AW344" s="0">
        <f>MAX(0,MIN(AE344,BX344-SUMPRODUCT(($T$2:$AK$2&lt;AE$2)*($T344:$AK344))))</f>
      </c>
      <c r="AX344" s="0">
        <f>MAX(0,MIN(AF344,BX344-SUMPRODUCT(($T$2:$AK$2&lt;AF$2)*($T344:$AK344))))</f>
      </c>
      <c r="AY344" s="0">
        <f>MAX(0,MIN(AG344,BX344-SUMPRODUCT(($T$2:$AK$2&lt;AG$2)*($T344:$AK344))))</f>
      </c>
      <c r="AZ344" s="0">
        <f>MAX(0,MIN(AH344,BX344-SUMPRODUCT(($T$2:$AK$2&lt;AH$2)*($T344:$AK344))))</f>
      </c>
      <c r="BA344" s="0">
        <f>MAX(0,MIN(AI344,BX344-SUMPRODUCT(($T$2:$AK$2&lt;AI$2)*($T344:$AK344))))</f>
      </c>
      <c r="BB344" s="0">
        <f>MAX(0,MIN(AJ344,BX344-SUMPRODUCT(($T$2:$AK$2&lt;AJ$2)*($T344:$AK344))))</f>
      </c>
      <c r="BC344" s="0">
        <f>MAX(0,MIN(AK344,BX344-SUMPRODUCT(($T$2:$AK$2&lt;AK$2)*($T344:$AK344))))</f>
      </c>
      <c r="BD344" s="0">
        <f>T344-AL344</f>
      </c>
      <c r="BE344" s="0">
        <f>U344-AM344</f>
      </c>
      <c r="BF344" s="0">
        <f>V344-AN344</f>
      </c>
      <c r="BG344" s="0">
        <f>W344-AO344</f>
      </c>
      <c r="BH344" s="0">
        <f>X344-AP344</f>
      </c>
      <c r="BI344" s="0">
        <f>Y344-AQ344</f>
      </c>
      <c r="BJ344" s="0">
        <f>Z344-AR344</f>
      </c>
      <c r="BK344" s="0">
        <f>AA344-AS344</f>
      </c>
      <c r="BL344" s="0">
        <f>AB344-AT344</f>
      </c>
      <c r="BM344" s="0">
        <f>AC344-AU344</f>
      </c>
      <c r="BN344" s="0">
        <f>AD344-AV344</f>
      </c>
      <c r="BO344" s="0">
        <f>AE344-AW344</f>
      </c>
      <c r="BP344" s="0">
        <f>AF344-AX344</f>
      </c>
      <c r="BQ344" s="0">
        <f>AG344-AY344</f>
      </c>
      <c r="BR344" s="0">
        <f>AH344-AZ344</f>
      </c>
      <c r="BS344" s="0">
        <f>AI344-BA344</f>
      </c>
      <c r="BT344" s="0">
        <f>AJ344-BB344</f>
      </c>
      <c r="BU344" s="0">
        <f>AK344-BC344</f>
      </c>
      <c r="BV344" s="0">
        <f>SUM(B344:S344)</f>
      </c>
      <c r="BW344" s="0">
        <f>SUM(T344:AK344)</f>
      </c>
      <c r="BX344" s="0">
        <f>MAX(0,(SUM(Calculator!$E$11:$E$28)+Calculator!$C$6)-BV344+BW344)</f>
      </c>
      <c r="BY344" s="0">
        <f>SUM(BD344:BU344)</f>
      </c>
      <c r="BZ344" s="0">
        <f>BV344-BY343</f>
      </c>
      <c r="CA344" s="0">
        <f>IF(A344&lt;=IF($CD$1=0,999,$CD$1),BY344,NA())</f>
      </c>
      <c r="CB344" s="0">
        <f>IF(A344&lt;=IF($CD$1=0,999,$CD$1),A344,NA())</f>
      </c>
    </row>
    <row r="345">
      <c r="A345" s="0">
        <v>342</v>
      </c>
      <c r="B345" s="0">
        <f>BD344*(1+Calculator!$D$11/100/12)</f>
      </c>
      <c r="C345" s="0">
        <f>BE344*(1+Calculator!$D$12/100/12)</f>
      </c>
      <c r="D345" s="0">
        <f>BF344*(1+Calculator!$D$13/100/12)</f>
      </c>
      <c r="E345" s="0">
        <f>BG344*(1+Calculator!$D$14/100/12)</f>
      </c>
      <c r="F345" s="0">
        <f>BH344*(1+Calculator!$D$15/100/12)</f>
      </c>
      <c r="G345" s="0">
        <f>BI344*(1+Calculator!$D$16/100/12)</f>
      </c>
      <c r="H345" s="0">
        <f>BJ344*(1+Calculator!$D$17/100/12)</f>
      </c>
      <c r="I345" s="0">
        <f>BK344*(1+Calculator!$D$18/100/12)</f>
      </c>
      <c r="J345" s="0">
        <f>BL344*(1+Calculator!$D$19/100/12)</f>
      </c>
      <c r="K345" s="0">
        <f>BM344*(1+Calculator!$D$20/100/12)</f>
      </c>
      <c r="L345" s="0">
        <f>BN344*(1+Calculator!$D$21/100/12)</f>
      </c>
      <c r="M345" s="0">
        <f>BO344*(1+Calculator!$D$22/100/12)</f>
      </c>
      <c r="N345" s="0">
        <f>BP344*(1+Calculator!$D$23/100/12)</f>
      </c>
      <c r="O345" s="0">
        <f>BQ344*(1+Calculator!$D$24/100/12)</f>
      </c>
      <c r="P345" s="0">
        <f>BR344*(1+Calculator!$D$25/100/12)</f>
      </c>
      <c r="Q345" s="0">
        <f>BS344*(1+Calculator!$D$26/100/12)</f>
      </c>
      <c r="R345" s="0">
        <f>BT344*(1+Calculator!$D$27/100/12)</f>
      </c>
      <c r="S345" s="0">
        <f>BU344*(1+Calculator!$D$28/100/12)</f>
      </c>
      <c r="T345" s="0">
        <f>MAX(0,B345-Calculator!$E$11)</f>
      </c>
      <c r="U345" s="0">
        <f>MAX(0,C345-Calculator!$E$12)</f>
      </c>
      <c r="V345" s="0">
        <f>MAX(0,D345-Calculator!$E$13)</f>
      </c>
      <c r="W345" s="0">
        <f>MAX(0,E345-Calculator!$E$14)</f>
      </c>
      <c r="X345" s="0">
        <f>MAX(0,F345-Calculator!$E$15)</f>
      </c>
      <c r="Y345" s="0">
        <f>MAX(0,G345-Calculator!$E$16)</f>
      </c>
      <c r="Z345" s="0">
        <f>MAX(0,H345-Calculator!$E$17)</f>
      </c>
      <c r="AA345" s="0">
        <f>MAX(0,I345-Calculator!$E$18)</f>
      </c>
      <c r="AB345" s="0">
        <f>MAX(0,J345-Calculator!$E$19)</f>
      </c>
      <c r="AC345" s="0">
        <f>MAX(0,K345-Calculator!$E$20)</f>
      </c>
      <c r="AD345" s="0">
        <f>MAX(0,L345-Calculator!$E$21)</f>
      </c>
      <c r="AE345" s="0">
        <f>MAX(0,M345-Calculator!$E$22)</f>
      </c>
      <c r="AF345" s="0">
        <f>MAX(0,N345-Calculator!$E$23)</f>
      </c>
      <c r="AG345" s="0">
        <f>MAX(0,O345-Calculator!$E$24)</f>
      </c>
      <c r="AH345" s="0">
        <f>MAX(0,P345-Calculator!$E$25)</f>
      </c>
      <c r="AI345" s="0">
        <f>MAX(0,Q345-Calculator!$E$26)</f>
      </c>
      <c r="AJ345" s="0">
        <f>MAX(0,R345-Calculator!$E$27)</f>
      </c>
      <c r="AK345" s="0">
        <f>MAX(0,S345-Calculator!$E$28)</f>
      </c>
      <c r="AL345" s="0">
        <f>MAX(0,MIN(T345,BX345-SUMPRODUCT(($T$2:$AK$2&lt;T$2)*($T345:$AK345))))</f>
      </c>
      <c r="AM345" s="0">
        <f>MAX(0,MIN(U345,BX345-SUMPRODUCT(($T$2:$AK$2&lt;U$2)*($T345:$AK345))))</f>
      </c>
      <c r="AN345" s="0">
        <f>MAX(0,MIN(V345,BX345-SUMPRODUCT(($T$2:$AK$2&lt;V$2)*($T345:$AK345))))</f>
      </c>
      <c r="AO345" s="0">
        <f>MAX(0,MIN(W345,BX345-SUMPRODUCT(($T$2:$AK$2&lt;W$2)*($T345:$AK345))))</f>
      </c>
      <c r="AP345" s="0">
        <f>MAX(0,MIN(X345,BX345-SUMPRODUCT(($T$2:$AK$2&lt;X$2)*($T345:$AK345))))</f>
      </c>
      <c r="AQ345" s="0">
        <f>MAX(0,MIN(Y345,BX345-SUMPRODUCT(($T$2:$AK$2&lt;Y$2)*($T345:$AK345))))</f>
      </c>
      <c r="AR345" s="0">
        <f>MAX(0,MIN(Z345,BX345-SUMPRODUCT(($T$2:$AK$2&lt;Z$2)*($T345:$AK345))))</f>
      </c>
      <c r="AS345" s="0">
        <f>MAX(0,MIN(AA345,BX345-SUMPRODUCT(($T$2:$AK$2&lt;AA$2)*($T345:$AK345))))</f>
      </c>
      <c r="AT345" s="0">
        <f>MAX(0,MIN(AB345,BX345-SUMPRODUCT(($T$2:$AK$2&lt;AB$2)*($T345:$AK345))))</f>
      </c>
      <c r="AU345" s="0">
        <f>MAX(0,MIN(AC345,BX345-SUMPRODUCT(($T$2:$AK$2&lt;AC$2)*($T345:$AK345))))</f>
      </c>
      <c r="AV345" s="0">
        <f>MAX(0,MIN(AD345,BX345-SUMPRODUCT(($T$2:$AK$2&lt;AD$2)*($T345:$AK345))))</f>
      </c>
      <c r="AW345" s="0">
        <f>MAX(0,MIN(AE345,BX345-SUMPRODUCT(($T$2:$AK$2&lt;AE$2)*($T345:$AK345))))</f>
      </c>
      <c r="AX345" s="0">
        <f>MAX(0,MIN(AF345,BX345-SUMPRODUCT(($T$2:$AK$2&lt;AF$2)*($T345:$AK345))))</f>
      </c>
      <c r="AY345" s="0">
        <f>MAX(0,MIN(AG345,BX345-SUMPRODUCT(($T$2:$AK$2&lt;AG$2)*($T345:$AK345))))</f>
      </c>
      <c r="AZ345" s="0">
        <f>MAX(0,MIN(AH345,BX345-SUMPRODUCT(($T$2:$AK$2&lt;AH$2)*($T345:$AK345))))</f>
      </c>
      <c r="BA345" s="0">
        <f>MAX(0,MIN(AI345,BX345-SUMPRODUCT(($T$2:$AK$2&lt;AI$2)*($T345:$AK345))))</f>
      </c>
      <c r="BB345" s="0">
        <f>MAX(0,MIN(AJ345,BX345-SUMPRODUCT(($T$2:$AK$2&lt;AJ$2)*($T345:$AK345))))</f>
      </c>
      <c r="BC345" s="0">
        <f>MAX(0,MIN(AK345,BX345-SUMPRODUCT(($T$2:$AK$2&lt;AK$2)*($T345:$AK345))))</f>
      </c>
      <c r="BD345" s="0">
        <f>T345-AL345</f>
      </c>
      <c r="BE345" s="0">
        <f>U345-AM345</f>
      </c>
      <c r="BF345" s="0">
        <f>V345-AN345</f>
      </c>
      <c r="BG345" s="0">
        <f>W345-AO345</f>
      </c>
      <c r="BH345" s="0">
        <f>X345-AP345</f>
      </c>
      <c r="BI345" s="0">
        <f>Y345-AQ345</f>
      </c>
      <c r="BJ345" s="0">
        <f>Z345-AR345</f>
      </c>
      <c r="BK345" s="0">
        <f>AA345-AS345</f>
      </c>
      <c r="BL345" s="0">
        <f>AB345-AT345</f>
      </c>
      <c r="BM345" s="0">
        <f>AC345-AU345</f>
      </c>
      <c r="BN345" s="0">
        <f>AD345-AV345</f>
      </c>
      <c r="BO345" s="0">
        <f>AE345-AW345</f>
      </c>
      <c r="BP345" s="0">
        <f>AF345-AX345</f>
      </c>
      <c r="BQ345" s="0">
        <f>AG345-AY345</f>
      </c>
      <c r="BR345" s="0">
        <f>AH345-AZ345</f>
      </c>
      <c r="BS345" s="0">
        <f>AI345-BA345</f>
      </c>
      <c r="BT345" s="0">
        <f>AJ345-BB345</f>
      </c>
      <c r="BU345" s="0">
        <f>AK345-BC345</f>
      </c>
      <c r="BV345" s="0">
        <f>SUM(B345:S345)</f>
      </c>
      <c r="BW345" s="0">
        <f>SUM(T345:AK345)</f>
      </c>
      <c r="BX345" s="0">
        <f>MAX(0,(SUM(Calculator!$E$11:$E$28)+Calculator!$C$6)-BV345+BW345)</f>
      </c>
      <c r="BY345" s="0">
        <f>SUM(BD345:BU345)</f>
      </c>
      <c r="BZ345" s="0">
        <f>BV345-BY344</f>
      </c>
      <c r="CA345" s="0">
        <f>IF(A345&lt;=IF($CD$1=0,999,$CD$1),BY345,NA())</f>
      </c>
      <c r="CB345" s="0">
        <f>IF(A345&lt;=IF($CD$1=0,999,$CD$1),A345,NA())</f>
      </c>
    </row>
    <row r="346">
      <c r="A346" s="0">
        <v>343</v>
      </c>
      <c r="B346" s="0">
        <f>BD345*(1+Calculator!$D$11/100/12)</f>
      </c>
      <c r="C346" s="0">
        <f>BE345*(1+Calculator!$D$12/100/12)</f>
      </c>
      <c r="D346" s="0">
        <f>BF345*(1+Calculator!$D$13/100/12)</f>
      </c>
      <c r="E346" s="0">
        <f>BG345*(1+Calculator!$D$14/100/12)</f>
      </c>
      <c r="F346" s="0">
        <f>BH345*(1+Calculator!$D$15/100/12)</f>
      </c>
      <c r="G346" s="0">
        <f>BI345*(1+Calculator!$D$16/100/12)</f>
      </c>
      <c r="H346" s="0">
        <f>BJ345*(1+Calculator!$D$17/100/12)</f>
      </c>
      <c r="I346" s="0">
        <f>BK345*(1+Calculator!$D$18/100/12)</f>
      </c>
      <c r="J346" s="0">
        <f>BL345*(1+Calculator!$D$19/100/12)</f>
      </c>
      <c r="K346" s="0">
        <f>BM345*(1+Calculator!$D$20/100/12)</f>
      </c>
      <c r="L346" s="0">
        <f>BN345*(1+Calculator!$D$21/100/12)</f>
      </c>
      <c r="M346" s="0">
        <f>BO345*(1+Calculator!$D$22/100/12)</f>
      </c>
      <c r="N346" s="0">
        <f>BP345*(1+Calculator!$D$23/100/12)</f>
      </c>
      <c r="O346" s="0">
        <f>BQ345*(1+Calculator!$D$24/100/12)</f>
      </c>
      <c r="P346" s="0">
        <f>BR345*(1+Calculator!$D$25/100/12)</f>
      </c>
      <c r="Q346" s="0">
        <f>BS345*(1+Calculator!$D$26/100/12)</f>
      </c>
      <c r="R346" s="0">
        <f>BT345*(1+Calculator!$D$27/100/12)</f>
      </c>
      <c r="S346" s="0">
        <f>BU345*(1+Calculator!$D$28/100/12)</f>
      </c>
      <c r="T346" s="0">
        <f>MAX(0,B346-Calculator!$E$11)</f>
      </c>
      <c r="U346" s="0">
        <f>MAX(0,C346-Calculator!$E$12)</f>
      </c>
      <c r="V346" s="0">
        <f>MAX(0,D346-Calculator!$E$13)</f>
      </c>
      <c r="W346" s="0">
        <f>MAX(0,E346-Calculator!$E$14)</f>
      </c>
      <c r="X346" s="0">
        <f>MAX(0,F346-Calculator!$E$15)</f>
      </c>
      <c r="Y346" s="0">
        <f>MAX(0,G346-Calculator!$E$16)</f>
      </c>
      <c r="Z346" s="0">
        <f>MAX(0,H346-Calculator!$E$17)</f>
      </c>
      <c r="AA346" s="0">
        <f>MAX(0,I346-Calculator!$E$18)</f>
      </c>
      <c r="AB346" s="0">
        <f>MAX(0,J346-Calculator!$E$19)</f>
      </c>
      <c r="AC346" s="0">
        <f>MAX(0,K346-Calculator!$E$20)</f>
      </c>
      <c r="AD346" s="0">
        <f>MAX(0,L346-Calculator!$E$21)</f>
      </c>
      <c r="AE346" s="0">
        <f>MAX(0,M346-Calculator!$E$22)</f>
      </c>
      <c r="AF346" s="0">
        <f>MAX(0,N346-Calculator!$E$23)</f>
      </c>
      <c r="AG346" s="0">
        <f>MAX(0,O346-Calculator!$E$24)</f>
      </c>
      <c r="AH346" s="0">
        <f>MAX(0,P346-Calculator!$E$25)</f>
      </c>
      <c r="AI346" s="0">
        <f>MAX(0,Q346-Calculator!$E$26)</f>
      </c>
      <c r="AJ346" s="0">
        <f>MAX(0,R346-Calculator!$E$27)</f>
      </c>
      <c r="AK346" s="0">
        <f>MAX(0,S346-Calculator!$E$28)</f>
      </c>
      <c r="AL346" s="0">
        <f>MAX(0,MIN(T346,BX346-SUMPRODUCT(($T$2:$AK$2&lt;T$2)*($T346:$AK346))))</f>
      </c>
      <c r="AM346" s="0">
        <f>MAX(0,MIN(U346,BX346-SUMPRODUCT(($T$2:$AK$2&lt;U$2)*($T346:$AK346))))</f>
      </c>
      <c r="AN346" s="0">
        <f>MAX(0,MIN(V346,BX346-SUMPRODUCT(($T$2:$AK$2&lt;V$2)*($T346:$AK346))))</f>
      </c>
      <c r="AO346" s="0">
        <f>MAX(0,MIN(W346,BX346-SUMPRODUCT(($T$2:$AK$2&lt;W$2)*($T346:$AK346))))</f>
      </c>
      <c r="AP346" s="0">
        <f>MAX(0,MIN(X346,BX346-SUMPRODUCT(($T$2:$AK$2&lt;X$2)*($T346:$AK346))))</f>
      </c>
      <c r="AQ346" s="0">
        <f>MAX(0,MIN(Y346,BX346-SUMPRODUCT(($T$2:$AK$2&lt;Y$2)*($T346:$AK346))))</f>
      </c>
      <c r="AR346" s="0">
        <f>MAX(0,MIN(Z346,BX346-SUMPRODUCT(($T$2:$AK$2&lt;Z$2)*($T346:$AK346))))</f>
      </c>
      <c r="AS346" s="0">
        <f>MAX(0,MIN(AA346,BX346-SUMPRODUCT(($T$2:$AK$2&lt;AA$2)*($T346:$AK346))))</f>
      </c>
      <c r="AT346" s="0">
        <f>MAX(0,MIN(AB346,BX346-SUMPRODUCT(($T$2:$AK$2&lt;AB$2)*($T346:$AK346))))</f>
      </c>
      <c r="AU346" s="0">
        <f>MAX(0,MIN(AC346,BX346-SUMPRODUCT(($T$2:$AK$2&lt;AC$2)*($T346:$AK346))))</f>
      </c>
      <c r="AV346" s="0">
        <f>MAX(0,MIN(AD346,BX346-SUMPRODUCT(($T$2:$AK$2&lt;AD$2)*($T346:$AK346))))</f>
      </c>
      <c r="AW346" s="0">
        <f>MAX(0,MIN(AE346,BX346-SUMPRODUCT(($T$2:$AK$2&lt;AE$2)*($T346:$AK346))))</f>
      </c>
      <c r="AX346" s="0">
        <f>MAX(0,MIN(AF346,BX346-SUMPRODUCT(($T$2:$AK$2&lt;AF$2)*($T346:$AK346))))</f>
      </c>
      <c r="AY346" s="0">
        <f>MAX(0,MIN(AG346,BX346-SUMPRODUCT(($T$2:$AK$2&lt;AG$2)*($T346:$AK346))))</f>
      </c>
      <c r="AZ346" s="0">
        <f>MAX(0,MIN(AH346,BX346-SUMPRODUCT(($T$2:$AK$2&lt;AH$2)*($T346:$AK346))))</f>
      </c>
      <c r="BA346" s="0">
        <f>MAX(0,MIN(AI346,BX346-SUMPRODUCT(($T$2:$AK$2&lt;AI$2)*($T346:$AK346))))</f>
      </c>
      <c r="BB346" s="0">
        <f>MAX(0,MIN(AJ346,BX346-SUMPRODUCT(($T$2:$AK$2&lt;AJ$2)*($T346:$AK346))))</f>
      </c>
      <c r="BC346" s="0">
        <f>MAX(0,MIN(AK346,BX346-SUMPRODUCT(($T$2:$AK$2&lt;AK$2)*($T346:$AK346))))</f>
      </c>
      <c r="BD346" s="0">
        <f>T346-AL346</f>
      </c>
      <c r="BE346" s="0">
        <f>U346-AM346</f>
      </c>
      <c r="BF346" s="0">
        <f>V346-AN346</f>
      </c>
      <c r="BG346" s="0">
        <f>W346-AO346</f>
      </c>
      <c r="BH346" s="0">
        <f>X346-AP346</f>
      </c>
      <c r="BI346" s="0">
        <f>Y346-AQ346</f>
      </c>
      <c r="BJ346" s="0">
        <f>Z346-AR346</f>
      </c>
      <c r="BK346" s="0">
        <f>AA346-AS346</f>
      </c>
      <c r="BL346" s="0">
        <f>AB346-AT346</f>
      </c>
      <c r="BM346" s="0">
        <f>AC346-AU346</f>
      </c>
      <c r="BN346" s="0">
        <f>AD346-AV346</f>
      </c>
      <c r="BO346" s="0">
        <f>AE346-AW346</f>
      </c>
      <c r="BP346" s="0">
        <f>AF346-AX346</f>
      </c>
      <c r="BQ346" s="0">
        <f>AG346-AY346</f>
      </c>
      <c r="BR346" s="0">
        <f>AH346-AZ346</f>
      </c>
      <c r="BS346" s="0">
        <f>AI346-BA346</f>
      </c>
      <c r="BT346" s="0">
        <f>AJ346-BB346</f>
      </c>
      <c r="BU346" s="0">
        <f>AK346-BC346</f>
      </c>
      <c r="BV346" s="0">
        <f>SUM(B346:S346)</f>
      </c>
      <c r="BW346" s="0">
        <f>SUM(T346:AK346)</f>
      </c>
      <c r="BX346" s="0">
        <f>MAX(0,(SUM(Calculator!$E$11:$E$28)+Calculator!$C$6)-BV346+BW346)</f>
      </c>
      <c r="BY346" s="0">
        <f>SUM(BD346:BU346)</f>
      </c>
      <c r="BZ346" s="0">
        <f>BV346-BY345</f>
      </c>
      <c r="CA346" s="0">
        <f>IF(A346&lt;=IF($CD$1=0,999,$CD$1),BY346,NA())</f>
      </c>
      <c r="CB346" s="0">
        <f>IF(A346&lt;=IF($CD$1=0,999,$CD$1),A346,NA())</f>
      </c>
    </row>
    <row r="347">
      <c r="A347" s="0">
        <v>344</v>
      </c>
      <c r="B347" s="0">
        <f>BD346*(1+Calculator!$D$11/100/12)</f>
      </c>
      <c r="C347" s="0">
        <f>BE346*(1+Calculator!$D$12/100/12)</f>
      </c>
      <c r="D347" s="0">
        <f>BF346*(1+Calculator!$D$13/100/12)</f>
      </c>
      <c r="E347" s="0">
        <f>BG346*(1+Calculator!$D$14/100/12)</f>
      </c>
      <c r="F347" s="0">
        <f>BH346*(1+Calculator!$D$15/100/12)</f>
      </c>
      <c r="G347" s="0">
        <f>BI346*(1+Calculator!$D$16/100/12)</f>
      </c>
      <c r="H347" s="0">
        <f>BJ346*(1+Calculator!$D$17/100/12)</f>
      </c>
      <c r="I347" s="0">
        <f>BK346*(1+Calculator!$D$18/100/12)</f>
      </c>
      <c r="J347" s="0">
        <f>BL346*(1+Calculator!$D$19/100/12)</f>
      </c>
      <c r="K347" s="0">
        <f>BM346*(1+Calculator!$D$20/100/12)</f>
      </c>
      <c r="L347" s="0">
        <f>BN346*(1+Calculator!$D$21/100/12)</f>
      </c>
      <c r="M347" s="0">
        <f>BO346*(1+Calculator!$D$22/100/12)</f>
      </c>
      <c r="N347" s="0">
        <f>BP346*(1+Calculator!$D$23/100/12)</f>
      </c>
      <c r="O347" s="0">
        <f>BQ346*(1+Calculator!$D$24/100/12)</f>
      </c>
      <c r="P347" s="0">
        <f>BR346*(1+Calculator!$D$25/100/12)</f>
      </c>
      <c r="Q347" s="0">
        <f>BS346*(1+Calculator!$D$26/100/12)</f>
      </c>
      <c r="R347" s="0">
        <f>BT346*(1+Calculator!$D$27/100/12)</f>
      </c>
      <c r="S347" s="0">
        <f>BU346*(1+Calculator!$D$28/100/12)</f>
      </c>
      <c r="T347" s="0">
        <f>MAX(0,B347-Calculator!$E$11)</f>
      </c>
      <c r="U347" s="0">
        <f>MAX(0,C347-Calculator!$E$12)</f>
      </c>
      <c r="V347" s="0">
        <f>MAX(0,D347-Calculator!$E$13)</f>
      </c>
      <c r="W347" s="0">
        <f>MAX(0,E347-Calculator!$E$14)</f>
      </c>
      <c r="X347" s="0">
        <f>MAX(0,F347-Calculator!$E$15)</f>
      </c>
      <c r="Y347" s="0">
        <f>MAX(0,G347-Calculator!$E$16)</f>
      </c>
      <c r="Z347" s="0">
        <f>MAX(0,H347-Calculator!$E$17)</f>
      </c>
      <c r="AA347" s="0">
        <f>MAX(0,I347-Calculator!$E$18)</f>
      </c>
      <c r="AB347" s="0">
        <f>MAX(0,J347-Calculator!$E$19)</f>
      </c>
      <c r="AC347" s="0">
        <f>MAX(0,K347-Calculator!$E$20)</f>
      </c>
      <c r="AD347" s="0">
        <f>MAX(0,L347-Calculator!$E$21)</f>
      </c>
      <c r="AE347" s="0">
        <f>MAX(0,M347-Calculator!$E$22)</f>
      </c>
      <c r="AF347" s="0">
        <f>MAX(0,N347-Calculator!$E$23)</f>
      </c>
      <c r="AG347" s="0">
        <f>MAX(0,O347-Calculator!$E$24)</f>
      </c>
      <c r="AH347" s="0">
        <f>MAX(0,P347-Calculator!$E$25)</f>
      </c>
      <c r="AI347" s="0">
        <f>MAX(0,Q347-Calculator!$E$26)</f>
      </c>
      <c r="AJ347" s="0">
        <f>MAX(0,R347-Calculator!$E$27)</f>
      </c>
      <c r="AK347" s="0">
        <f>MAX(0,S347-Calculator!$E$28)</f>
      </c>
      <c r="AL347" s="0">
        <f>MAX(0,MIN(T347,BX347-SUMPRODUCT(($T$2:$AK$2&lt;T$2)*($T347:$AK347))))</f>
      </c>
      <c r="AM347" s="0">
        <f>MAX(0,MIN(U347,BX347-SUMPRODUCT(($T$2:$AK$2&lt;U$2)*($T347:$AK347))))</f>
      </c>
      <c r="AN347" s="0">
        <f>MAX(0,MIN(V347,BX347-SUMPRODUCT(($T$2:$AK$2&lt;V$2)*($T347:$AK347))))</f>
      </c>
      <c r="AO347" s="0">
        <f>MAX(0,MIN(W347,BX347-SUMPRODUCT(($T$2:$AK$2&lt;W$2)*($T347:$AK347))))</f>
      </c>
      <c r="AP347" s="0">
        <f>MAX(0,MIN(X347,BX347-SUMPRODUCT(($T$2:$AK$2&lt;X$2)*($T347:$AK347))))</f>
      </c>
      <c r="AQ347" s="0">
        <f>MAX(0,MIN(Y347,BX347-SUMPRODUCT(($T$2:$AK$2&lt;Y$2)*($T347:$AK347))))</f>
      </c>
      <c r="AR347" s="0">
        <f>MAX(0,MIN(Z347,BX347-SUMPRODUCT(($T$2:$AK$2&lt;Z$2)*($T347:$AK347))))</f>
      </c>
      <c r="AS347" s="0">
        <f>MAX(0,MIN(AA347,BX347-SUMPRODUCT(($T$2:$AK$2&lt;AA$2)*($T347:$AK347))))</f>
      </c>
      <c r="AT347" s="0">
        <f>MAX(0,MIN(AB347,BX347-SUMPRODUCT(($T$2:$AK$2&lt;AB$2)*($T347:$AK347))))</f>
      </c>
      <c r="AU347" s="0">
        <f>MAX(0,MIN(AC347,BX347-SUMPRODUCT(($T$2:$AK$2&lt;AC$2)*($T347:$AK347))))</f>
      </c>
      <c r="AV347" s="0">
        <f>MAX(0,MIN(AD347,BX347-SUMPRODUCT(($T$2:$AK$2&lt;AD$2)*($T347:$AK347))))</f>
      </c>
      <c r="AW347" s="0">
        <f>MAX(0,MIN(AE347,BX347-SUMPRODUCT(($T$2:$AK$2&lt;AE$2)*($T347:$AK347))))</f>
      </c>
      <c r="AX347" s="0">
        <f>MAX(0,MIN(AF347,BX347-SUMPRODUCT(($T$2:$AK$2&lt;AF$2)*($T347:$AK347))))</f>
      </c>
      <c r="AY347" s="0">
        <f>MAX(0,MIN(AG347,BX347-SUMPRODUCT(($T$2:$AK$2&lt;AG$2)*($T347:$AK347))))</f>
      </c>
      <c r="AZ347" s="0">
        <f>MAX(0,MIN(AH347,BX347-SUMPRODUCT(($T$2:$AK$2&lt;AH$2)*($T347:$AK347))))</f>
      </c>
      <c r="BA347" s="0">
        <f>MAX(0,MIN(AI347,BX347-SUMPRODUCT(($T$2:$AK$2&lt;AI$2)*($T347:$AK347))))</f>
      </c>
      <c r="BB347" s="0">
        <f>MAX(0,MIN(AJ347,BX347-SUMPRODUCT(($T$2:$AK$2&lt;AJ$2)*($T347:$AK347))))</f>
      </c>
      <c r="BC347" s="0">
        <f>MAX(0,MIN(AK347,BX347-SUMPRODUCT(($T$2:$AK$2&lt;AK$2)*($T347:$AK347))))</f>
      </c>
      <c r="BD347" s="0">
        <f>T347-AL347</f>
      </c>
      <c r="BE347" s="0">
        <f>U347-AM347</f>
      </c>
      <c r="BF347" s="0">
        <f>V347-AN347</f>
      </c>
      <c r="BG347" s="0">
        <f>W347-AO347</f>
      </c>
      <c r="BH347" s="0">
        <f>X347-AP347</f>
      </c>
      <c r="BI347" s="0">
        <f>Y347-AQ347</f>
      </c>
      <c r="BJ347" s="0">
        <f>Z347-AR347</f>
      </c>
      <c r="BK347" s="0">
        <f>AA347-AS347</f>
      </c>
      <c r="BL347" s="0">
        <f>AB347-AT347</f>
      </c>
      <c r="BM347" s="0">
        <f>AC347-AU347</f>
      </c>
      <c r="BN347" s="0">
        <f>AD347-AV347</f>
      </c>
      <c r="BO347" s="0">
        <f>AE347-AW347</f>
      </c>
      <c r="BP347" s="0">
        <f>AF347-AX347</f>
      </c>
      <c r="BQ347" s="0">
        <f>AG347-AY347</f>
      </c>
      <c r="BR347" s="0">
        <f>AH347-AZ347</f>
      </c>
      <c r="BS347" s="0">
        <f>AI347-BA347</f>
      </c>
      <c r="BT347" s="0">
        <f>AJ347-BB347</f>
      </c>
      <c r="BU347" s="0">
        <f>AK347-BC347</f>
      </c>
      <c r="BV347" s="0">
        <f>SUM(B347:S347)</f>
      </c>
      <c r="BW347" s="0">
        <f>SUM(T347:AK347)</f>
      </c>
      <c r="BX347" s="0">
        <f>MAX(0,(SUM(Calculator!$E$11:$E$28)+Calculator!$C$6)-BV347+BW347)</f>
      </c>
      <c r="BY347" s="0">
        <f>SUM(BD347:BU347)</f>
      </c>
      <c r="BZ347" s="0">
        <f>BV347-BY346</f>
      </c>
      <c r="CA347" s="0">
        <f>IF(A347&lt;=IF($CD$1=0,999,$CD$1),BY347,NA())</f>
      </c>
      <c r="CB347" s="0">
        <f>IF(A347&lt;=IF($CD$1=0,999,$CD$1),A347,NA())</f>
      </c>
    </row>
    <row r="348">
      <c r="A348" s="0">
        <v>345</v>
      </c>
      <c r="B348" s="0">
        <f>BD347*(1+Calculator!$D$11/100/12)</f>
      </c>
      <c r="C348" s="0">
        <f>BE347*(1+Calculator!$D$12/100/12)</f>
      </c>
      <c r="D348" s="0">
        <f>BF347*(1+Calculator!$D$13/100/12)</f>
      </c>
      <c r="E348" s="0">
        <f>BG347*(1+Calculator!$D$14/100/12)</f>
      </c>
      <c r="F348" s="0">
        <f>BH347*(1+Calculator!$D$15/100/12)</f>
      </c>
      <c r="G348" s="0">
        <f>BI347*(1+Calculator!$D$16/100/12)</f>
      </c>
      <c r="H348" s="0">
        <f>BJ347*(1+Calculator!$D$17/100/12)</f>
      </c>
      <c r="I348" s="0">
        <f>BK347*(1+Calculator!$D$18/100/12)</f>
      </c>
      <c r="J348" s="0">
        <f>BL347*(1+Calculator!$D$19/100/12)</f>
      </c>
      <c r="K348" s="0">
        <f>BM347*(1+Calculator!$D$20/100/12)</f>
      </c>
      <c r="L348" s="0">
        <f>BN347*(1+Calculator!$D$21/100/12)</f>
      </c>
      <c r="M348" s="0">
        <f>BO347*(1+Calculator!$D$22/100/12)</f>
      </c>
      <c r="N348" s="0">
        <f>BP347*(1+Calculator!$D$23/100/12)</f>
      </c>
      <c r="O348" s="0">
        <f>BQ347*(1+Calculator!$D$24/100/12)</f>
      </c>
      <c r="P348" s="0">
        <f>BR347*(1+Calculator!$D$25/100/12)</f>
      </c>
      <c r="Q348" s="0">
        <f>BS347*(1+Calculator!$D$26/100/12)</f>
      </c>
      <c r="R348" s="0">
        <f>BT347*(1+Calculator!$D$27/100/12)</f>
      </c>
      <c r="S348" s="0">
        <f>BU347*(1+Calculator!$D$28/100/12)</f>
      </c>
      <c r="T348" s="0">
        <f>MAX(0,B348-Calculator!$E$11)</f>
      </c>
      <c r="U348" s="0">
        <f>MAX(0,C348-Calculator!$E$12)</f>
      </c>
      <c r="V348" s="0">
        <f>MAX(0,D348-Calculator!$E$13)</f>
      </c>
      <c r="W348" s="0">
        <f>MAX(0,E348-Calculator!$E$14)</f>
      </c>
      <c r="X348" s="0">
        <f>MAX(0,F348-Calculator!$E$15)</f>
      </c>
      <c r="Y348" s="0">
        <f>MAX(0,G348-Calculator!$E$16)</f>
      </c>
      <c r="Z348" s="0">
        <f>MAX(0,H348-Calculator!$E$17)</f>
      </c>
      <c r="AA348" s="0">
        <f>MAX(0,I348-Calculator!$E$18)</f>
      </c>
      <c r="AB348" s="0">
        <f>MAX(0,J348-Calculator!$E$19)</f>
      </c>
      <c r="AC348" s="0">
        <f>MAX(0,K348-Calculator!$E$20)</f>
      </c>
      <c r="AD348" s="0">
        <f>MAX(0,L348-Calculator!$E$21)</f>
      </c>
      <c r="AE348" s="0">
        <f>MAX(0,M348-Calculator!$E$22)</f>
      </c>
      <c r="AF348" s="0">
        <f>MAX(0,N348-Calculator!$E$23)</f>
      </c>
      <c r="AG348" s="0">
        <f>MAX(0,O348-Calculator!$E$24)</f>
      </c>
      <c r="AH348" s="0">
        <f>MAX(0,P348-Calculator!$E$25)</f>
      </c>
      <c r="AI348" s="0">
        <f>MAX(0,Q348-Calculator!$E$26)</f>
      </c>
      <c r="AJ348" s="0">
        <f>MAX(0,R348-Calculator!$E$27)</f>
      </c>
      <c r="AK348" s="0">
        <f>MAX(0,S348-Calculator!$E$28)</f>
      </c>
      <c r="AL348" s="0">
        <f>MAX(0,MIN(T348,BX348-SUMPRODUCT(($T$2:$AK$2&lt;T$2)*($T348:$AK348))))</f>
      </c>
      <c r="AM348" s="0">
        <f>MAX(0,MIN(U348,BX348-SUMPRODUCT(($T$2:$AK$2&lt;U$2)*($T348:$AK348))))</f>
      </c>
      <c r="AN348" s="0">
        <f>MAX(0,MIN(V348,BX348-SUMPRODUCT(($T$2:$AK$2&lt;V$2)*($T348:$AK348))))</f>
      </c>
      <c r="AO348" s="0">
        <f>MAX(0,MIN(W348,BX348-SUMPRODUCT(($T$2:$AK$2&lt;W$2)*($T348:$AK348))))</f>
      </c>
      <c r="AP348" s="0">
        <f>MAX(0,MIN(X348,BX348-SUMPRODUCT(($T$2:$AK$2&lt;X$2)*($T348:$AK348))))</f>
      </c>
      <c r="AQ348" s="0">
        <f>MAX(0,MIN(Y348,BX348-SUMPRODUCT(($T$2:$AK$2&lt;Y$2)*($T348:$AK348))))</f>
      </c>
      <c r="AR348" s="0">
        <f>MAX(0,MIN(Z348,BX348-SUMPRODUCT(($T$2:$AK$2&lt;Z$2)*($T348:$AK348))))</f>
      </c>
      <c r="AS348" s="0">
        <f>MAX(0,MIN(AA348,BX348-SUMPRODUCT(($T$2:$AK$2&lt;AA$2)*($T348:$AK348))))</f>
      </c>
      <c r="AT348" s="0">
        <f>MAX(0,MIN(AB348,BX348-SUMPRODUCT(($T$2:$AK$2&lt;AB$2)*($T348:$AK348))))</f>
      </c>
      <c r="AU348" s="0">
        <f>MAX(0,MIN(AC348,BX348-SUMPRODUCT(($T$2:$AK$2&lt;AC$2)*($T348:$AK348))))</f>
      </c>
      <c r="AV348" s="0">
        <f>MAX(0,MIN(AD348,BX348-SUMPRODUCT(($T$2:$AK$2&lt;AD$2)*($T348:$AK348))))</f>
      </c>
      <c r="AW348" s="0">
        <f>MAX(0,MIN(AE348,BX348-SUMPRODUCT(($T$2:$AK$2&lt;AE$2)*($T348:$AK348))))</f>
      </c>
      <c r="AX348" s="0">
        <f>MAX(0,MIN(AF348,BX348-SUMPRODUCT(($T$2:$AK$2&lt;AF$2)*($T348:$AK348))))</f>
      </c>
      <c r="AY348" s="0">
        <f>MAX(0,MIN(AG348,BX348-SUMPRODUCT(($T$2:$AK$2&lt;AG$2)*($T348:$AK348))))</f>
      </c>
      <c r="AZ348" s="0">
        <f>MAX(0,MIN(AH348,BX348-SUMPRODUCT(($T$2:$AK$2&lt;AH$2)*($T348:$AK348))))</f>
      </c>
      <c r="BA348" s="0">
        <f>MAX(0,MIN(AI348,BX348-SUMPRODUCT(($T$2:$AK$2&lt;AI$2)*($T348:$AK348))))</f>
      </c>
      <c r="BB348" s="0">
        <f>MAX(0,MIN(AJ348,BX348-SUMPRODUCT(($T$2:$AK$2&lt;AJ$2)*($T348:$AK348))))</f>
      </c>
      <c r="BC348" s="0">
        <f>MAX(0,MIN(AK348,BX348-SUMPRODUCT(($T$2:$AK$2&lt;AK$2)*($T348:$AK348))))</f>
      </c>
      <c r="BD348" s="0">
        <f>T348-AL348</f>
      </c>
      <c r="BE348" s="0">
        <f>U348-AM348</f>
      </c>
      <c r="BF348" s="0">
        <f>V348-AN348</f>
      </c>
      <c r="BG348" s="0">
        <f>W348-AO348</f>
      </c>
      <c r="BH348" s="0">
        <f>X348-AP348</f>
      </c>
      <c r="BI348" s="0">
        <f>Y348-AQ348</f>
      </c>
      <c r="BJ348" s="0">
        <f>Z348-AR348</f>
      </c>
      <c r="BK348" s="0">
        <f>AA348-AS348</f>
      </c>
      <c r="BL348" s="0">
        <f>AB348-AT348</f>
      </c>
      <c r="BM348" s="0">
        <f>AC348-AU348</f>
      </c>
      <c r="BN348" s="0">
        <f>AD348-AV348</f>
      </c>
      <c r="BO348" s="0">
        <f>AE348-AW348</f>
      </c>
      <c r="BP348" s="0">
        <f>AF348-AX348</f>
      </c>
      <c r="BQ348" s="0">
        <f>AG348-AY348</f>
      </c>
      <c r="BR348" s="0">
        <f>AH348-AZ348</f>
      </c>
      <c r="BS348" s="0">
        <f>AI348-BA348</f>
      </c>
      <c r="BT348" s="0">
        <f>AJ348-BB348</f>
      </c>
      <c r="BU348" s="0">
        <f>AK348-BC348</f>
      </c>
      <c r="BV348" s="0">
        <f>SUM(B348:S348)</f>
      </c>
      <c r="BW348" s="0">
        <f>SUM(T348:AK348)</f>
      </c>
      <c r="BX348" s="0">
        <f>MAX(0,(SUM(Calculator!$E$11:$E$28)+Calculator!$C$6)-BV348+BW348)</f>
      </c>
      <c r="BY348" s="0">
        <f>SUM(BD348:BU348)</f>
      </c>
      <c r="BZ348" s="0">
        <f>BV348-BY347</f>
      </c>
      <c r="CA348" s="0">
        <f>IF(A348&lt;=IF($CD$1=0,999,$CD$1),BY348,NA())</f>
      </c>
      <c r="CB348" s="0">
        <f>IF(A348&lt;=IF($CD$1=0,999,$CD$1),A348,NA())</f>
      </c>
    </row>
    <row r="349">
      <c r="A349" s="0">
        <v>346</v>
      </c>
      <c r="B349" s="0">
        <f>BD348*(1+Calculator!$D$11/100/12)</f>
      </c>
      <c r="C349" s="0">
        <f>BE348*(1+Calculator!$D$12/100/12)</f>
      </c>
      <c r="D349" s="0">
        <f>BF348*(1+Calculator!$D$13/100/12)</f>
      </c>
      <c r="E349" s="0">
        <f>BG348*(1+Calculator!$D$14/100/12)</f>
      </c>
      <c r="F349" s="0">
        <f>BH348*(1+Calculator!$D$15/100/12)</f>
      </c>
      <c r="G349" s="0">
        <f>BI348*(1+Calculator!$D$16/100/12)</f>
      </c>
      <c r="H349" s="0">
        <f>BJ348*(1+Calculator!$D$17/100/12)</f>
      </c>
      <c r="I349" s="0">
        <f>BK348*(1+Calculator!$D$18/100/12)</f>
      </c>
      <c r="J349" s="0">
        <f>BL348*(1+Calculator!$D$19/100/12)</f>
      </c>
      <c r="K349" s="0">
        <f>BM348*(1+Calculator!$D$20/100/12)</f>
      </c>
      <c r="L349" s="0">
        <f>BN348*(1+Calculator!$D$21/100/12)</f>
      </c>
      <c r="M349" s="0">
        <f>BO348*(1+Calculator!$D$22/100/12)</f>
      </c>
      <c r="N349" s="0">
        <f>BP348*(1+Calculator!$D$23/100/12)</f>
      </c>
      <c r="O349" s="0">
        <f>BQ348*(1+Calculator!$D$24/100/12)</f>
      </c>
      <c r="P349" s="0">
        <f>BR348*(1+Calculator!$D$25/100/12)</f>
      </c>
      <c r="Q349" s="0">
        <f>BS348*(1+Calculator!$D$26/100/12)</f>
      </c>
      <c r="R349" s="0">
        <f>BT348*(1+Calculator!$D$27/100/12)</f>
      </c>
      <c r="S349" s="0">
        <f>BU348*(1+Calculator!$D$28/100/12)</f>
      </c>
      <c r="T349" s="0">
        <f>MAX(0,B349-Calculator!$E$11)</f>
      </c>
      <c r="U349" s="0">
        <f>MAX(0,C349-Calculator!$E$12)</f>
      </c>
      <c r="V349" s="0">
        <f>MAX(0,D349-Calculator!$E$13)</f>
      </c>
      <c r="W349" s="0">
        <f>MAX(0,E349-Calculator!$E$14)</f>
      </c>
      <c r="X349" s="0">
        <f>MAX(0,F349-Calculator!$E$15)</f>
      </c>
      <c r="Y349" s="0">
        <f>MAX(0,G349-Calculator!$E$16)</f>
      </c>
      <c r="Z349" s="0">
        <f>MAX(0,H349-Calculator!$E$17)</f>
      </c>
      <c r="AA349" s="0">
        <f>MAX(0,I349-Calculator!$E$18)</f>
      </c>
      <c r="AB349" s="0">
        <f>MAX(0,J349-Calculator!$E$19)</f>
      </c>
      <c r="AC349" s="0">
        <f>MAX(0,K349-Calculator!$E$20)</f>
      </c>
      <c r="AD349" s="0">
        <f>MAX(0,L349-Calculator!$E$21)</f>
      </c>
      <c r="AE349" s="0">
        <f>MAX(0,M349-Calculator!$E$22)</f>
      </c>
      <c r="AF349" s="0">
        <f>MAX(0,N349-Calculator!$E$23)</f>
      </c>
      <c r="AG349" s="0">
        <f>MAX(0,O349-Calculator!$E$24)</f>
      </c>
      <c r="AH349" s="0">
        <f>MAX(0,P349-Calculator!$E$25)</f>
      </c>
      <c r="AI349" s="0">
        <f>MAX(0,Q349-Calculator!$E$26)</f>
      </c>
      <c r="AJ349" s="0">
        <f>MAX(0,R349-Calculator!$E$27)</f>
      </c>
      <c r="AK349" s="0">
        <f>MAX(0,S349-Calculator!$E$28)</f>
      </c>
      <c r="AL349" s="0">
        <f>MAX(0,MIN(T349,BX349-SUMPRODUCT(($T$2:$AK$2&lt;T$2)*($T349:$AK349))))</f>
      </c>
      <c r="AM349" s="0">
        <f>MAX(0,MIN(U349,BX349-SUMPRODUCT(($T$2:$AK$2&lt;U$2)*($T349:$AK349))))</f>
      </c>
      <c r="AN349" s="0">
        <f>MAX(0,MIN(V349,BX349-SUMPRODUCT(($T$2:$AK$2&lt;V$2)*($T349:$AK349))))</f>
      </c>
      <c r="AO349" s="0">
        <f>MAX(0,MIN(W349,BX349-SUMPRODUCT(($T$2:$AK$2&lt;W$2)*($T349:$AK349))))</f>
      </c>
      <c r="AP349" s="0">
        <f>MAX(0,MIN(X349,BX349-SUMPRODUCT(($T$2:$AK$2&lt;X$2)*($T349:$AK349))))</f>
      </c>
      <c r="AQ349" s="0">
        <f>MAX(0,MIN(Y349,BX349-SUMPRODUCT(($T$2:$AK$2&lt;Y$2)*($T349:$AK349))))</f>
      </c>
      <c r="AR349" s="0">
        <f>MAX(0,MIN(Z349,BX349-SUMPRODUCT(($T$2:$AK$2&lt;Z$2)*($T349:$AK349))))</f>
      </c>
      <c r="AS349" s="0">
        <f>MAX(0,MIN(AA349,BX349-SUMPRODUCT(($T$2:$AK$2&lt;AA$2)*($T349:$AK349))))</f>
      </c>
      <c r="AT349" s="0">
        <f>MAX(0,MIN(AB349,BX349-SUMPRODUCT(($T$2:$AK$2&lt;AB$2)*($T349:$AK349))))</f>
      </c>
      <c r="AU349" s="0">
        <f>MAX(0,MIN(AC349,BX349-SUMPRODUCT(($T$2:$AK$2&lt;AC$2)*($T349:$AK349))))</f>
      </c>
      <c r="AV349" s="0">
        <f>MAX(0,MIN(AD349,BX349-SUMPRODUCT(($T$2:$AK$2&lt;AD$2)*($T349:$AK349))))</f>
      </c>
      <c r="AW349" s="0">
        <f>MAX(0,MIN(AE349,BX349-SUMPRODUCT(($T$2:$AK$2&lt;AE$2)*($T349:$AK349))))</f>
      </c>
      <c r="AX349" s="0">
        <f>MAX(0,MIN(AF349,BX349-SUMPRODUCT(($T$2:$AK$2&lt;AF$2)*($T349:$AK349))))</f>
      </c>
      <c r="AY349" s="0">
        <f>MAX(0,MIN(AG349,BX349-SUMPRODUCT(($T$2:$AK$2&lt;AG$2)*($T349:$AK349))))</f>
      </c>
      <c r="AZ349" s="0">
        <f>MAX(0,MIN(AH349,BX349-SUMPRODUCT(($T$2:$AK$2&lt;AH$2)*($T349:$AK349))))</f>
      </c>
      <c r="BA349" s="0">
        <f>MAX(0,MIN(AI349,BX349-SUMPRODUCT(($T$2:$AK$2&lt;AI$2)*($T349:$AK349))))</f>
      </c>
      <c r="BB349" s="0">
        <f>MAX(0,MIN(AJ349,BX349-SUMPRODUCT(($T$2:$AK$2&lt;AJ$2)*($T349:$AK349))))</f>
      </c>
      <c r="BC349" s="0">
        <f>MAX(0,MIN(AK349,BX349-SUMPRODUCT(($T$2:$AK$2&lt;AK$2)*($T349:$AK349))))</f>
      </c>
      <c r="BD349" s="0">
        <f>T349-AL349</f>
      </c>
      <c r="BE349" s="0">
        <f>U349-AM349</f>
      </c>
      <c r="BF349" s="0">
        <f>V349-AN349</f>
      </c>
      <c r="BG349" s="0">
        <f>W349-AO349</f>
      </c>
      <c r="BH349" s="0">
        <f>X349-AP349</f>
      </c>
      <c r="BI349" s="0">
        <f>Y349-AQ349</f>
      </c>
      <c r="BJ349" s="0">
        <f>Z349-AR349</f>
      </c>
      <c r="BK349" s="0">
        <f>AA349-AS349</f>
      </c>
      <c r="BL349" s="0">
        <f>AB349-AT349</f>
      </c>
      <c r="BM349" s="0">
        <f>AC349-AU349</f>
      </c>
      <c r="BN349" s="0">
        <f>AD349-AV349</f>
      </c>
      <c r="BO349" s="0">
        <f>AE349-AW349</f>
      </c>
      <c r="BP349" s="0">
        <f>AF349-AX349</f>
      </c>
      <c r="BQ349" s="0">
        <f>AG349-AY349</f>
      </c>
      <c r="BR349" s="0">
        <f>AH349-AZ349</f>
      </c>
      <c r="BS349" s="0">
        <f>AI349-BA349</f>
      </c>
      <c r="BT349" s="0">
        <f>AJ349-BB349</f>
      </c>
      <c r="BU349" s="0">
        <f>AK349-BC349</f>
      </c>
      <c r="BV349" s="0">
        <f>SUM(B349:S349)</f>
      </c>
      <c r="BW349" s="0">
        <f>SUM(T349:AK349)</f>
      </c>
      <c r="BX349" s="0">
        <f>MAX(0,(SUM(Calculator!$E$11:$E$28)+Calculator!$C$6)-BV349+BW349)</f>
      </c>
      <c r="BY349" s="0">
        <f>SUM(BD349:BU349)</f>
      </c>
      <c r="BZ349" s="0">
        <f>BV349-BY348</f>
      </c>
      <c r="CA349" s="0">
        <f>IF(A349&lt;=IF($CD$1=0,999,$CD$1),BY349,NA())</f>
      </c>
      <c r="CB349" s="0">
        <f>IF(A349&lt;=IF($CD$1=0,999,$CD$1),A349,NA())</f>
      </c>
    </row>
    <row r="350">
      <c r="A350" s="0">
        <v>347</v>
      </c>
      <c r="B350" s="0">
        <f>BD349*(1+Calculator!$D$11/100/12)</f>
      </c>
      <c r="C350" s="0">
        <f>BE349*(1+Calculator!$D$12/100/12)</f>
      </c>
      <c r="D350" s="0">
        <f>BF349*(1+Calculator!$D$13/100/12)</f>
      </c>
      <c r="E350" s="0">
        <f>BG349*(1+Calculator!$D$14/100/12)</f>
      </c>
      <c r="F350" s="0">
        <f>BH349*(1+Calculator!$D$15/100/12)</f>
      </c>
      <c r="G350" s="0">
        <f>BI349*(1+Calculator!$D$16/100/12)</f>
      </c>
      <c r="H350" s="0">
        <f>BJ349*(1+Calculator!$D$17/100/12)</f>
      </c>
      <c r="I350" s="0">
        <f>BK349*(1+Calculator!$D$18/100/12)</f>
      </c>
      <c r="J350" s="0">
        <f>BL349*(1+Calculator!$D$19/100/12)</f>
      </c>
      <c r="K350" s="0">
        <f>BM349*(1+Calculator!$D$20/100/12)</f>
      </c>
      <c r="L350" s="0">
        <f>BN349*(1+Calculator!$D$21/100/12)</f>
      </c>
      <c r="M350" s="0">
        <f>BO349*(1+Calculator!$D$22/100/12)</f>
      </c>
      <c r="N350" s="0">
        <f>BP349*(1+Calculator!$D$23/100/12)</f>
      </c>
      <c r="O350" s="0">
        <f>BQ349*(1+Calculator!$D$24/100/12)</f>
      </c>
      <c r="P350" s="0">
        <f>BR349*(1+Calculator!$D$25/100/12)</f>
      </c>
      <c r="Q350" s="0">
        <f>BS349*(1+Calculator!$D$26/100/12)</f>
      </c>
      <c r="R350" s="0">
        <f>BT349*(1+Calculator!$D$27/100/12)</f>
      </c>
      <c r="S350" s="0">
        <f>BU349*(1+Calculator!$D$28/100/12)</f>
      </c>
      <c r="T350" s="0">
        <f>MAX(0,B350-Calculator!$E$11)</f>
      </c>
      <c r="U350" s="0">
        <f>MAX(0,C350-Calculator!$E$12)</f>
      </c>
      <c r="V350" s="0">
        <f>MAX(0,D350-Calculator!$E$13)</f>
      </c>
      <c r="W350" s="0">
        <f>MAX(0,E350-Calculator!$E$14)</f>
      </c>
      <c r="X350" s="0">
        <f>MAX(0,F350-Calculator!$E$15)</f>
      </c>
      <c r="Y350" s="0">
        <f>MAX(0,G350-Calculator!$E$16)</f>
      </c>
      <c r="Z350" s="0">
        <f>MAX(0,H350-Calculator!$E$17)</f>
      </c>
      <c r="AA350" s="0">
        <f>MAX(0,I350-Calculator!$E$18)</f>
      </c>
      <c r="AB350" s="0">
        <f>MAX(0,J350-Calculator!$E$19)</f>
      </c>
      <c r="AC350" s="0">
        <f>MAX(0,K350-Calculator!$E$20)</f>
      </c>
      <c r="AD350" s="0">
        <f>MAX(0,L350-Calculator!$E$21)</f>
      </c>
      <c r="AE350" s="0">
        <f>MAX(0,M350-Calculator!$E$22)</f>
      </c>
      <c r="AF350" s="0">
        <f>MAX(0,N350-Calculator!$E$23)</f>
      </c>
      <c r="AG350" s="0">
        <f>MAX(0,O350-Calculator!$E$24)</f>
      </c>
      <c r="AH350" s="0">
        <f>MAX(0,P350-Calculator!$E$25)</f>
      </c>
      <c r="AI350" s="0">
        <f>MAX(0,Q350-Calculator!$E$26)</f>
      </c>
      <c r="AJ350" s="0">
        <f>MAX(0,R350-Calculator!$E$27)</f>
      </c>
      <c r="AK350" s="0">
        <f>MAX(0,S350-Calculator!$E$28)</f>
      </c>
      <c r="AL350" s="0">
        <f>MAX(0,MIN(T350,BX350-SUMPRODUCT(($T$2:$AK$2&lt;T$2)*($T350:$AK350))))</f>
      </c>
      <c r="AM350" s="0">
        <f>MAX(0,MIN(U350,BX350-SUMPRODUCT(($T$2:$AK$2&lt;U$2)*($T350:$AK350))))</f>
      </c>
      <c r="AN350" s="0">
        <f>MAX(0,MIN(V350,BX350-SUMPRODUCT(($T$2:$AK$2&lt;V$2)*($T350:$AK350))))</f>
      </c>
      <c r="AO350" s="0">
        <f>MAX(0,MIN(W350,BX350-SUMPRODUCT(($T$2:$AK$2&lt;W$2)*($T350:$AK350))))</f>
      </c>
      <c r="AP350" s="0">
        <f>MAX(0,MIN(X350,BX350-SUMPRODUCT(($T$2:$AK$2&lt;X$2)*($T350:$AK350))))</f>
      </c>
      <c r="AQ350" s="0">
        <f>MAX(0,MIN(Y350,BX350-SUMPRODUCT(($T$2:$AK$2&lt;Y$2)*($T350:$AK350))))</f>
      </c>
      <c r="AR350" s="0">
        <f>MAX(0,MIN(Z350,BX350-SUMPRODUCT(($T$2:$AK$2&lt;Z$2)*($T350:$AK350))))</f>
      </c>
      <c r="AS350" s="0">
        <f>MAX(0,MIN(AA350,BX350-SUMPRODUCT(($T$2:$AK$2&lt;AA$2)*($T350:$AK350))))</f>
      </c>
      <c r="AT350" s="0">
        <f>MAX(0,MIN(AB350,BX350-SUMPRODUCT(($T$2:$AK$2&lt;AB$2)*($T350:$AK350))))</f>
      </c>
      <c r="AU350" s="0">
        <f>MAX(0,MIN(AC350,BX350-SUMPRODUCT(($T$2:$AK$2&lt;AC$2)*($T350:$AK350))))</f>
      </c>
      <c r="AV350" s="0">
        <f>MAX(0,MIN(AD350,BX350-SUMPRODUCT(($T$2:$AK$2&lt;AD$2)*($T350:$AK350))))</f>
      </c>
      <c r="AW350" s="0">
        <f>MAX(0,MIN(AE350,BX350-SUMPRODUCT(($T$2:$AK$2&lt;AE$2)*($T350:$AK350))))</f>
      </c>
      <c r="AX350" s="0">
        <f>MAX(0,MIN(AF350,BX350-SUMPRODUCT(($T$2:$AK$2&lt;AF$2)*($T350:$AK350))))</f>
      </c>
      <c r="AY350" s="0">
        <f>MAX(0,MIN(AG350,BX350-SUMPRODUCT(($T$2:$AK$2&lt;AG$2)*($T350:$AK350))))</f>
      </c>
      <c r="AZ350" s="0">
        <f>MAX(0,MIN(AH350,BX350-SUMPRODUCT(($T$2:$AK$2&lt;AH$2)*($T350:$AK350))))</f>
      </c>
      <c r="BA350" s="0">
        <f>MAX(0,MIN(AI350,BX350-SUMPRODUCT(($T$2:$AK$2&lt;AI$2)*($T350:$AK350))))</f>
      </c>
      <c r="BB350" s="0">
        <f>MAX(0,MIN(AJ350,BX350-SUMPRODUCT(($T$2:$AK$2&lt;AJ$2)*($T350:$AK350))))</f>
      </c>
      <c r="BC350" s="0">
        <f>MAX(0,MIN(AK350,BX350-SUMPRODUCT(($T$2:$AK$2&lt;AK$2)*($T350:$AK350))))</f>
      </c>
      <c r="BD350" s="0">
        <f>T350-AL350</f>
      </c>
      <c r="BE350" s="0">
        <f>U350-AM350</f>
      </c>
      <c r="BF350" s="0">
        <f>V350-AN350</f>
      </c>
      <c r="BG350" s="0">
        <f>W350-AO350</f>
      </c>
      <c r="BH350" s="0">
        <f>X350-AP350</f>
      </c>
      <c r="BI350" s="0">
        <f>Y350-AQ350</f>
      </c>
      <c r="BJ350" s="0">
        <f>Z350-AR350</f>
      </c>
      <c r="BK350" s="0">
        <f>AA350-AS350</f>
      </c>
      <c r="BL350" s="0">
        <f>AB350-AT350</f>
      </c>
      <c r="BM350" s="0">
        <f>AC350-AU350</f>
      </c>
      <c r="BN350" s="0">
        <f>AD350-AV350</f>
      </c>
      <c r="BO350" s="0">
        <f>AE350-AW350</f>
      </c>
      <c r="BP350" s="0">
        <f>AF350-AX350</f>
      </c>
      <c r="BQ350" s="0">
        <f>AG350-AY350</f>
      </c>
      <c r="BR350" s="0">
        <f>AH350-AZ350</f>
      </c>
      <c r="BS350" s="0">
        <f>AI350-BA350</f>
      </c>
      <c r="BT350" s="0">
        <f>AJ350-BB350</f>
      </c>
      <c r="BU350" s="0">
        <f>AK350-BC350</f>
      </c>
      <c r="BV350" s="0">
        <f>SUM(B350:S350)</f>
      </c>
      <c r="BW350" s="0">
        <f>SUM(T350:AK350)</f>
      </c>
      <c r="BX350" s="0">
        <f>MAX(0,(SUM(Calculator!$E$11:$E$28)+Calculator!$C$6)-BV350+BW350)</f>
      </c>
      <c r="BY350" s="0">
        <f>SUM(BD350:BU350)</f>
      </c>
      <c r="BZ350" s="0">
        <f>BV350-BY349</f>
      </c>
      <c r="CA350" s="0">
        <f>IF(A350&lt;=IF($CD$1=0,999,$CD$1),BY350,NA())</f>
      </c>
      <c r="CB350" s="0">
        <f>IF(A350&lt;=IF($CD$1=0,999,$CD$1),A350,NA())</f>
      </c>
    </row>
    <row r="351">
      <c r="A351" s="0">
        <v>348</v>
      </c>
      <c r="B351" s="0">
        <f>BD350*(1+Calculator!$D$11/100/12)</f>
      </c>
      <c r="C351" s="0">
        <f>BE350*(1+Calculator!$D$12/100/12)</f>
      </c>
      <c r="D351" s="0">
        <f>BF350*(1+Calculator!$D$13/100/12)</f>
      </c>
      <c r="E351" s="0">
        <f>BG350*(1+Calculator!$D$14/100/12)</f>
      </c>
      <c r="F351" s="0">
        <f>BH350*(1+Calculator!$D$15/100/12)</f>
      </c>
      <c r="G351" s="0">
        <f>BI350*(1+Calculator!$D$16/100/12)</f>
      </c>
      <c r="H351" s="0">
        <f>BJ350*(1+Calculator!$D$17/100/12)</f>
      </c>
      <c r="I351" s="0">
        <f>BK350*(1+Calculator!$D$18/100/12)</f>
      </c>
      <c r="J351" s="0">
        <f>BL350*(1+Calculator!$D$19/100/12)</f>
      </c>
      <c r="K351" s="0">
        <f>BM350*(1+Calculator!$D$20/100/12)</f>
      </c>
      <c r="L351" s="0">
        <f>BN350*(1+Calculator!$D$21/100/12)</f>
      </c>
      <c r="M351" s="0">
        <f>BO350*(1+Calculator!$D$22/100/12)</f>
      </c>
      <c r="N351" s="0">
        <f>BP350*(1+Calculator!$D$23/100/12)</f>
      </c>
      <c r="O351" s="0">
        <f>BQ350*(1+Calculator!$D$24/100/12)</f>
      </c>
      <c r="P351" s="0">
        <f>BR350*(1+Calculator!$D$25/100/12)</f>
      </c>
      <c r="Q351" s="0">
        <f>BS350*(1+Calculator!$D$26/100/12)</f>
      </c>
      <c r="R351" s="0">
        <f>BT350*(1+Calculator!$D$27/100/12)</f>
      </c>
      <c r="S351" s="0">
        <f>BU350*(1+Calculator!$D$28/100/12)</f>
      </c>
      <c r="T351" s="0">
        <f>MAX(0,B351-Calculator!$E$11)</f>
      </c>
      <c r="U351" s="0">
        <f>MAX(0,C351-Calculator!$E$12)</f>
      </c>
      <c r="V351" s="0">
        <f>MAX(0,D351-Calculator!$E$13)</f>
      </c>
      <c r="W351" s="0">
        <f>MAX(0,E351-Calculator!$E$14)</f>
      </c>
      <c r="X351" s="0">
        <f>MAX(0,F351-Calculator!$E$15)</f>
      </c>
      <c r="Y351" s="0">
        <f>MAX(0,G351-Calculator!$E$16)</f>
      </c>
      <c r="Z351" s="0">
        <f>MAX(0,H351-Calculator!$E$17)</f>
      </c>
      <c r="AA351" s="0">
        <f>MAX(0,I351-Calculator!$E$18)</f>
      </c>
      <c r="AB351" s="0">
        <f>MAX(0,J351-Calculator!$E$19)</f>
      </c>
      <c r="AC351" s="0">
        <f>MAX(0,K351-Calculator!$E$20)</f>
      </c>
      <c r="AD351" s="0">
        <f>MAX(0,L351-Calculator!$E$21)</f>
      </c>
      <c r="AE351" s="0">
        <f>MAX(0,M351-Calculator!$E$22)</f>
      </c>
      <c r="AF351" s="0">
        <f>MAX(0,N351-Calculator!$E$23)</f>
      </c>
      <c r="AG351" s="0">
        <f>MAX(0,O351-Calculator!$E$24)</f>
      </c>
      <c r="AH351" s="0">
        <f>MAX(0,P351-Calculator!$E$25)</f>
      </c>
      <c r="AI351" s="0">
        <f>MAX(0,Q351-Calculator!$E$26)</f>
      </c>
      <c r="AJ351" s="0">
        <f>MAX(0,R351-Calculator!$E$27)</f>
      </c>
      <c r="AK351" s="0">
        <f>MAX(0,S351-Calculator!$E$28)</f>
      </c>
      <c r="AL351" s="0">
        <f>MAX(0,MIN(T351,BX351-SUMPRODUCT(($T$2:$AK$2&lt;T$2)*($T351:$AK351))))</f>
      </c>
      <c r="AM351" s="0">
        <f>MAX(0,MIN(U351,BX351-SUMPRODUCT(($T$2:$AK$2&lt;U$2)*($T351:$AK351))))</f>
      </c>
      <c r="AN351" s="0">
        <f>MAX(0,MIN(V351,BX351-SUMPRODUCT(($T$2:$AK$2&lt;V$2)*($T351:$AK351))))</f>
      </c>
      <c r="AO351" s="0">
        <f>MAX(0,MIN(W351,BX351-SUMPRODUCT(($T$2:$AK$2&lt;W$2)*($T351:$AK351))))</f>
      </c>
      <c r="AP351" s="0">
        <f>MAX(0,MIN(X351,BX351-SUMPRODUCT(($T$2:$AK$2&lt;X$2)*($T351:$AK351))))</f>
      </c>
      <c r="AQ351" s="0">
        <f>MAX(0,MIN(Y351,BX351-SUMPRODUCT(($T$2:$AK$2&lt;Y$2)*($T351:$AK351))))</f>
      </c>
      <c r="AR351" s="0">
        <f>MAX(0,MIN(Z351,BX351-SUMPRODUCT(($T$2:$AK$2&lt;Z$2)*($T351:$AK351))))</f>
      </c>
      <c r="AS351" s="0">
        <f>MAX(0,MIN(AA351,BX351-SUMPRODUCT(($T$2:$AK$2&lt;AA$2)*($T351:$AK351))))</f>
      </c>
      <c r="AT351" s="0">
        <f>MAX(0,MIN(AB351,BX351-SUMPRODUCT(($T$2:$AK$2&lt;AB$2)*($T351:$AK351))))</f>
      </c>
      <c r="AU351" s="0">
        <f>MAX(0,MIN(AC351,BX351-SUMPRODUCT(($T$2:$AK$2&lt;AC$2)*($T351:$AK351))))</f>
      </c>
      <c r="AV351" s="0">
        <f>MAX(0,MIN(AD351,BX351-SUMPRODUCT(($T$2:$AK$2&lt;AD$2)*($T351:$AK351))))</f>
      </c>
      <c r="AW351" s="0">
        <f>MAX(0,MIN(AE351,BX351-SUMPRODUCT(($T$2:$AK$2&lt;AE$2)*($T351:$AK351))))</f>
      </c>
      <c r="AX351" s="0">
        <f>MAX(0,MIN(AF351,BX351-SUMPRODUCT(($T$2:$AK$2&lt;AF$2)*($T351:$AK351))))</f>
      </c>
      <c r="AY351" s="0">
        <f>MAX(0,MIN(AG351,BX351-SUMPRODUCT(($T$2:$AK$2&lt;AG$2)*($T351:$AK351))))</f>
      </c>
      <c r="AZ351" s="0">
        <f>MAX(0,MIN(AH351,BX351-SUMPRODUCT(($T$2:$AK$2&lt;AH$2)*($T351:$AK351))))</f>
      </c>
      <c r="BA351" s="0">
        <f>MAX(0,MIN(AI351,BX351-SUMPRODUCT(($T$2:$AK$2&lt;AI$2)*($T351:$AK351))))</f>
      </c>
      <c r="BB351" s="0">
        <f>MAX(0,MIN(AJ351,BX351-SUMPRODUCT(($T$2:$AK$2&lt;AJ$2)*($T351:$AK351))))</f>
      </c>
      <c r="BC351" s="0">
        <f>MAX(0,MIN(AK351,BX351-SUMPRODUCT(($T$2:$AK$2&lt;AK$2)*($T351:$AK351))))</f>
      </c>
      <c r="BD351" s="0">
        <f>T351-AL351</f>
      </c>
      <c r="BE351" s="0">
        <f>U351-AM351</f>
      </c>
      <c r="BF351" s="0">
        <f>V351-AN351</f>
      </c>
      <c r="BG351" s="0">
        <f>W351-AO351</f>
      </c>
      <c r="BH351" s="0">
        <f>X351-AP351</f>
      </c>
      <c r="BI351" s="0">
        <f>Y351-AQ351</f>
      </c>
      <c r="BJ351" s="0">
        <f>Z351-AR351</f>
      </c>
      <c r="BK351" s="0">
        <f>AA351-AS351</f>
      </c>
      <c r="BL351" s="0">
        <f>AB351-AT351</f>
      </c>
      <c r="BM351" s="0">
        <f>AC351-AU351</f>
      </c>
      <c r="BN351" s="0">
        <f>AD351-AV351</f>
      </c>
      <c r="BO351" s="0">
        <f>AE351-AW351</f>
      </c>
      <c r="BP351" s="0">
        <f>AF351-AX351</f>
      </c>
      <c r="BQ351" s="0">
        <f>AG351-AY351</f>
      </c>
      <c r="BR351" s="0">
        <f>AH351-AZ351</f>
      </c>
      <c r="BS351" s="0">
        <f>AI351-BA351</f>
      </c>
      <c r="BT351" s="0">
        <f>AJ351-BB351</f>
      </c>
      <c r="BU351" s="0">
        <f>AK351-BC351</f>
      </c>
      <c r="BV351" s="0">
        <f>SUM(B351:S351)</f>
      </c>
      <c r="BW351" s="0">
        <f>SUM(T351:AK351)</f>
      </c>
      <c r="BX351" s="0">
        <f>MAX(0,(SUM(Calculator!$E$11:$E$28)+Calculator!$C$6)-BV351+BW351)</f>
      </c>
      <c r="BY351" s="0">
        <f>SUM(BD351:BU351)</f>
      </c>
      <c r="BZ351" s="0">
        <f>BV351-BY350</f>
      </c>
      <c r="CA351" s="0">
        <f>IF(A351&lt;=IF($CD$1=0,999,$CD$1),BY351,NA())</f>
      </c>
      <c r="CB351" s="0">
        <f>IF(A351&lt;=IF($CD$1=0,999,$CD$1),A351,NA())</f>
      </c>
    </row>
    <row r="352">
      <c r="A352" s="0">
        <v>349</v>
      </c>
      <c r="B352" s="0">
        <f>BD351*(1+Calculator!$D$11/100/12)</f>
      </c>
      <c r="C352" s="0">
        <f>BE351*(1+Calculator!$D$12/100/12)</f>
      </c>
      <c r="D352" s="0">
        <f>BF351*(1+Calculator!$D$13/100/12)</f>
      </c>
      <c r="E352" s="0">
        <f>BG351*(1+Calculator!$D$14/100/12)</f>
      </c>
      <c r="F352" s="0">
        <f>BH351*(1+Calculator!$D$15/100/12)</f>
      </c>
      <c r="G352" s="0">
        <f>BI351*(1+Calculator!$D$16/100/12)</f>
      </c>
      <c r="H352" s="0">
        <f>BJ351*(1+Calculator!$D$17/100/12)</f>
      </c>
      <c r="I352" s="0">
        <f>BK351*(1+Calculator!$D$18/100/12)</f>
      </c>
      <c r="J352" s="0">
        <f>BL351*(1+Calculator!$D$19/100/12)</f>
      </c>
      <c r="K352" s="0">
        <f>BM351*(1+Calculator!$D$20/100/12)</f>
      </c>
      <c r="L352" s="0">
        <f>BN351*(1+Calculator!$D$21/100/12)</f>
      </c>
      <c r="M352" s="0">
        <f>BO351*(1+Calculator!$D$22/100/12)</f>
      </c>
      <c r="N352" s="0">
        <f>BP351*(1+Calculator!$D$23/100/12)</f>
      </c>
      <c r="O352" s="0">
        <f>BQ351*(1+Calculator!$D$24/100/12)</f>
      </c>
      <c r="P352" s="0">
        <f>BR351*(1+Calculator!$D$25/100/12)</f>
      </c>
      <c r="Q352" s="0">
        <f>BS351*(1+Calculator!$D$26/100/12)</f>
      </c>
      <c r="R352" s="0">
        <f>BT351*(1+Calculator!$D$27/100/12)</f>
      </c>
      <c r="S352" s="0">
        <f>BU351*(1+Calculator!$D$28/100/12)</f>
      </c>
      <c r="T352" s="0">
        <f>MAX(0,B352-Calculator!$E$11)</f>
      </c>
      <c r="U352" s="0">
        <f>MAX(0,C352-Calculator!$E$12)</f>
      </c>
      <c r="V352" s="0">
        <f>MAX(0,D352-Calculator!$E$13)</f>
      </c>
      <c r="W352" s="0">
        <f>MAX(0,E352-Calculator!$E$14)</f>
      </c>
      <c r="X352" s="0">
        <f>MAX(0,F352-Calculator!$E$15)</f>
      </c>
      <c r="Y352" s="0">
        <f>MAX(0,G352-Calculator!$E$16)</f>
      </c>
      <c r="Z352" s="0">
        <f>MAX(0,H352-Calculator!$E$17)</f>
      </c>
      <c r="AA352" s="0">
        <f>MAX(0,I352-Calculator!$E$18)</f>
      </c>
      <c r="AB352" s="0">
        <f>MAX(0,J352-Calculator!$E$19)</f>
      </c>
      <c r="AC352" s="0">
        <f>MAX(0,K352-Calculator!$E$20)</f>
      </c>
      <c r="AD352" s="0">
        <f>MAX(0,L352-Calculator!$E$21)</f>
      </c>
      <c r="AE352" s="0">
        <f>MAX(0,M352-Calculator!$E$22)</f>
      </c>
      <c r="AF352" s="0">
        <f>MAX(0,N352-Calculator!$E$23)</f>
      </c>
      <c r="AG352" s="0">
        <f>MAX(0,O352-Calculator!$E$24)</f>
      </c>
      <c r="AH352" s="0">
        <f>MAX(0,P352-Calculator!$E$25)</f>
      </c>
      <c r="AI352" s="0">
        <f>MAX(0,Q352-Calculator!$E$26)</f>
      </c>
      <c r="AJ352" s="0">
        <f>MAX(0,R352-Calculator!$E$27)</f>
      </c>
      <c r="AK352" s="0">
        <f>MAX(0,S352-Calculator!$E$28)</f>
      </c>
      <c r="AL352" s="0">
        <f>MAX(0,MIN(T352,BX352-SUMPRODUCT(($T$2:$AK$2&lt;T$2)*($T352:$AK352))))</f>
      </c>
      <c r="AM352" s="0">
        <f>MAX(0,MIN(U352,BX352-SUMPRODUCT(($T$2:$AK$2&lt;U$2)*($T352:$AK352))))</f>
      </c>
      <c r="AN352" s="0">
        <f>MAX(0,MIN(V352,BX352-SUMPRODUCT(($T$2:$AK$2&lt;V$2)*($T352:$AK352))))</f>
      </c>
      <c r="AO352" s="0">
        <f>MAX(0,MIN(W352,BX352-SUMPRODUCT(($T$2:$AK$2&lt;W$2)*($T352:$AK352))))</f>
      </c>
      <c r="AP352" s="0">
        <f>MAX(0,MIN(X352,BX352-SUMPRODUCT(($T$2:$AK$2&lt;X$2)*($T352:$AK352))))</f>
      </c>
      <c r="AQ352" s="0">
        <f>MAX(0,MIN(Y352,BX352-SUMPRODUCT(($T$2:$AK$2&lt;Y$2)*($T352:$AK352))))</f>
      </c>
      <c r="AR352" s="0">
        <f>MAX(0,MIN(Z352,BX352-SUMPRODUCT(($T$2:$AK$2&lt;Z$2)*($T352:$AK352))))</f>
      </c>
      <c r="AS352" s="0">
        <f>MAX(0,MIN(AA352,BX352-SUMPRODUCT(($T$2:$AK$2&lt;AA$2)*($T352:$AK352))))</f>
      </c>
      <c r="AT352" s="0">
        <f>MAX(0,MIN(AB352,BX352-SUMPRODUCT(($T$2:$AK$2&lt;AB$2)*($T352:$AK352))))</f>
      </c>
      <c r="AU352" s="0">
        <f>MAX(0,MIN(AC352,BX352-SUMPRODUCT(($T$2:$AK$2&lt;AC$2)*($T352:$AK352))))</f>
      </c>
      <c r="AV352" s="0">
        <f>MAX(0,MIN(AD352,BX352-SUMPRODUCT(($T$2:$AK$2&lt;AD$2)*($T352:$AK352))))</f>
      </c>
      <c r="AW352" s="0">
        <f>MAX(0,MIN(AE352,BX352-SUMPRODUCT(($T$2:$AK$2&lt;AE$2)*($T352:$AK352))))</f>
      </c>
      <c r="AX352" s="0">
        <f>MAX(0,MIN(AF352,BX352-SUMPRODUCT(($T$2:$AK$2&lt;AF$2)*($T352:$AK352))))</f>
      </c>
      <c r="AY352" s="0">
        <f>MAX(0,MIN(AG352,BX352-SUMPRODUCT(($T$2:$AK$2&lt;AG$2)*($T352:$AK352))))</f>
      </c>
      <c r="AZ352" s="0">
        <f>MAX(0,MIN(AH352,BX352-SUMPRODUCT(($T$2:$AK$2&lt;AH$2)*($T352:$AK352))))</f>
      </c>
      <c r="BA352" s="0">
        <f>MAX(0,MIN(AI352,BX352-SUMPRODUCT(($T$2:$AK$2&lt;AI$2)*($T352:$AK352))))</f>
      </c>
      <c r="BB352" s="0">
        <f>MAX(0,MIN(AJ352,BX352-SUMPRODUCT(($T$2:$AK$2&lt;AJ$2)*($T352:$AK352))))</f>
      </c>
      <c r="BC352" s="0">
        <f>MAX(0,MIN(AK352,BX352-SUMPRODUCT(($T$2:$AK$2&lt;AK$2)*($T352:$AK352))))</f>
      </c>
      <c r="BD352" s="0">
        <f>T352-AL352</f>
      </c>
      <c r="BE352" s="0">
        <f>U352-AM352</f>
      </c>
      <c r="BF352" s="0">
        <f>V352-AN352</f>
      </c>
      <c r="BG352" s="0">
        <f>W352-AO352</f>
      </c>
      <c r="BH352" s="0">
        <f>X352-AP352</f>
      </c>
      <c r="BI352" s="0">
        <f>Y352-AQ352</f>
      </c>
      <c r="BJ352" s="0">
        <f>Z352-AR352</f>
      </c>
      <c r="BK352" s="0">
        <f>AA352-AS352</f>
      </c>
      <c r="BL352" s="0">
        <f>AB352-AT352</f>
      </c>
      <c r="BM352" s="0">
        <f>AC352-AU352</f>
      </c>
      <c r="BN352" s="0">
        <f>AD352-AV352</f>
      </c>
      <c r="BO352" s="0">
        <f>AE352-AW352</f>
      </c>
      <c r="BP352" s="0">
        <f>AF352-AX352</f>
      </c>
      <c r="BQ352" s="0">
        <f>AG352-AY352</f>
      </c>
      <c r="BR352" s="0">
        <f>AH352-AZ352</f>
      </c>
      <c r="BS352" s="0">
        <f>AI352-BA352</f>
      </c>
      <c r="BT352" s="0">
        <f>AJ352-BB352</f>
      </c>
      <c r="BU352" s="0">
        <f>AK352-BC352</f>
      </c>
      <c r="BV352" s="0">
        <f>SUM(B352:S352)</f>
      </c>
      <c r="BW352" s="0">
        <f>SUM(T352:AK352)</f>
      </c>
      <c r="BX352" s="0">
        <f>MAX(0,(SUM(Calculator!$E$11:$E$28)+Calculator!$C$6)-BV352+BW352)</f>
      </c>
      <c r="BY352" s="0">
        <f>SUM(BD352:BU352)</f>
      </c>
      <c r="BZ352" s="0">
        <f>BV352-BY351</f>
      </c>
      <c r="CA352" s="0">
        <f>IF(A352&lt;=IF($CD$1=0,999,$CD$1),BY352,NA())</f>
      </c>
      <c r="CB352" s="0">
        <f>IF(A352&lt;=IF($CD$1=0,999,$CD$1),A352,NA())</f>
      </c>
    </row>
    <row r="353">
      <c r="A353" s="0">
        <v>350</v>
      </c>
      <c r="B353" s="0">
        <f>BD352*(1+Calculator!$D$11/100/12)</f>
      </c>
      <c r="C353" s="0">
        <f>BE352*(1+Calculator!$D$12/100/12)</f>
      </c>
      <c r="D353" s="0">
        <f>BF352*(1+Calculator!$D$13/100/12)</f>
      </c>
      <c r="E353" s="0">
        <f>BG352*(1+Calculator!$D$14/100/12)</f>
      </c>
      <c r="F353" s="0">
        <f>BH352*(1+Calculator!$D$15/100/12)</f>
      </c>
      <c r="G353" s="0">
        <f>BI352*(1+Calculator!$D$16/100/12)</f>
      </c>
      <c r="H353" s="0">
        <f>BJ352*(1+Calculator!$D$17/100/12)</f>
      </c>
      <c r="I353" s="0">
        <f>BK352*(1+Calculator!$D$18/100/12)</f>
      </c>
      <c r="J353" s="0">
        <f>BL352*(1+Calculator!$D$19/100/12)</f>
      </c>
      <c r="K353" s="0">
        <f>BM352*(1+Calculator!$D$20/100/12)</f>
      </c>
      <c r="L353" s="0">
        <f>BN352*(1+Calculator!$D$21/100/12)</f>
      </c>
      <c r="M353" s="0">
        <f>BO352*(1+Calculator!$D$22/100/12)</f>
      </c>
      <c r="N353" s="0">
        <f>BP352*(1+Calculator!$D$23/100/12)</f>
      </c>
      <c r="O353" s="0">
        <f>BQ352*(1+Calculator!$D$24/100/12)</f>
      </c>
      <c r="P353" s="0">
        <f>BR352*(1+Calculator!$D$25/100/12)</f>
      </c>
      <c r="Q353" s="0">
        <f>BS352*(1+Calculator!$D$26/100/12)</f>
      </c>
      <c r="R353" s="0">
        <f>BT352*(1+Calculator!$D$27/100/12)</f>
      </c>
      <c r="S353" s="0">
        <f>BU352*(1+Calculator!$D$28/100/12)</f>
      </c>
      <c r="T353" s="0">
        <f>MAX(0,B353-Calculator!$E$11)</f>
      </c>
      <c r="U353" s="0">
        <f>MAX(0,C353-Calculator!$E$12)</f>
      </c>
      <c r="V353" s="0">
        <f>MAX(0,D353-Calculator!$E$13)</f>
      </c>
      <c r="W353" s="0">
        <f>MAX(0,E353-Calculator!$E$14)</f>
      </c>
      <c r="X353" s="0">
        <f>MAX(0,F353-Calculator!$E$15)</f>
      </c>
      <c r="Y353" s="0">
        <f>MAX(0,G353-Calculator!$E$16)</f>
      </c>
      <c r="Z353" s="0">
        <f>MAX(0,H353-Calculator!$E$17)</f>
      </c>
      <c r="AA353" s="0">
        <f>MAX(0,I353-Calculator!$E$18)</f>
      </c>
      <c r="AB353" s="0">
        <f>MAX(0,J353-Calculator!$E$19)</f>
      </c>
      <c r="AC353" s="0">
        <f>MAX(0,K353-Calculator!$E$20)</f>
      </c>
      <c r="AD353" s="0">
        <f>MAX(0,L353-Calculator!$E$21)</f>
      </c>
      <c r="AE353" s="0">
        <f>MAX(0,M353-Calculator!$E$22)</f>
      </c>
      <c r="AF353" s="0">
        <f>MAX(0,N353-Calculator!$E$23)</f>
      </c>
      <c r="AG353" s="0">
        <f>MAX(0,O353-Calculator!$E$24)</f>
      </c>
      <c r="AH353" s="0">
        <f>MAX(0,P353-Calculator!$E$25)</f>
      </c>
      <c r="AI353" s="0">
        <f>MAX(0,Q353-Calculator!$E$26)</f>
      </c>
      <c r="AJ353" s="0">
        <f>MAX(0,R353-Calculator!$E$27)</f>
      </c>
      <c r="AK353" s="0">
        <f>MAX(0,S353-Calculator!$E$28)</f>
      </c>
      <c r="AL353" s="0">
        <f>MAX(0,MIN(T353,BX353-SUMPRODUCT(($T$2:$AK$2&lt;T$2)*($T353:$AK353))))</f>
      </c>
      <c r="AM353" s="0">
        <f>MAX(0,MIN(U353,BX353-SUMPRODUCT(($T$2:$AK$2&lt;U$2)*($T353:$AK353))))</f>
      </c>
      <c r="AN353" s="0">
        <f>MAX(0,MIN(V353,BX353-SUMPRODUCT(($T$2:$AK$2&lt;V$2)*($T353:$AK353))))</f>
      </c>
      <c r="AO353" s="0">
        <f>MAX(0,MIN(W353,BX353-SUMPRODUCT(($T$2:$AK$2&lt;W$2)*($T353:$AK353))))</f>
      </c>
      <c r="AP353" s="0">
        <f>MAX(0,MIN(X353,BX353-SUMPRODUCT(($T$2:$AK$2&lt;X$2)*($T353:$AK353))))</f>
      </c>
      <c r="AQ353" s="0">
        <f>MAX(0,MIN(Y353,BX353-SUMPRODUCT(($T$2:$AK$2&lt;Y$2)*($T353:$AK353))))</f>
      </c>
      <c r="AR353" s="0">
        <f>MAX(0,MIN(Z353,BX353-SUMPRODUCT(($T$2:$AK$2&lt;Z$2)*($T353:$AK353))))</f>
      </c>
      <c r="AS353" s="0">
        <f>MAX(0,MIN(AA353,BX353-SUMPRODUCT(($T$2:$AK$2&lt;AA$2)*($T353:$AK353))))</f>
      </c>
      <c r="AT353" s="0">
        <f>MAX(0,MIN(AB353,BX353-SUMPRODUCT(($T$2:$AK$2&lt;AB$2)*($T353:$AK353))))</f>
      </c>
      <c r="AU353" s="0">
        <f>MAX(0,MIN(AC353,BX353-SUMPRODUCT(($T$2:$AK$2&lt;AC$2)*($T353:$AK353))))</f>
      </c>
      <c r="AV353" s="0">
        <f>MAX(0,MIN(AD353,BX353-SUMPRODUCT(($T$2:$AK$2&lt;AD$2)*($T353:$AK353))))</f>
      </c>
      <c r="AW353" s="0">
        <f>MAX(0,MIN(AE353,BX353-SUMPRODUCT(($T$2:$AK$2&lt;AE$2)*($T353:$AK353))))</f>
      </c>
      <c r="AX353" s="0">
        <f>MAX(0,MIN(AF353,BX353-SUMPRODUCT(($T$2:$AK$2&lt;AF$2)*($T353:$AK353))))</f>
      </c>
      <c r="AY353" s="0">
        <f>MAX(0,MIN(AG353,BX353-SUMPRODUCT(($T$2:$AK$2&lt;AG$2)*($T353:$AK353))))</f>
      </c>
      <c r="AZ353" s="0">
        <f>MAX(0,MIN(AH353,BX353-SUMPRODUCT(($T$2:$AK$2&lt;AH$2)*($T353:$AK353))))</f>
      </c>
      <c r="BA353" s="0">
        <f>MAX(0,MIN(AI353,BX353-SUMPRODUCT(($T$2:$AK$2&lt;AI$2)*($T353:$AK353))))</f>
      </c>
      <c r="BB353" s="0">
        <f>MAX(0,MIN(AJ353,BX353-SUMPRODUCT(($T$2:$AK$2&lt;AJ$2)*($T353:$AK353))))</f>
      </c>
      <c r="BC353" s="0">
        <f>MAX(0,MIN(AK353,BX353-SUMPRODUCT(($T$2:$AK$2&lt;AK$2)*($T353:$AK353))))</f>
      </c>
      <c r="BD353" s="0">
        <f>T353-AL353</f>
      </c>
      <c r="BE353" s="0">
        <f>U353-AM353</f>
      </c>
      <c r="BF353" s="0">
        <f>V353-AN353</f>
      </c>
      <c r="BG353" s="0">
        <f>W353-AO353</f>
      </c>
      <c r="BH353" s="0">
        <f>X353-AP353</f>
      </c>
      <c r="BI353" s="0">
        <f>Y353-AQ353</f>
      </c>
      <c r="BJ353" s="0">
        <f>Z353-AR353</f>
      </c>
      <c r="BK353" s="0">
        <f>AA353-AS353</f>
      </c>
      <c r="BL353" s="0">
        <f>AB353-AT353</f>
      </c>
      <c r="BM353" s="0">
        <f>AC353-AU353</f>
      </c>
      <c r="BN353" s="0">
        <f>AD353-AV353</f>
      </c>
      <c r="BO353" s="0">
        <f>AE353-AW353</f>
      </c>
      <c r="BP353" s="0">
        <f>AF353-AX353</f>
      </c>
      <c r="BQ353" s="0">
        <f>AG353-AY353</f>
      </c>
      <c r="BR353" s="0">
        <f>AH353-AZ353</f>
      </c>
      <c r="BS353" s="0">
        <f>AI353-BA353</f>
      </c>
      <c r="BT353" s="0">
        <f>AJ353-BB353</f>
      </c>
      <c r="BU353" s="0">
        <f>AK353-BC353</f>
      </c>
      <c r="BV353" s="0">
        <f>SUM(B353:S353)</f>
      </c>
      <c r="BW353" s="0">
        <f>SUM(T353:AK353)</f>
      </c>
      <c r="BX353" s="0">
        <f>MAX(0,(SUM(Calculator!$E$11:$E$28)+Calculator!$C$6)-BV353+BW353)</f>
      </c>
      <c r="BY353" s="0">
        <f>SUM(BD353:BU353)</f>
      </c>
      <c r="BZ353" s="0">
        <f>BV353-BY352</f>
      </c>
      <c r="CA353" s="0">
        <f>IF(A353&lt;=IF($CD$1=0,999,$CD$1),BY353,NA())</f>
      </c>
      <c r="CB353" s="0">
        <f>IF(A353&lt;=IF($CD$1=0,999,$CD$1),A353,NA())</f>
      </c>
    </row>
    <row r="354">
      <c r="A354" s="0">
        <v>351</v>
      </c>
      <c r="B354" s="0">
        <f>BD353*(1+Calculator!$D$11/100/12)</f>
      </c>
      <c r="C354" s="0">
        <f>BE353*(1+Calculator!$D$12/100/12)</f>
      </c>
      <c r="D354" s="0">
        <f>BF353*(1+Calculator!$D$13/100/12)</f>
      </c>
      <c r="E354" s="0">
        <f>BG353*(1+Calculator!$D$14/100/12)</f>
      </c>
      <c r="F354" s="0">
        <f>BH353*(1+Calculator!$D$15/100/12)</f>
      </c>
      <c r="G354" s="0">
        <f>BI353*(1+Calculator!$D$16/100/12)</f>
      </c>
      <c r="H354" s="0">
        <f>BJ353*(1+Calculator!$D$17/100/12)</f>
      </c>
      <c r="I354" s="0">
        <f>BK353*(1+Calculator!$D$18/100/12)</f>
      </c>
      <c r="J354" s="0">
        <f>BL353*(1+Calculator!$D$19/100/12)</f>
      </c>
      <c r="K354" s="0">
        <f>BM353*(1+Calculator!$D$20/100/12)</f>
      </c>
      <c r="L354" s="0">
        <f>BN353*(1+Calculator!$D$21/100/12)</f>
      </c>
      <c r="M354" s="0">
        <f>BO353*(1+Calculator!$D$22/100/12)</f>
      </c>
      <c r="N354" s="0">
        <f>BP353*(1+Calculator!$D$23/100/12)</f>
      </c>
      <c r="O354" s="0">
        <f>BQ353*(1+Calculator!$D$24/100/12)</f>
      </c>
      <c r="P354" s="0">
        <f>BR353*(1+Calculator!$D$25/100/12)</f>
      </c>
      <c r="Q354" s="0">
        <f>BS353*(1+Calculator!$D$26/100/12)</f>
      </c>
      <c r="R354" s="0">
        <f>BT353*(1+Calculator!$D$27/100/12)</f>
      </c>
      <c r="S354" s="0">
        <f>BU353*(1+Calculator!$D$28/100/12)</f>
      </c>
      <c r="T354" s="0">
        <f>MAX(0,B354-Calculator!$E$11)</f>
      </c>
      <c r="U354" s="0">
        <f>MAX(0,C354-Calculator!$E$12)</f>
      </c>
      <c r="V354" s="0">
        <f>MAX(0,D354-Calculator!$E$13)</f>
      </c>
      <c r="W354" s="0">
        <f>MAX(0,E354-Calculator!$E$14)</f>
      </c>
      <c r="X354" s="0">
        <f>MAX(0,F354-Calculator!$E$15)</f>
      </c>
      <c r="Y354" s="0">
        <f>MAX(0,G354-Calculator!$E$16)</f>
      </c>
      <c r="Z354" s="0">
        <f>MAX(0,H354-Calculator!$E$17)</f>
      </c>
      <c r="AA354" s="0">
        <f>MAX(0,I354-Calculator!$E$18)</f>
      </c>
      <c r="AB354" s="0">
        <f>MAX(0,J354-Calculator!$E$19)</f>
      </c>
      <c r="AC354" s="0">
        <f>MAX(0,K354-Calculator!$E$20)</f>
      </c>
      <c r="AD354" s="0">
        <f>MAX(0,L354-Calculator!$E$21)</f>
      </c>
      <c r="AE354" s="0">
        <f>MAX(0,M354-Calculator!$E$22)</f>
      </c>
      <c r="AF354" s="0">
        <f>MAX(0,N354-Calculator!$E$23)</f>
      </c>
      <c r="AG354" s="0">
        <f>MAX(0,O354-Calculator!$E$24)</f>
      </c>
      <c r="AH354" s="0">
        <f>MAX(0,P354-Calculator!$E$25)</f>
      </c>
      <c r="AI354" s="0">
        <f>MAX(0,Q354-Calculator!$E$26)</f>
      </c>
      <c r="AJ354" s="0">
        <f>MAX(0,R354-Calculator!$E$27)</f>
      </c>
      <c r="AK354" s="0">
        <f>MAX(0,S354-Calculator!$E$28)</f>
      </c>
      <c r="AL354" s="0">
        <f>MAX(0,MIN(T354,BX354-SUMPRODUCT(($T$2:$AK$2&lt;T$2)*($T354:$AK354))))</f>
      </c>
      <c r="AM354" s="0">
        <f>MAX(0,MIN(U354,BX354-SUMPRODUCT(($T$2:$AK$2&lt;U$2)*($T354:$AK354))))</f>
      </c>
      <c r="AN354" s="0">
        <f>MAX(0,MIN(V354,BX354-SUMPRODUCT(($T$2:$AK$2&lt;V$2)*($T354:$AK354))))</f>
      </c>
      <c r="AO354" s="0">
        <f>MAX(0,MIN(W354,BX354-SUMPRODUCT(($T$2:$AK$2&lt;W$2)*($T354:$AK354))))</f>
      </c>
      <c r="AP354" s="0">
        <f>MAX(0,MIN(X354,BX354-SUMPRODUCT(($T$2:$AK$2&lt;X$2)*($T354:$AK354))))</f>
      </c>
      <c r="AQ354" s="0">
        <f>MAX(0,MIN(Y354,BX354-SUMPRODUCT(($T$2:$AK$2&lt;Y$2)*($T354:$AK354))))</f>
      </c>
      <c r="AR354" s="0">
        <f>MAX(0,MIN(Z354,BX354-SUMPRODUCT(($T$2:$AK$2&lt;Z$2)*($T354:$AK354))))</f>
      </c>
      <c r="AS354" s="0">
        <f>MAX(0,MIN(AA354,BX354-SUMPRODUCT(($T$2:$AK$2&lt;AA$2)*($T354:$AK354))))</f>
      </c>
      <c r="AT354" s="0">
        <f>MAX(0,MIN(AB354,BX354-SUMPRODUCT(($T$2:$AK$2&lt;AB$2)*($T354:$AK354))))</f>
      </c>
      <c r="AU354" s="0">
        <f>MAX(0,MIN(AC354,BX354-SUMPRODUCT(($T$2:$AK$2&lt;AC$2)*($T354:$AK354))))</f>
      </c>
      <c r="AV354" s="0">
        <f>MAX(0,MIN(AD354,BX354-SUMPRODUCT(($T$2:$AK$2&lt;AD$2)*($T354:$AK354))))</f>
      </c>
      <c r="AW354" s="0">
        <f>MAX(0,MIN(AE354,BX354-SUMPRODUCT(($T$2:$AK$2&lt;AE$2)*($T354:$AK354))))</f>
      </c>
      <c r="AX354" s="0">
        <f>MAX(0,MIN(AF354,BX354-SUMPRODUCT(($T$2:$AK$2&lt;AF$2)*($T354:$AK354))))</f>
      </c>
      <c r="AY354" s="0">
        <f>MAX(0,MIN(AG354,BX354-SUMPRODUCT(($T$2:$AK$2&lt;AG$2)*($T354:$AK354))))</f>
      </c>
      <c r="AZ354" s="0">
        <f>MAX(0,MIN(AH354,BX354-SUMPRODUCT(($T$2:$AK$2&lt;AH$2)*($T354:$AK354))))</f>
      </c>
      <c r="BA354" s="0">
        <f>MAX(0,MIN(AI354,BX354-SUMPRODUCT(($T$2:$AK$2&lt;AI$2)*($T354:$AK354))))</f>
      </c>
      <c r="BB354" s="0">
        <f>MAX(0,MIN(AJ354,BX354-SUMPRODUCT(($T$2:$AK$2&lt;AJ$2)*($T354:$AK354))))</f>
      </c>
      <c r="BC354" s="0">
        <f>MAX(0,MIN(AK354,BX354-SUMPRODUCT(($T$2:$AK$2&lt;AK$2)*($T354:$AK354))))</f>
      </c>
      <c r="BD354" s="0">
        <f>T354-AL354</f>
      </c>
      <c r="BE354" s="0">
        <f>U354-AM354</f>
      </c>
      <c r="BF354" s="0">
        <f>V354-AN354</f>
      </c>
      <c r="BG354" s="0">
        <f>W354-AO354</f>
      </c>
      <c r="BH354" s="0">
        <f>X354-AP354</f>
      </c>
      <c r="BI354" s="0">
        <f>Y354-AQ354</f>
      </c>
      <c r="BJ354" s="0">
        <f>Z354-AR354</f>
      </c>
      <c r="BK354" s="0">
        <f>AA354-AS354</f>
      </c>
      <c r="BL354" s="0">
        <f>AB354-AT354</f>
      </c>
      <c r="BM354" s="0">
        <f>AC354-AU354</f>
      </c>
      <c r="BN354" s="0">
        <f>AD354-AV354</f>
      </c>
      <c r="BO354" s="0">
        <f>AE354-AW354</f>
      </c>
      <c r="BP354" s="0">
        <f>AF354-AX354</f>
      </c>
      <c r="BQ354" s="0">
        <f>AG354-AY354</f>
      </c>
      <c r="BR354" s="0">
        <f>AH354-AZ354</f>
      </c>
      <c r="BS354" s="0">
        <f>AI354-BA354</f>
      </c>
      <c r="BT354" s="0">
        <f>AJ354-BB354</f>
      </c>
      <c r="BU354" s="0">
        <f>AK354-BC354</f>
      </c>
      <c r="BV354" s="0">
        <f>SUM(B354:S354)</f>
      </c>
      <c r="BW354" s="0">
        <f>SUM(T354:AK354)</f>
      </c>
      <c r="BX354" s="0">
        <f>MAX(0,(SUM(Calculator!$E$11:$E$28)+Calculator!$C$6)-BV354+BW354)</f>
      </c>
      <c r="BY354" s="0">
        <f>SUM(BD354:BU354)</f>
      </c>
      <c r="BZ354" s="0">
        <f>BV354-BY353</f>
      </c>
      <c r="CA354" s="0">
        <f>IF(A354&lt;=IF($CD$1=0,999,$CD$1),BY354,NA())</f>
      </c>
      <c r="CB354" s="0">
        <f>IF(A354&lt;=IF($CD$1=0,999,$CD$1),A354,NA())</f>
      </c>
    </row>
    <row r="355">
      <c r="A355" s="0">
        <v>352</v>
      </c>
      <c r="B355" s="0">
        <f>BD354*(1+Calculator!$D$11/100/12)</f>
      </c>
      <c r="C355" s="0">
        <f>BE354*(1+Calculator!$D$12/100/12)</f>
      </c>
      <c r="D355" s="0">
        <f>BF354*(1+Calculator!$D$13/100/12)</f>
      </c>
      <c r="E355" s="0">
        <f>BG354*(1+Calculator!$D$14/100/12)</f>
      </c>
      <c r="F355" s="0">
        <f>BH354*(1+Calculator!$D$15/100/12)</f>
      </c>
      <c r="G355" s="0">
        <f>BI354*(1+Calculator!$D$16/100/12)</f>
      </c>
      <c r="H355" s="0">
        <f>BJ354*(1+Calculator!$D$17/100/12)</f>
      </c>
      <c r="I355" s="0">
        <f>BK354*(1+Calculator!$D$18/100/12)</f>
      </c>
      <c r="J355" s="0">
        <f>BL354*(1+Calculator!$D$19/100/12)</f>
      </c>
      <c r="K355" s="0">
        <f>BM354*(1+Calculator!$D$20/100/12)</f>
      </c>
      <c r="L355" s="0">
        <f>BN354*(1+Calculator!$D$21/100/12)</f>
      </c>
      <c r="M355" s="0">
        <f>BO354*(1+Calculator!$D$22/100/12)</f>
      </c>
      <c r="N355" s="0">
        <f>BP354*(1+Calculator!$D$23/100/12)</f>
      </c>
      <c r="O355" s="0">
        <f>BQ354*(1+Calculator!$D$24/100/12)</f>
      </c>
      <c r="P355" s="0">
        <f>BR354*(1+Calculator!$D$25/100/12)</f>
      </c>
      <c r="Q355" s="0">
        <f>BS354*(1+Calculator!$D$26/100/12)</f>
      </c>
      <c r="R355" s="0">
        <f>BT354*(1+Calculator!$D$27/100/12)</f>
      </c>
      <c r="S355" s="0">
        <f>BU354*(1+Calculator!$D$28/100/12)</f>
      </c>
      <c r="T355" s="0">
        <f>MAX(0,B355-Calculator!$E$11)</f>
      </c>
      <c r="U355" s="0">
        <f>MAX(0,C355-Calculator!$E$12)</f>
      </c>
      <c r="V355" s="0">
        <f>MAX(0,D355-Calculator!$E$13)</f>
      </c>
      <c r="W355" s="0">
        <f>MAX(0,E355-Calculator!$E$14)</f>
      </c>
      <c r="X355" s="0">
        <f>MAX(0,F355-Calculator!$E$15)</f>
      </c>
      <c r="Y355" s="0">
        <f>MAX(0,G355-Calculator!$E$16)</f>
      </c>
      <c r="Z355" s="0">
        <f>MAX(0,H355-Calculator!$E$17)</f>
      </c>
      <c r="AA355" s="0">
        <f>MAX(0,I355-Calculator!$E$18)</f>
      </c>
      <c r="AB355" s="0">
        <f>MAX(0,J355-Calculator!$E$19)</f>
      </c>
      <c r="AC355" s="0">
        <f>MAX(0,K355-Calculator!$E$20)</f>
      </c>
      <c r="AD355" s="0">
        <f>MAX(0,L355-Calculator!$E$21)</f>
      </c>
      <c r="AE355" s="0">
        <f>MAX(0,M355-Calculator!$E$22)</f>
      </c>
      <c r="AF355" s="0">
        <f>MAX(0,N355-Calculator!$E$23)</f>
      </c>
      <c r="AG355" s="0">
        <f>MAX(0,O355-Calculator!$E$24)</f>
      </c>
      <c r="AH355" s="0">
        <f>MAX(0,P355-Calculator!$E$25)</f>
      </c>
      <c r="AI355" s="0">
        <f>MAX(0,Q355-Calculator!$E$26)</f>
      </c>
      <c r="AJ355" s="0">
        <f>MAX(0,R355-Calculator!$E$27)</f>
      </c>
      <c r="AK355" s="0">
        <f>MAX(0,S355-Calculator!$E$28)</f>
      </c>
      <c r="AL355" s="0">
        <f>MAX(0,MIN(T355,BX355-SUMPRODUCT(($T$2:$AK$2&lt;T$2)*($T355:$AK355))))</f>
      </c>
      <c r="AM355" s="0">
        <f>MAX(0,MIN(U355,BX355-SUMPRODUCT(($T$2:$AK$2&lt;U$2)*($T355:$AK355))))</f>
      </c>
      <c r="AN355" s="0">
        <f>MAX(0,MIN(V355,BX355-SUMPRODUCT(($T$2:$AK$2&lt;V$2)*($T355:$AK355))))</f>
      </c>
      <c r="AO355" s="0">
        <f>MAX(0,MIN(W355,BX355-SUMPRODUCT(($T$2:$AK$2&lt;W$2)*($T355:$AK355))))</f>
      </c>
      <c r="AP355" s="0">
        <f>MAX(0,MIN(X355,BX355-SUMPRODUCT(($T$2:$AK$2&lt;X$2)*($T355:$AK355))))</f>
      </c>
      <c r="AQ355" s="0">
        <f>MAX(0,MIN(Y355,BX355-SUMPRODUCT(($T$2:$AK$2&lt;Y$2)*($T355:$AK355))))</f>
      </c>
      <c r="AR355" s="0">
        <f>MAX(0,MIN(Z355,BX355-SUMPRODUCT(($T$2:$AK$2&lt;Z$2)*($T355:$AK355))))</f>
      </c>
      <c r="AS355" s="0">
        <f>MAX(0,MIN(AA355,BX355-SUMPRODUCT(($T$2:$AK$2&lt;AA$2)*($T355:$AK355))))</f>
      </c>
      <c r="AT355" s="0">
        <f>MAX(0,MIN(AB355,BX355-SUMPRODUCT(($T$2:$AK$2&lt;AB$2)*($T355:$AK355))))</f>
      </c>
      <c r="AU355" s="0">
        <f>MAX(0,MIN(AC355,BX355-SUMPRODUCT(($T$2:$AK$2&lt;AC$2)*($T355:$AK355))))</f>
      </c>
      <c r="AV355" s="0">
        <f>MAX(0,MIN(AD355,BX355-SUMPRODUCT(($T$2:$AK$2&lt;AD$2)*($T355:$AK355))))</f>
      </c>
      <c r="AW355" s="0">
        <f>MAX(0,MIN(AE355,BX355-SUMPRODUCT(($T$2:$AK$2&lt;AE$2)*($T355:$AK355))))</f>
      </c>
      <c r="AX355" s="0">
        <f>MAX(0,MIN(AF355,BX355-SUMPRODUCT(($T$2:$AK$2&lt;AF$2)*($T355:$AK355))))</f>
      </c>
      <c r="AY355" s="0">
        <f>MAX(0,MIN(AG355,BX355-SUMPRODUCT(($T$2:$AK$2&lt;AG$2)*($T355:$AK355))))</f>
      </c>
      <c r="AZ355" s="0">
        <f>MAX(0,MIN(AH355,BX355-SUMPRODUCT(($T$2:$AK$2&lt;AH$2)*($T355:$AK355))))</f>
      </c>
      <c r="BA355" s="0">
        <f>MAX(0,MIN(AI355,BX355-SUMPRODUCT(($T$2:$AK$2&lt;AI$2)*($T355:$AK355))))</f>
      </c>
      <c r="BB355" s="0">
        <f>MAX(0,MIN(AJ355,BX355-SUMPRODUCT(($T$2:$AK$2&lt;AJ$2)*($T355:$AK355))))</f>
      </c>
      <c r="BC355" s="0">
        <f>MAX(0,MIN(AK355,BX355-SUMPRODUCT(($T$2:$AK$2&lt;AK$2)*($T355:$AK355))))</f>
      </c>
      <c r="BD355" s="0">
        <f>T355-AL355</f>
      </c>
      <c r="BE355" s="0">
        <f>U355-AM355</f>
      </c>
      <c r="BF355" s="0">
        <f>V355-AN355</f>
      </c>
      <c r="BG355" s="0">
        <f>W355-AO355</f>
      </c>
      <c r="BH355" s="0">
        <f>X355-AP355</f>
      </c>
      <c r="BI355" s="0">
        <f>Y355-AQ355</f>
      </c>
      <c r="BJ355" s="0">
        <f>Z355-AR355</f>
      </c>
      <c r="BK355" s="0">
        <f>AA355-AS355</f>
      </c>
      <c r="BL355" s="0">
        <f>AB355-AT355</f>
      </c>
      <c r="BM355" s="0">
        <f>AC355-AU355</f>
      </c>
      <c r="BN355" s="0">
        <f>AD355-AV355</f>
      </c>
      <c r="BO355" s="0">
        <f>AE355-AW355</f>
      </c>
      <c r="BP355" s="0">
        <f>AF355-AX355</f>
      </c>
      <c r="BQ355" s="0">
        <f>AG355-AY355</f>
      </c>
      <c r="BR355" s="0">
        <f>AH355-AZ355</f>
      </c>
      <c r="BS355" s="0">
        <f>AI355-BA355</f>
      </c>
      <c r="BT355" s="0">
        <f>AJ355-BB355</f>
      </c>
      <c r="BU355" s="0">
        <f>AK355-BC355</f>
      </c>
      <c r="BV355" s="0">
        <f>SUM(B355:S355)</f>
      </c>
      <c r="BW355" s="0">
        <f>SUM(T355:AK355)</f>
      </c>
      <c r="BX355" s="0">
        <f>MAX(0,(SUM(Calculator!$E$11:$E$28)+Calculator!$C$6)-BV355+BW355)</f>
      </c>
      <c r="BY355" s="0">
        <f>SUM(BD355:BU355)</f>
      </c>
      <c r="BZ355" s="0">
        <f>BV355-BY354</f>
      </c>
      <c r="CA355" s="0">
        <f>IF(A355&lt;=IF($CD$1=0,999,$CD$1),BY355,NA())</f>
      </c>
      <c r="CB355" s="0">
        <f>IF(A355&lt;=IF($CD$1=0,999,$CD$1),A355,NA())</f>
      </c>
    </row>
    <row r="356">
      <c r="A356" s="0">
        <v>353</v>
      </c>
      <c r="B356" s="0">
        <f>BD355*(1+Calculator!$D$11/100/12)</f>
      </c>
      <c r="C356" s="0">
        <f>BE355*(1+Calculator!$D$12/100/12)</f>
      </c>
      <c r="D356" s="0">
        <f>BF355*(1+Calculator!$D$13/100/12)</f>
      </c>
      <c r="E356" s="0">
        <f>BG355*(1+Calculator!$D$14/100/12)</f>
      </c>
      <c r="F356" s="0">
        <f>BH355*(1+Calculator!$D$15/100/12)</f>
      </c>
      <c r="G356" s="0">
        <f>BI355*(1+Calculator!$D$16/100/12)</f>
      </c>
      <c r="H356" s="0">
        <f>BJ355*(1+Calculator!$D$17/100/12)</f>
      </c>
      <c r="I356" s="0">
        <f>BK355*(1+Calculator!$D$18/100/12)</f>
      </c>
      <c r="J356" s="0">
        <f>BL355*(1+Calculator!$D$19/100/12)</f>
      </c>
      <c r="K356" s="0">
        <f>BM355*(1+Calculator!$D$20/100/12)</f>
      </c>
      <c r="L356" s="0">
        <f>BN355*(1+Calculator!$D$21/100/12)</f>
      </c>
      <c r="M356" s="0">
        <f>BO355*(1+Calculator!$D$22/100/12)</f>
      </c>
      <c r="N356" s="0">
        <f>BP355*(1+Calculator!$D$23/100/12)</f>
      </c>
      <c r="O356" s="0">
        <f>BQ355*(1+Calculator!$D$24/100/12)</f>
      </c>
      <c r="P356" s="0">
        <f>BR355*(1+Calculator!$D$25/100/12)</f>
      </c>
      <c r="Q356" s="0">
        <f>BS355*(1+Calculator!$D$26/100/12)</f>
      </c>
      <c r="R356" s="0">
        <f>BT355*(1+Calculator!$D$27/100/12)</f>
      </c>
      <c r="S356" s="0">
        <f>BU355*(1+Calculator!$D$28/100/12)</f>
      </c>
      <c r="T356" s="0">
        <f>MAX(0,B356-Calculator!$E$11)</f>
      </c>
      <c r="U356" s="0">
        <f>MAX(0,C356-Calculator!$E$12)</f>
      </c>
      <c r="V356" s="0">
        <f>MAX(0,D356-Calculator!$E$13)</f>
      </c>
      <c r="W356" s="0">
        <f>MAX(0,E356-Calculator!$E$14)</f>
      </c>
      <c r="X356" s="0">
        <f>MAX(0,F356-Calculator!$E$15)</f>
      </c>
      <c r="Y356" s="0">
        <f>MAX(0,G356-Calculator!$E$16)</f>
      </c>
      <c r="Z356" s="0">
        <f>MAX(0,H356-Calculator!$E$17)</f>
      </c>
      <c r="AA356" s="0">
        <f>MAX(0,I356-Calculator!$E$18)</f>
      </c>
      <c r="AB356" s="0">
        <f>MAX(0,J356-Calculator!$E$19)</f>
      </c>
      <c r="AC356" s="0">
        <f>MAX(0,K356-Calculator!$E$20)</f>
      </c>
      <c r="AD356" s="0">
        <f>MAX(0,L356-Calculator!$E$21)</f>
      </c>
      <c r="AE356" s="0">
        <f>MAX(0,M356-Calculator!$E$22)</f>
      </c>
      <c r="AF356" s="0">
        <f>MAX(0,N356-Calculator!$E$23)</f>
      </c>
      <c r="AG356" s="0">
        <f>MAX(0,O356-Calculator!$E$24)</f>
      </c>
      <c r="AH356" s="0">
        <f>MAX(0,P356-Calculator!$E$25)</f>
      </c>
      <c r="AI356" s="0">
        <f>MAX(0,Q356-Calculator!$E$26)</f>
      </c>
      <c r="AJ356" s="0">
        <f>MAX(0,R356-Calculator!$E$27)</f>
      </c>
      <c r="AK356" s="0">
        <f>MAX(0,S356-Calculator!$E$28)</f>
      </c>
      <c r="AL356" s="0">
        <f>MAX(0,MIN(T356,BX356-SUMPRODUCT(($T$2:$AK$2&lt;T$2)*($T356:$AK356))))</f>
      </c>
      <c r="AM356" s="0">
        <f>MAX(0,MIN(U356,BX356-SUMPRODUCT(($T$2:$AK$2&lt;U$2)*($T356:$AK356))))</f>
      </c>
      <c r="AN356" s="0">
        <f>MAX(0,MIN(V356,BX356-SUMPRODUCT(($T$2:$AK$2&lt;V$2)*($T356:$AK356))))</f>
      </c>
      <c r="AO356" s="0">
        <f>MAX(0,MIN(W356,BX356-SUMPRODUCT(($T$2:$AK$2&lt;W$2)*($T356:$AK356))))</f>
      </c>
      <c r="AP356" s="0">
        <f>MAX(0,MIN(X356,BX356-SUMPRODUCT(($T$2:$AK$2&lt;X$2)*($T356:$AK356))))</f>
      </c>
      <c r="AQ356" s="0">
        <f>MAX(0,MIN(Y356,BX356-SUMPRODUCT(($T$2:$AK$2&lt;Y$2)*($T356:$AK356))))</f>
      </c>
      <c r="AR356" s="0">
        <f>MAX(0,MIN(Z356,BX356-SUMPRODUCT(($T$2:$AK$2&lt;Z$2)*($T356:$AK356))))</f>
      </c>
      <c r="AS356" s="0">
        <f>MAX(0,MIN(AA356,BX356-SUMPRODUCT(($T$2:$AK$2&lt;AA$2)*($T356:$AK356))))</f>
      </c>
      <c r="AT356" s="0">
        <f>MAX(0,MIN(AB356,BX356-SUMPRODUCT(($T$2:$AK$2&lt;AB$2)*($T356:$AK356))))</f>
      </c>
      <c r="AU356" s="0">
        <f>MAX(0,MIN(AC356,BX356-SUMPRODUCT(($T$2:$AK$2&lt;AC$2)*($T356:$AK356))))</f>
      </c>
      <c r="AV356" s="0">
        <f>MAX(0,MIN(AD356,BX356-SUMPRODUCT(($T$2:$AK$2&lt;AD$2)*($T356:$AK356))))</f>
      </c>
      <c r="AW356" s="0">
        <f>MAX(0,MIN(AE356,BX356-SUMPRODUCT(($T$2:$AK$2&lt;AE$2)*($T356:$AK356))))</f>
      </c>
      <c r="AX356" s="0">
        <f>MAX(0,MIN(AF356,BX356-SUMPRODUCT(($T$2:$AK$2&lt;AF$2)*($T356:$AK356))))</f>
      </c>
      <c r="AY356" s="0">
        <f>MAX(0,MIN(AG356,BX356-SUMPRODUCT(($T$2:$AK$2&lt;AG$2)*($T356:$AK356))))</f>
      </c>
      <c r="AZ356" s="0">
        <f>MAX(0,MIN(AH356,BX356-SUMPRODUCT(($T$2:$AK$2&lt;AH$2)*($T356:$AK356))))</f>
      </c>
      <c r="BA356" s="0">
        <f>MAX(0,MIN(AI356,BX356-SUMPRODUCT(($T$2:$AK$2&lt;AI$2)*($T356:$AK356))))</f>
      </c>
      <c r="BB356" s="0">
        <f>MAX(0,MIN(AJ356,BX356-SUMPRODUCT(($T$2:$AK$2&lt;AJ$2)*($T356:$AK356))))</f>
      </c>
      <c r="BC356" s="0">
        <f>MAX(0,MIN(AK356,BX356-SUMPRODUCT(($T$2:$AK$2&lt;AK$2)*($T356:$AK356))))</f>
      </c>
      <c r="BD356" s="0">
        <f>T356-AL356</f>
      </c>
      <c r="BE356" s="0">
        <f>U356-AM356</f>
      </c>
      <c r="BF356" s="0">
        <f>V356-AN356</f>
      </c>
      <c r="BG356" s="0">
        <f>W356-AO356</f>
      </c>
      <c r="BH356" s="0">
        <f>X356-AP356</f>
      </c>
      <c r="BI356" s="0">
        <f>Y356-AQ356</f>
      </c>
      <c r="BJ356" s="0">
        <f>Z356-AR356</f>
      </c>
      <c r="BK356" s="0">
        <f>AA356-AS356</f>
      </c>
      <c r="BL356" s="0">
        <f>AB356-AT356</f>
      </c>
      <c r="BM356" s="0">
        <f>AC356-AU356</f>
      </c>
      <c r="BN356" s="0">
        <f>AD356-AV356</f>
      </c>
      <c r="BO356" s="0">
        <f>AE356-AW356</f>
      </c>
      <c r="BP356" s="0">
        <f>AF356-AX356</f>
      </c>
      <c r="BQ356" s="0">
        <f>AG356-AY356</f>
      </c>
      <c r="BR356" s="0">
        <f>AH356-AZ356</f>
      </c>
      <c r="BS356" s="0">
        <f>AI356-BA356</f>
      </c>
      <c r="BT356" s="0">
        <f>AJ356-BB356</f>
      </c>
      <c r="BU356" s="0">
        <f>AK356-BC356</f>
      </c>
      <c r="BV356" s="0">
        <f>SUM(B356:S356)</f>
      </c>
      <c r="BW356" s="0">
        <f>SUM(T356:AK356)</f>
      </c>
      <c r="BX356" s="0">
        <f>MAX(0,(SUM(Calculator!$E$11:$E$28)+Calculator!$C$6)-BV356+BW356)</f>
      </c>
      <c r="BY356" s="0">
        <f>SUM(BD356:BU356)</f>
      </c>
      <c r="BZ356" s="0">
        <f>BV356-BY355</f>
      </c>
      <c r="CA356" s="0">
        <f>IF(A356&lt;=IF($CD$1=0,999,$CD$1),BY356,NA())</f>
      </c>
      <c r="CB356" s="0">
        <f>IF(A356&lt;=IF($CD$1=0,999,$CD$1),A356,NA())</f>
      </c>
    </row>
    <row r="357">
      <c r="A357" s="0">
        <v>354</v>
      </c>
      <c r="B357" s="0">
        <f>BD356*(1+Calculator!$D$11/100/12)</f>
      </c>
      <c r="C357" s="0">
        <f>BE356*(1+Calculator!$D$12/100/12)</f>
      </c>
      <c r="D357" s="0">
        <f>BF356*(1+Calculator!$D$13/100/12)</f>
      </c>
      <c r="E357" s="0">
        <f>BG356*(1+Calculator!$D$14/100/12)</f>
      </c>
      <c r="F357" s="0">
        <f>BH356*(1+Calculator!$D$15/100/12)</f>
      </c>
      <c r="G357" s="0">
        <f>BI356*(1+Calculator!$D$16/100/12)</f>
      </c>
      <c r="H357" s="0">
        <f>BJ356*(1+Calculator!$D$17/100/12)</f>
      </c>
      <c r="I357" s="0">
        <f>BK356*(1+Calculator!$D$18/100/12)</f>
      </c>
      <c r="J357" s="0">
        <f>BL356*(1+Calculator!$D$19/100/12)</f>
      </c>
      <c r="K357" s="0">
        <f>BM356*(1+Calculator!$D$20/100/12)</f>
      </c>
      <c r="L357" s="0">
        <f>BN356*(1+Calculator!$D$21/100/12)</f>
      </c>
      <c r="M357" s="0">
        <f>BO356*(1+Calculator!$D$22/100/12)</f>
      </c>
      <c r="N357" s="0">
        <f>BP356*(1+Calculator!$D$23/100/12)</f>
      </c>
      <c r="O357" s="0">
        <f>BQ356*(1+Calculator!$D$24/100/12)</f>
      </c>
      <c r="P357" s="0">
        <f>BR356*(1+Calculator!$D$25/100/12)</f>
      </c>
      <c r="Q357" s="0">
        <f>BS356*(1+Calculator!$D$26/100/12)</f>
      </c>
      <c r="R357" s="0">
        <f>BT356*(1+Calculator!$D$27/100/12)</f>
      </c>
      <c r="S357" s="0">
        <f>BU356*(1+Calculator!$D$28/100/12)</f>
      </c>
      <c r="T357" s="0">
        <f>MAX(0,B357-Calculator!$E$11)</f>
      </c>
      <c r="U357" s="0">
        <f>MAX(0,C357-Calculator!$E$12)</f>
      </c>
      <c r="V357" s="0">
        <f>MAX(0,D357-Calculator!$E$13)</f>
      </c>
      <c r="W357" s="0">
        <f>MAX(0,E357-Calculator!$E$14)</f>
      </c>
      <c r="X357" s="0">
        <f>MAX(0,F357-Calculator!$E$15)</f>
      </c>
      <c r="Y357" s="0">
        <f>MAX(0,G357-Calculator!$E$16)</f>
      </c>
      <c r="Z357" s="0">
        <f>MAX(0,H357-Calculator!$E$17)</f>
      </c>
      <c r="AA357" s="0">
        <f>MAX(0,I357-Calculator!$E$18)</f>
      </c>
      <c r="AB357" s="0">
        <f>MAX(0,J357-Calculator!$E$19)</f>
      </c>
      <c r="AC357" s="0">
        <f>MAX(0,K357-Calculator!$E$20)</f>
      </c>
      <c r="AD357" s="0">
        <f>MAX(0,L357-Calculator!$E$21)</f>
      </c>
      <c r="AE357" s="0">
        <f>MAX(0,M357-Calculator!$E$22)</f>
      </c>
      <c r="AF357" s="0">
        <f>MAX(0,N357-Calculator!$E$23)</f>
      </c>
      <c r="AG357" s="0">
        <f>MAX(0,O357-Calculator!$E$24)</f>
      </c>
      <c r="AH357" s="0">
        <f>MAX(0,P357-Calculator!$E$25)</f>
      </c>
      <c r="AI357" s="0">
        <f>MAX(0,Q357-Calculator!$E$26)</f>
      </c>
      <c r="AJ357" s="0">
        <f>MAX(0,R357-Calculator!$E$27)</f>
      </c>
      <c r="AK357" s="0">
        <f>MAX(0,S357-Calculator!$E$28)</f>
      </c>
      <c r="AL357" s="0">
        <f>MAX(0,MIN(T357,BX357-SUMPRODUCT(($T$2:$AK$2&lt;T$2)*($T357:$AK357))))</f>
      </c>
      <c r="AM357" s="0">
        <f>MAX(0,MIN(U357,BX357-SUMPRODUCT(($T$2:$AK$2&lt;U$2)*($T357:$AK357))))</f>
      </c>
      <c r="AN357" s="0">
        <f>MAX(0,MIN(V357,BX357-SUMPRODUCT(($T$2:$AK$2&lt;V$2)*($T357:$AK357))))</f>
      </c>
      <c r="AO357" s="0">
        <f>MAX(0,MIN(W357,BX357-SUMPRODUCT(($T$2:$AK$2&lt;W$2)*($T357:$AK357))))</f>
      </c>
      <c r="AP357" s="0">
        <f>MAX(0,MIN(X357,BX357-SUMPRODUCT(($T$2:$AK$2&lt;X$2)*($T357:$AK357))))</f>
      </c>
      <c r="AQ357" s="0">
        <f>MAX(0,MIN(Y357,BX357-SUMPRODUCT(($T$2:$AK$2&lt;Y$2)*($T357:$AK357))))</f>
      </c>
      <c r="AR357" s="0">
        <f>MAX(0,MIN(Z357,BX357-SUMPRODUCT(($T$2:$AK$2&lt;Z$2)*($T357:$AK357))))</f>
      </c>
      <c r="AS357" s="0">
        <f>MAX(0,MIN(AA357,BX357-SUMPRODUCT(($T$2:$AK$2&lt;AA$2)*($T357:$AK357))))</f>
      </c>
      <c r="AT357" s="0">
        <f>MAX(0,MIN(AB357,BX357-SUMPRODUCT(($T$2:$AK$2&lt;AB$2)*($T357:$AK357))))</f>
      </c>
      <c r="AU357" s="0">
        <f>MAX(0,MIN(AC357,BX357-SUMPRODUCT(($T$2:$AK$2&lt;AC$2)*($T357:$AK357))))</f>
      </c>
      <c r="AV357" s="0">
        <f>MAX(0,MIN(AD357,BX357-SUMPRODUCT(($T$2:$AK$2&lt;AD$2)*($T357:$AK357))))</f>
      </c>
      <c r="AW357" s="0">
        <f>MAX(0,MIN(AE357,BX357-SUMPRODUCT(($T$2:$AK$2&lt;AE$2)*($T357:$AK357))))</f>
      </c>
      <c r="AX357" s="0">
        <f>MAX(0,MIN(AF357,BX357-SUMPRODUCT(($T$2:$AK$2&lt;AF$2)*($T357:$AK357))))</f>
      </c>
      <c r="AY357" s="0">
        <f>MAX(0,MIN(AG357,BX357-SUMPRODUCT(($T$2:$AK$2&lt;AG$2)*($T357:$AK357))))</f>
      </c>
      <c r="AZ357" s="0">
        <f>MAX(0,MIN(AH357,BX357-SUMPRODUCT(($T$2:$AK$2&lt;AH$2)*($T357:$AK357))))</f>
      </c>
      <c r="BA357" s="0">
        <f>MAX(0,MIN(AI357,BX357-SUMPRODUCT(($T$2:$AK$2&lt;AI$2)*($T357:$AK357))))</f>
      </c>
      <c r="BB357" s="0">
        <f>MAX(0,MIN(AJ357,BX357-SUMPRODUCT(($T$2:$AK$2&lt;AJ$2)*($T357:$AK357))))</f>
      </c>
      <c r="BC357" s="0">
        <f>MAX(0,MIN(AK357,BX357-SUMPRODUCT(($T$2:$AK$2&lt;AK$2)*($T357:$AK357))))</f>
      </c>
      <c r="BD357" s="0">
        <f>T357-AL357</f>
      </c>
      <c r="BE357" s="0">
        <f>U357-AM357</f>
      </c>
      <c r="BF357" s="0">
        <f>V357-AN357</f>
      </c>
      <c r="BG357" s="0">
        <f>W357-AO357</f>
      </c>
      <c r="BH357" s="0">
        <f>X357-AP357</f>
      </c>
      <c r="BI357" s="0">
        <f>Y357-AQ357</f>
      </c>
      <c r="BJ357" s="0">
        <f>Z357-AR357</f>
      </c>
      <c r="BK357" s="0">
        <f>AA357-AS357</f>
      </c>
      <c r="BL357" s="0">
        <f>AB357-AT357</f>
      </c>
      <c r="BM357" s="0">
        <f>AC357-AU357</f>
      </c>
      <c r="BN357" s="0">
        <f>AD357-AV357</f>
      </c>
      <c r="BO357" s="0">
        <f>AE357-AW357</f>
      </c>
      <c r="BP357" s="0">
        <f>AF357-AX357</f>
      </c>
      <c r="BQ357" s="0">
        <f>AG357-AY357</f>
      </c>
      <c r="BR357" s="0">
        <f>AH357-AZ357</f>
      </c>
      <c r="BS357" s="0">
        <f>AI357-BA357</f>
      </c>
      <c r="BT357" s="0">
        <f>AJ357-BB357</f>
      </c>
      <c r="BU357" s="0">
        <f>AK357-BC357</f>
      </c>
      <c r="BV357" s="0">
        <f>SUM(B357:S357)</f>
      </c>
      <c r="BW357" s="0">
        <f>SUM(T357:AK357)</f>
      </c>
      <c r="BX357" s="0">
        <f>MAX(0,(SUM(Calculator!$E$11:$E$28)+Calculator!$C$6)-BV357+BW357)</f>
      </c>
      <c r="BY357" s="0">
        <f>SUM(BD357:BU357)</f>
      </c>
      <c r="BZ357" s="0">
        <f>BV357-BY356</f>
      </c>
      <c r="CA357" s="0">
        <f>IF(A357&lt;=IF($CD$1=0,999,$CD$1),BY357,NA())</f>
      </c>
      <c r="CB357" s="0">
        <f>IF(A357&lt;=IF($CD$1=0,999,$CD$1),A357,NA())</f>
      </c>
    </row>
    <row r="358">
      <c r="A358" s="0">
        <v>355</v>
      </c>
      <c r="B358" s="0">
        <f>BD357*(1+Calculator!$D$11/100/12)</f>
      </c>
      <c r="C358" s="0">
        <f>BE357*(1+Calculator!$D$12/100/12)</f>
      </c>
      <c r="D358" s="0">
        <f>BF357*(1+Calculator!$D$13/100/12)</f>
      </c>
      <c r="E358" s="0">
        <f>BG357*(1+Calculator!$D$14/100/12)</f>
      </c>
      <c r="F358" s="0">
        <f>BH357*(1+Calculator!$D$15/100/12)</f>
      </c>
      <c r="G358" s="0">
        <f>BI357*(1+Calculator!$D$16/100/12)</f>
      </c>
      <c r="H358" s="0">
        <f>BJ357*(1+Calculator!$D$17/100/12)</f>
      </c>
      <c r="I358" s="0">
        <f>BK357*(1+Calculator!$D$18/100/12)</f>
      </c>
      <c r="J358" s="0">
        <f>BL357*(1+Calculator!$D$19/100/12)</f>
      </c>
      <c r="K358" s="0">
        <f>BM357*(1+Calculator!$D$20/100/12)</f>
      </c>
      <c r="L358" s="0">
        <f>BN357*(1+Calculator!$D$21/100/12)</f>
      </c>
      <c r="M358" s="0">
        <f>BO357*(1+Calculator!$D$22/100/12)</f>
      </c>
      <c r="N358" s="0">
        <f>BP357*(1+Calculator!$D$23/100/12)</f>
      </c>
      <c r="O358" s="0">
        <f>BQ357*(1+Calculator!$D$24/100/12)</f>
      </c>
      <c r="P358" s="0">
        <f>BR357*(1+Calculator!$D$25/100/12)</f>
      </c>
      <c r="Q358" s="0">
        <f>BS357*(1+Calculator!$D$26/100/12)</f>
      </c>
      <c r="R358" s="0">
        <f>BT357*(1+Calculator!$D$27/100/12)</f>
      </c>
      <c r="S358" s="0">
        <f>BU357*(1+Calculator!$D$28/100/12)</f>
      </c>
      <c r="T358" s="0">
        <f>MAX(0,B358-Calculator!$E$11)</f>
      </c>
      <c r="U358" s="0">
        <f>MAX(0,C358-Calculator!$E$12)</f>
      </c>
      <c r="V358" s="0">
        <f>MAX(0,D358-Calculator!$E$13)</f>
      </c>
      <c r="W358" s="0">
        <f>MAX(0,E358-Calculator!$E$14)</f>
      </c>
      <c r="X358" s="0">
        <f>MAX(0,F358-Calculator!$E$15)</f>
      </c>
      <c r="Y358" s="0">
        <f>MAX(0,G358-Calculator!$E$16)</f>
      </c>
      <c r="Z358" s="0">
        <f>MAX(0,H358-Calculator!$E$17)</f>
      </c>
      <c r="AA358" s="0">
        <f>MAX(0,I358-Calculator!$E$18)</f>
      </c>
      <c r="AB358" s="0">
        <f>MAX(0,J358-Calculator!$E$19)</f>
      </c>
      <c r="AC358" s="0">
        <f>MAX(0,K358-Calculator!$E$20)</f>
      </c>
      <c r="AD358" s="0">
        <f>MAX(0,L358-Calculator!$E$21)</f>
      </c>
      <c r="AE358" s="0">
        <f>MAX(0,M358-Calculator!$E$22)</f>
      </c>
      <c r="AF358" s="0">
        <f>MAX(0,N358-Calculator!$E$23)</f>
      </c>
      <c r="AG358" s="0">
        <f>MAX(0,O358-Calculator!$E$24)</f>
      </c>
      <c r="AH358" s="0">
        <f>MAX(0,P358-Calculator!$E$25)</f>
      </c>
      <c r="AI358" s="0">
        <f>MAX(0,Q358-Calculator!$E$26)</f>
      </c>
      <c r="AJ358" s="0">
        <f>MAX(0,R358-Calculator!$E$27)</f>
      </c>
      <c r="AK358" s="0">
        <f>MAX(0,S358-Calculator!$E$28)</f>
      </c>
      <c r="AL358" s="0">
        <f>MAX(0,MIN(T358,BX358-SUMPRODUCT(($T$2:$AK$2&lt;T$2)*($T358:$AK358))))</f>
      </c>
      <c r="AM358" s="0">
        <f>MAX(0,MIN(U358,BX358-SUMPRODUCT(($T$2:$AK$2&lt;U$2)*($T358:$AK358))))</f>
      </c>
      <c r="AN358" s="0">
        <f>MAX(0,MIN(V358,BX358-SUMPRODUCT(($T$2:$AK$2&lt;V$2)*($T358:$AK358))))</f>
      </c>
      <c r="AO358" s="0">
        <f>MAX(0,MIN(W358,BX358-SUMPRODUCT(($T$2:$AK$2&lt;W$2)*($T358:$AK358))))</f>
      </c>
      <c r="AP358" s="0">
        <f>MAX(0,MIN(X358,BX358-SUMPRODUCT(($T$2:$AK$2&lt;X$2)*($T358:$AK358))))</f>
      </c>
      <c r="AQ358" s="0">
        <f>MAX(0,MIN(Y358,BX358-SUMPRODUCT(($T$2:$AK$2&lt;Y$2)*($T358:$AK358))))</f>
      </c>
      <c r="AR358" s="0">
        <f>MAX(0,MIN(Z358,BX358-SUMPRODUCT(($T$2:$AK$2&lt;Z$2)*($T358:$AK358))))</f>
      </c>
      <c r="AS358" s="0">
        <f>MAX(0,MIN(AA358,BX358-SUMPRODUCT(($T$2:$AK$2&lt;AA$2)*($T358:$AK358))))</f>
      </c>
      <c r="AT358" s="0">
        <f>MAX(0,MIN(AB358,BX358-SUMPRODUCT(($T$2:$AK$2&lt;AB$2)*($T358:$AK358))))</f>
      </c>
      <c r="AU358" s="0">
        <f>MAX(0,MIN(AC358,BX358-SUMPRODUCT(($T$2:$AK$2&lt;AC$2)*($T358:$AK358))))</f>
      </c>
      <c r="AV358" s="0">
        <f>MAX(0,MIN(AD358,BX358-SUMPRODUCT(($T$2:$AK$2&lt;AD$2)*($T358:$AK358))))</f>
      </c>
      <c r="AW358" s="0">
        <f>MAX(0,MIN(AE358,BX358-SUMPRODUCT(($T$2:$AK$2&lt;AE$2)*($T358:$AK358))))</f>
      </c>
      <c r="AX358" s="0">
        <f>MAX(0,MIN(AF358,BX358-SUMPRODUCT(($T$2:$AK$2&lt;AF$2)*($T358:$AK358))))</f>
      </c>
      <c r="AY358" s="0">
        <f>MAX(0,MIN(AG358,BX358-SUMPRODUCT(($T$2:$AK$2&lt;AG$2)*($T358:$AK358))))</f>
      </c>
      <c r="AZ358" s="0">
        <f>MAX(0,MIN(AH358,BX358-SUMPRODUCT(($T$2:$AK$2&lt;AH$2)*($T358:$AK358))))</f>
      </c>
      <c r="BA358" s="0">
        <f>MAX(0,MIN(AI358,BX358-SUMPRODUCT(($T$2:$AK$2&lt;AI$2)*($T358:$AK358))))</f>
      </c>
      <c r="BB358" s="0">
        <f>MAX(0,MIN(AJ358,BX358-SUMPRODUCT(($T$2:$AK$2&lt;AJ$2)*($T358:$AK358))))</f>
      </c>
      <c r="BC358" s="0">
        <f>MAX(0,MIN(AK358,BX358-SUMPRODUCT(($T$2:$AK$2&lt;AK$2)*($T358:$AK358))))</f>
      </c>
      <c r="BD358" s="0">
        <f>T358-AL358</f>
      </c>
      <c r="BE358" s="0">
        <f>U358-AM358</f>
      </c>
      <c r="BF358" s="0">
        <f>V358-AN358</f>
      </c>
      <c r="BG358" s="0">
        <f>W358-AO358</f>
      </c>
      <c r="BH358" s="0">
        <f>X358-AP358</f>
      </c>
      <c r="BI358" s="0">
        <f>Y358-AQ358</f>
      </c>
      <c r="BJ358" s="0">
        <f>Z358-AR358</f>
      </c>
      <c r="BK358" s="0">
        <f>AA358-AS358</f>
      </c>
      <c r="BL358" s="0">
        <f>AB358-AT358</f>
      </c>
      <c r="BM358" s="0">
        <f>AC358-AU358</f>
      </c>
      <c r="BN358" s="0">
        <f>AD358-AV358</f>
      </c>
      <c r="BO358" s="0">
        <f>AE358-AW358</f>
      </c>
      <c r="BP358" s="0">
        <f>AF358-AX358</f>
      </c>
      <c r="BQ358" s="0">
        <f>AG358-AY358</f>
      </c>
      <c r="BR358" s="0">
        <f>AH358-AZ358</f>
      </c>
      <c r="BS358" s="0">
        <f>AI358-BA358</f>
      </c>
      <c r="BT358" s="0">
        <f>AJ358-BB358</f>
      </c>
      <c r="BU358" s="0">
        <f>AK358-BC358</f>
      </c>
      <c r="BV358" s="0">
        <f>SUM(B358:S358)</f>
      </c>
      <c r="BW358" s="0">
        <f>SUM(T358:AK358)</f>
      </c>
      <c r="BX358" s="0">
        <f>MAX(0,(SUM(Calculator!$E$11:$E$28)+Calculator!$C$6)-BV358+BW358)</f>
      </c>
      <c r="BY358" s="0">
        <f>SUM(BD358:BU358)</f>
      </c>
      <c r="BZ358" s="0">
        <f>BV358-BY357</f>
      </c>
      <c r="CA358" s="0">
        <f>IF(A358&lt;=IF($CD$1=0,999,$CD$1),BY358,NA())</f>
      </c>
      <c r="CB358" s="0">
        <f>IF(A358&lt;=IF($CD$1=0,999,$CD$1),A358,NA())</f>
      </c>
    </row>
    <row r="359">
      <c r="A359" s="0">
        <v>356</v>
      </c>
      <c r="B359" s="0">
        <f>BD358*(1+Calculator!$D$11/100/12)</f>
      </c>
      <c r="C359" s="0">
        <f>BE358*(1+Calculator!$D$12/100/12)</f>
      </c>
      <c r="D359" s="0">
        <f>BF358*(1+Calculator!$D$13/100/12)</f>
      </c>
      <c r="E359" s="0">
        <f>BG358*(1+Calculator!$D$14/100/12)</f>
      </c>
      <c r="F359" s="0">
        <f>BH358*(1+Calculator!$D$15/100/12)</f>
      </c>
      <c r="G359" s="0">
        <f>BI358*(1+Calculator!$D$16/100/12)</f>
      </c>
      <c r="H359" s="0">
        <f>BJ358*(1+Calculator!$D$17/100/12)</f>
      </c>
      <c r="I359" s="0">
        <f>BK358*(1+Calculator!$D$18/100/12)</f>
      </c>
      <c r="J359" s="0">
        <f>BL358*(1+Calculator!$D$19/100/12)</f>
      </c>
      <c r="K359" s="0">
        <f>BM358*(1+Calculator!$D$20/100/12)</f>
      </c>
      <c r="L359" s="0">
        <f>BN358*(1+Calculator!$D$21/100/12)</f>
      </c>
      <c r="M359" s="0">
        <f>BO358*(1+Calculator!$D$22/100/12)</f>
      </c>
      <c r="N359" s="0">
        <f>BP358*(1+Calculator!$D$23/100/12)</f>
      </c>
      <c r="O359" s="0">
        <f>BQ358*(1+Calculator!$D$24/100/12)</f>
      </c>
      <c r="P359" s="0">
        <f>BR358*(1+Calculator!$D$25/100/12)</f>
      </c>
      <c r="Q359" s="0">
        <f>BS358*(1+Calculator!$D$26/100/12)</f>
      </c>
      <c r="R359" s="0">
        <f>BT358*(1+Calculator!$D$27/100/12)</f>
      </c>
      <c r="S359" s="0">
        <f>BU358*(1+Calculator!$D$28/100/12)</f>
      </c>
      <c r="T359" s="0">
        <f>MAX(0,B359-Calculator!$E$11)</f>
      </c>
      <c r="U359" s="0">
        <f>MAX(0,C359-Calculator!$E$12)</f>
      </c>
      <c r="V359" s="0">
        <f>MAX(0,D359-Calculator!$E$13)</f>
      </c>
      <c r="W359" s="0">
        <f>MAX(0,E359-Calculator!$E$14)</f>
      </c>
      <c r="X359" s="0">
        <f>MAX(0,F359-Calculator!$E$15)</f>
      </c>
      <c r="Y359" s="0">
        <f>MAX(0,G359-Calculator!$E$16)</f>
      </c>
      <c r="Z359" s="0">
        <f>MAX(0,H359-Calculator!$E$17)</f>
      </c>
      <c r="AA359" s="0">
        <f>MAX(0,I359-Calculator!$E$18)</f>
      </c>
      <c r="AB359" s="0">
        <f>MAX(0,J359-Calculator!$E$19)</f>
      </c>
      <c r="AC359" s="0">
        <f>MAX(0,K359-Calculator!$E$20)</f>
      </c>
      <c r="AD359" s="0">
        <f>MAX(0,L359-Calculator!$E$21)</f>
      </c>
      <c r="AE359" s="0">
        <f>MAX(0,M359-Calculator!$E$22)</f>
      </c>
      <c r="AF359" s="0">
        <f>MAX(0,N359-Calculator!$E$23)</f>
      </c>
      <c r="AG359" s="0">
        <f>MAX(0,O359-Calculator!$E$24)</f>
      </c>
      <c r="AH359" s="0">
        <f>MAX(0,P359-Calculator!$E$25)</f>
      </c>
      <c r="AI359" s="0">
        <f>MAX(0,Q359-Calculator!$E$26)</f>
      </c>
      <c r="AJ359" s="0">
        <f>MAX(0,R359-Calculator!$E$27)</f>
      </c>
      <c r="AK359" s="0">
        <f>MAX(0,S359-Calculator!$E$28)</f>
      </c>
      <c r="AL359" s="0">
        <f>MAX(0,MIN(T359,BX359-SUMPRODUCT(($T$2:$AK$2&lt;T$2)*($T359:$AK359))))</f>
      </c>
      <c r="AM359" s="0">
        <f>MAX(0,MIN(U359,BX359-SUMPRODUCT(($T$2:$AK$2&lt;U$2)*($T359:$AK359))))</f>
      </c>
      <c r="AN359" s="0">
        <f>MAX(0,MIN(V359,BX359-SUMPRODUCT(($T$2:$AK$2&lt;V$2)*($T359:$AK359))))</f>
      </c>
      <c r="AO359" s="0">
        <f>MAX(0,MIN(W359,BX359-SUMPRODUCT(($T$2:$AK$2&lt;W$2)*($T359:$AK359))))</f>
      </c>
      <c r="AP359" s="0">
        <f>MAX(0,MIN(X359,BX359-SUMPRODUCT(($T$2:$AK$2&lt;X$2)*($T359:$AK359))))</f>
      </c>
      <c r="AQ359" s="0">
        <f>MAX(0,MIN(Y359,BX359-SUMPRODUCT(($T$2:$AK$2&lt;Y$2)*($T359:$AK359))))</f>
      </c>
      <c r="AR359" s="0">
        <f>MAX(0,MIN(Z359,BX359-SUMPRODUCT(($T$2:$AK$2&lt;Z$2)*($T359:$AK359))))</f>
      </c>
      <c r="AS359" s="0">
        <f>MAX(0,MIN(AA359,BX359-SUMPRODUCT(($T$2:$AK$2&lt;AA$2)*($T359:$AK359))))</f>
      </c>
      <c r="AT359" s="0">
        <f>MAX(0,MIN(AB359,BX359-SUMPRODUCT(($T$2:$AK$2&lt;AB$2)*($T359:$AK359))))</f>
      </c>
      <c r="AU359" s="0">
        <f>MAX(0,MIN(AC359,BX359-SUMPRODUCT(($T$2:$AK$2&lt;AC$2)*($T359:$AK359))))</f>
      </c>
      <c r="AV359" s="0">
        <f>MAX(0,MIN(AD359,BX359-SUMPRODUCT(($T$2:$AK$2&lt;AD$2)*($T359:$AK359))))</f>
      </c>
      <c r="AW359" s="0">
        <f>MAX(0,MIN(AE359,BX359-SUMPRODUCT(($T$2:$AK$2&lt;AE$2)*($T359:$AK359))))</f>
      </c>
      <c r="AX359" s="0">
        <f>MAX(0,MIN(AF359,BX359-SUMPRODUCT(($T$2:$AK$2&lt;AF$2)*($T359:$AK359))))</f>
      </c>
      <c r="AY359" s="0">
        <f>MAX(0,MIN(AG359,BX359-SUMPRODUCT(($T$2:$AK$2&lt;AG$2)*($T359:$AK359))))</f>
      </c>
      <c r="AZ359" s="0">
        <f>MAX(0,MIN(AH359,BX359-SUMPRODUCT(($T$2:$AK$2&lt;AH$2)*($T359:$AK359))))</f>
      </c>
      <c r="BA359" s="0">
        <f>MAX(0,MIN(AI359,BX359-SUMPRODUCT(($T$2:$AK$2&lt;AI$2)*($T359:$AK359))))</f>
      </c>
      <c r="BB359" s="0">
        <f>MAX(0,MIN(AJ359,BX359-SUMPRODUCT(($T$2:$AK$2&lt;AJ$2)*($T359:$AK359))))</f>
      </c>
      <c r="BC359" s="0">
        <f>MAX(0,MIN(AK359,BX359-SUMPRODUCT(($T$2:$AK$2&lt;AK$2)*($T359:$AK359))))</f>
      </c>
      <c r="BD359" s="0">
        <f>T359-AL359</f>
      </c>
      <c r="BE359" s="0">
        <f>U359-AM359</f>
      </c>
      <c r="BF359" s="0">
        <f>V359-AN359</f>
      </c>
      <c r="BG359" s="0">
        <f>W359-AO359</f>
      </c>
      <c r="BH359" s="0">
        <f>X359-AP359</f>
      </c>
      <c r="BI359" s="0">
        <f>Y359-AQ359</f>
      </c>
      <c r="BJ359" s="0">
        <f>Z359-AR359</f>
      </c>
      <c r="BK359" s="0">
        <f>AA359-AS359</f>
      </c>
      <c r="BL359" s="0">
        <f>AB359-AT359</f>
      </c>
      <c r="BM359" s="0">
        <f>AC359-AU359</f>
      </c>
      <c r="BN359" s="0">
        <f>AD359-AV359</f>
      </c>
      <c r="BO359" s="0">
        <f>AE359-AW359</f>
      </c>
      <c r="BP359" s="0">
        <f>AF359-AX359</f>
      </c>
      <c r="BQ359" s="0">
        <f>AG359-AY359</f>
      </c>
      <c r="BR359" s="0">
        <f>AH359-AZ359</f>
      </c>
      <c r="BS359" s="0">
        <f>AI359-BA359</f>
      </c>
      <c r="BT359" s="0">
        <f>AJ359-BB359</f>
      </c>
      <c r="BU359" s="0">
        <f>AK359-BC359</f>
      </c>
      <c r="BV359" s="0">
        <f>SUM(B359:S359)</f>
      </c>
      <c r="BW359" s="0">
        <f>SUM(T359:AK359)</f>
      </c>
      <c r="BX359" s="0">
        <f>MAX(0,(SUM(Calculator!$E$11:$E$28)+Calculator!$C$6)-BV359+BW359)</f>
      </c>
      <c r="BY359" s="0">
        <f>SUM(BD359:BU359)</f>
      </c>
      <c r="BZ359" s="0">
        <f>BV359-BY358</f>
      </c>
      <c r="CA359" s="0">
        <f>IF(A359&lt;=IF($CD$1=0,999,$CD$1),BY359,NA())</f>
      </c>
      <c r="CB359" s="0">
        <f>IF(A359&lt;=IF($CD$1=0,999,$CD$1),A359,NA())</f>
      </c>
    </row>
    <row r="360">
      <c r="A360" s="0">
        <v>357</v>
      </c>
      <c r="B360" s="0">
        <f>BD359*(1+Calculator!$D$11/100/12)</f>
      </c>
      <c r="C360" s="0">
        <f>BE359*(1+Calculator!$D$12/100/12)</f>
      </c>
      <c r="D360" s="0">
        <f>BF359*(1+Calculator!$D$13/100/12)</f>
      </c>
      <c r="E360" s="0">
        <f>BG359*(1+Calculator!$D$14/100/12)</f>
      </c>
      <c r="F360" s="0">
        <f>BH359*(1+Calculator!$D$15/100/12)</f>
      </c>
      <c r="G360" s="0">
        <f>BI359*(1+Calculator!$D$16/100/12)</f>
      </c>
      <c r="H360" s="0">
        <f>BJ359*(1+Calculator!$D$17/100/12)</f>
      </c>
      <c r="I360" s="0">
        <f>BK359*(1+Calculator!$D$18/100/12)</f>
      </c>
      <c r="J360" s="0">
        <f>BL359*(1+Calculator!$D$19/100/12)</f>
      </c>
      <c r="K360" s="0">
        <f>BM359*(1+Calculator!$D$20/100/12)</f>
      </c>
      <c r="L360" s="0">
        <f>BN359*(1+Calculator!$D$21/100/12)</f>
      </c>
      <c r="M360" s="0">
        <f>BO359*(1+Calculator!$D$22/100/12)</f>
      </c>
      <c r="N360" s="0">
        <f>BP359*(1+Calculator!$D$23/100/12)</f>
      </c>
      <c r="O360" s="0">
        <f>BQ359*(1+Calculator!$D$24/100/12)</f>
      </c>
      <c r="P360" s="0">
        <f>BR359*(1+Calculator!$D$25/100/12)</f>
      </c>
      <c r="Q360" s="0">
        <f>BS359*(1+Calculator!$D$26/100/12)</f>
      </c>
      <c r="R360" s="0">
        <f>BT359*(1+Calculator!$D$27/100/12)</f>
      </c>
      <c r="S360" s="0">
        <f>BU359*(1+Calculator!$D$28/100/12)</f>
      </c>
      <c r="T360" s="0">
        <f>MAX(0,B360-Calculator!$E$11)</f>
      </c>
      <c r="U360" s="0">
        <f>MAX(0,C360-Calculator!$E$12)</f>
      </c>
      <c r="V360" s="0">
        <f>MAX(0,D360-Calculator!$E$13)</f>
      </c>
      <c r="W360" s="0">
        <f>MAX(0,E360-Calculator!$E$14)</f>
      </c>
      <c r="X360" s="0">
        <f>MAX(0,F360-Calculator!$E$15)</f>
      </c>
      <c r="Y360" s="0">
        <f>MAX(0,G360-Calculator!$E$16)</f>
      </c>
      <c r="Z360" s="0">
        <f>MAX(0,H360-Calculator!$E$17)</f>
      </c>
      <c r="AA360" s="0">
        <f>MAX(0,I360-Calculator!$E$18)</f>
      </c>
      <c r="AB360" s="0">
        <f>MAX(0,J360-Calculator!$E$19)</f>
      </c>
      <c r="AC360" s="0">
        <f>MAX(0,K360-Calculator!$E$20)</f>
      </c>
      <c r="AD360" s="0">
        <f>MAX(0,L360-Calculator!$E$21)</f>
      </c>
      <c r="AE360" s="0">
        <f>MAX(0,M360-Calculator!$E$22)</f>
      </c>
      <c r="AF360" s="0">
        <f>MAX(0,N360-Calculator!$E$23)</f>
      </c>
      <c r="AG360" s="0">
        <f>MAX(0,O360-Calculator!$E$24)</f>
      </c>
      <c r="AH360" s="0">
        <f>MAX(0,P360-Calculator!$E$25)</f>
      </c>
      <c r="AI360" s="0">
        <f>MAX(0,Q360-Calculator!$E$26)</f>
      </c>
      <c r="AJ360" s="0">
        <f>MAX(0,R360-Calculator!$E$27)</f>
      </c>
      <c r="AK360" s="0">
        <f>MAX(0,S360-Calculator!$E$28)</f>
      </c>
      <c r="AL360" s="0">
        <f>MAX(0,MIN(T360,BX360-SUMPRODUCT(($T$2:$AK$2&lt;T$2)*($T360:$AK360))))</f>
      </c>
      <c r="AM360" s="0">
        <f>MAX(0,MIN(U360,BX360-SUMPRODUCT(($T$2:$AK$2&lt;U$2)*($T360:$AK360))))</f>
      </c>
      <c r="AN360" s="0">
        <f>MAX(0,MIN(V360,BX360-SUMPRODUCT(($T$2:$AK$2&lt;V$2)*($T360:$AK360))))</f>
      </c>
      <c r="AO360" s="0">
        <f>MAX(0,MIN(W360,BX360-SUMPRODUCT(($T$2:$AK$2&lt;W$2)*($T360:$AK360))))</f>
      </c>
      <c r="AP360" s="0">
        <f>MAX(0,MIN(X360,BX360-SUMPRODUCT(($T$2:$AK$2&lt;X$2)*($T360:$AK360))))</f>
      </c>
      <c r="AQ360" s="0">
        <f>MAX(0,MIN(Y360,BX360-SUMPRODUCT(($T$2:$AK$2&lt;Y$2)*($T360:$AK360))))</f>
      </c>
      <c r="AR360" s="0">
        <f>MAX(0,MIN(Z360,BX360-SUMPRODUCT(($T$2:$AK$2&lt;Z$2)*($T360:$AK360))))</f>
      </c>
      <c r="AS360" s="0">
        <f>MAX(0,MIN(AA360,BX360-SUMPRODUCT(($T$2:$AK$2&lt;AA$2)*($T360:$AK360))))</f>
      </c>
      <c r="AT360" s="0">
        <f>MAX(0,MIN(AB360,BX360-SUMPRODUCT(($T$2:$AK$2&lt;AB$2)*($T360:$AK360))))</f>
      </c>
      <c r="AU360" s="0">
        <f>MAX(0,MIN(AC360,BX360-SUMPRODUCT(($T$2:$AK$2&lt;AC$2)*($T360:$AK360))))</f>
      </c>
      <c r="AV360" s="0">
        <f>MAX(0,MIN(AD360,BX360-SUMPRODUCT(($T$2:$AK$2&lt;AD$2)*($T360:$AK360))))</f>
      </c>
      <c r="AW360" s="0">
        <f>MAX(0,MIN(AE360,BX360-SUMPRODUCT(($T$2:$AK$2&lt;AE$2)*($T360:$AK360))))</f>
      </c>
      <c r="AX360" s="0">
        <f>MAX(0,MIN(AF360,BX360-SUMPRODUCT(($T$2:$AK$2&lt;AF$2)*($T360:$AK360))))</f>
      </c>
      <c r="AY360" s="0">
        <f>MAX(0,MIN(AG360,BX360-SUMPRODUCT(($T$2:$AK$2&lt;AG$2)*($T360:$AK360))))</f>
      </c>
      <c r="AZ360" s="0">
        <f>MAX(0,MIN(AH360,BX360-SUMPRODUCT(($T$2:$AK$2&lt;AH$2)*($T360:$AK360))))</f>
      </c>
      <c r="BA360" s="0">
        <f>MAX(0,MIN(AI360,BX360-SUMPRODUCT(($T$2:$AK$2&lt;AI$2)*($T360:$AK360))))</f>
      </c>
      <c r="BB360" s="0">
        <f>MAX(0,MIN(AJ360,BX360-SUMPRODUCT(($T$2:$AK$2&lt;AJ$2)*($T360:$AK360))))</f>
      </c>
      <c r="BC360" s="0">
        <f>MAX(0,MIN(AK360,BX360-SUMPRODUCT(($T$2:$AK$2&lt;AK$2)*($T360:$AK360))))</f>
      </c>
      <c r="BD360" s="0">
        <f>T360-AL360</f>
      </c>
      <c r="BE360" s="0">
        <f>U360-AM360</f>
      </c>
      <c r="BF360" s="0">
        <f>V360-AN360</f>
      </c>
      <c r="BG360" s="0">
        <f>W360-AO360</f>
      </c>
      <c r="BH360" s="0">
        <f>X360-AP360</f>
      </c>
      <c r="BI360" s="0">
        <f>Y360-AQ360</f>
      </c>
      <c r="BJ360" s="0">
        <f>Z360-AR360</f>
      </c>
      <c r="BK360" s="0">
        <f>AA360-AS360</f>
      </c>
      <c r="BL360" s="0">
        <f>AB360-AT360</f>
      </c>
      <c r="BM360" s="0">
        <f>AC360-AU360</f>
      </c>
      <c r="BN360" s="0">
        <f>AD360-AV360</f>
      </c>
      <c r="BO360" s="0">
        <f>AE360-AW360</f>
      </c>
      <c r="BP360" s="0">
        <f>AF360-AX360</f>
      </c>
      <c r="BQ360" s="0">
        <f>AG360-AY360</f>
      </c>
      <c r="BR360" s="0">
        <f>AH360-AZ360</f>
      </c>
      <c r="BS360" s="0">
        <f>AI360-BA360</f>
      </c>
      <c r="BT360" s="0">
        <f>AJ360-BB360</f>
      </c>
      <c r="BU360" s="0">
        <f>AK360-BC360</f>
      </c>
      <c r="BV360" s="0">
        <f>SUM(B360:S360)</f>
      </c>
      <c r="BW360" s="0">
        <f>SUM(T360:AK360)</f>
      </c>
      <c r="BX360" s="0">
        <f>MAX(0,(SUM(Calculator!$E$11:$E$28)+Calculator!$C$6)-BV360+BW360)</f>
      </c>
      <c r="BY360" s="0">
        <f>SUM(BD360:BU360)</f>
      </c>
      <c r="BZ360" s="0">
        <f>BV360-BY359</f>
      </c>
      <c r="CA360" s="0">
        <f>IF(A360&lt;=IF($CD$1=0,999,$CD$1),BY360,NA())</f>
      </c>
      <c r="CB360" s="0">
        <f>IF(A360&lt;=IF($CD$1=0,999,$CD$1),A360,NA())</f>
      </c>
    </row>
    <row r="361">
      <c r="A361" s="0">
        <v>358</v>
      </c>
      <c r="B361" s="0">
        <f>BD360*(1+Calculator!$D$11/100/12)</f>
      </c>
      <c r="C361" s="0">
        <f>BE360*(1+Calculator!$D$12/100/12)</f>
      </c>
      <c r="D361" s="0">
        <f>BF360*(1+Calculator!$D$13/100/12)</f>
      </c>
      <c r="E361" s="0">
        <f>BG360*(1+Calculator!$D$14/100/12)</f>
      </c>
      <c r="F361" s="0">
        <f>BH360*(1+Calculator!$D$15/100/12)</f>
      </c>
      <c r="G361" s="0">
        <f>BI360*(1+Calculator!$D$16/100/12)</f>
      </c>
      <c r="H361" s="0">
        <f>BJ360*(1+Calculator!$D$17/100/12)</f>
      </c>
      <c r="I361" s="0">
        <f>BK360*(1+Calculator!$D$18/100/12)</f>
      </c>
      <c r="J361" s="0">
        <f>BL360*(1+Calculator!$D$19/100/12)</f>
      </c>
      <c r="K361" s="0">
        <f>BM360*(1+Calculator!$D$20/100/12)</f>
      </c>
      <c r="L361" s="0">
        <f>BN360*(1+Calculator!$D$21/100/12)</f>
      </c>
      <c r="M361" s="0">
        <f>BO360*(1+Calculator!$D$22/100/12)</f>
      </c>
      <c r="N361" s="0">
        <f>BP360*(1+Calculator!$D$23/100/12)</f>
      </c>
      <c r="O361" s="0">
        <f>BQ360*(1+Calculator!$D$24/100/12)</f>
      </c>
      <c r="P361" s="0">
        <f>BR360*(1+Calculator!$D$25/100/12)</f>
      </c>
      <c r="Q361" s="0">
        <f>BS360*(1+Calculator!$D$26/100/12)</f>
      </c>
      <c r="R361" s="0">
        <f>BT360*(1+Calculator!$D$27/100/12)</f>
      </c>
      <c r="S361" s="0">
        <f>BU360*(1+Calculator!$D$28/100/12)</f>
      </c>
      <c r="T361" s="0">
        <f>MAX(0,B361-Calculator!$E$11)</f>
      </c>
      <c r="U361" s="0">
        <f>MAX(0,C361-Calculator!$E$12)</f>
      </c>
      <c r="V361" s="0">
        <f>MAX(0,D361-Calculator!$E$13)</f>
      </c>
      <c r="W361" s="0">
        <f>MAX(0,E361-Calculator!$E$14)</f>
      </c>
      <c r="X361" s="0">
        <f>MAX(0,F361-Calculator!$E$15)</f>
      </c>
      <c r="Y361" s="0">
        <f>MAX(0,G361-Calculator!$E$16)</f>
      </c>
      <c r="Z361" s="0">
        <f>MAX(0,H361-Calculator!$E$17)</f>
      </c>
      <c r="AA361" s="0">
        <f>MAX(0,I361-Calculator!$E$18)</f>
      </c>
      <c r="AB361" s="0">
        <f>MAX(0,J361-Calculator!$E$19)</f>
      </c>
      <c r="AC361" s="0">
        <f>MAX(0,K361-Calculator!$E$20)</f>
      </c>
      <c r="AD361" s="0">
        <f>MAX(0,L361-Calculator!$E$21)</f>
      </c>
      <c r="AE361" s="0">
        <f>MAX(0,M361-Calculator!$E$22)</f>
      </c>
      <c r="AF361" s="0">
        <f>MAX(0,N361-Calculator!$E$23)</f>
      </c>
      <c r="AG361" s="0">
        <f>MAX(0,O361-Calculator!$E$24)</f>
      </c>
      <c r="AH361" s="0">
        <f>MAX(0,P361-Calculator!$E$25)</f>
      </c>
      <c r="AI361" s="0">
        <f>MAX(0,Q361-Calculator!$E$26)</f>
      </c>
      <c r="AJ361" s="0">
        <f>MAX(0,R361-Calculator!$E$27)</f>
      </c>
      <c r="AK361" s="0">
        <f>MAX(0,S361-Calculator!$E$28)</f>
      </c>
      <c r="AL361" s="0">
        <f>MAX(0,MIN(T361,BX361-SUMPRODUCT(($T$2:$AK$2&lt;T$2)*($T361:$AK361))))</f>
      </c>
      <c r="AM361" s="0">
        <f>MAX(0,MIN(U361,BX361-SUMPRODUCT(($T$2:$AK$2&lt;U$2)*($T361:$AK361))))</f>
      </c>
      <c r="AN361" s="0">
        <f>MAX(0,MIN(V361,BX361-SUMPRODUCT(($T$2:$AK$2&lt;V$2)*($T361:$AK361))))</f>
      </c>
      <c r="AO361" s="0">
        <f>MAX(0,MIN(W361,BX361-SUMPRODUCT(($T$2:$AK$2&lt;W$2)*($T361:$AK361))))</f>
      </c>
      <c r="AP361" s="0">
        <f>MAX(0,MIN(X361,BX361-SUMPRODUCT(($T$2:$AK$2&lt;X$2)*($T361:$AK361))))</f>
      </c>
      <c r="AQ361" s="0">
        <f>MAX(0,MIN(Y361,BX361-SUMPRODUCT(($T$2:$AK$2&lt;Y$2)*($T361:$AK361))))</f>
      </c>
      <c r="AR361" s="0">
        <f>MAX(0,MIN(Z361,BX361-SUMPRODUCT(($T$2:$AK$2&lt;Z$2)*($T361:$AK361))))</f>
      </c>
      <c r="AS361" s="0">
        <f>MAX(0,MIN(AA361,BX361-SUMPRODUCT(($T$2:$AK$2&lt;AA$2)*($T361:$AK361))))</f>
      </c>
      <c r="AT361" s="0">
        <f>MAX(0,MIN(AB361,BX361-SUMPRODUCT(($T$2:$AK$2&lt;AB$2)*($T361:$AK361))))</f>
      </c>
      <c r="AU361" s="0">
        <f>MAX(0,MIN(AC361,BX361-SUMPRODUCT(($T$2:$AK$2&lt;AC$2)*($T361:$AK361))))</f>
      </c>
      <c r="AV361" s="0">
        <f>MAX(0,MIN(AD361,BX361-SUMPRODUCT(($T$2:$AK$2&lt;AD$2)*($T361:$AK361))))</f>
      </c>
      <c r="AW361" s="0">
        <f>MAX(0,MIN(AE361,BX361-SUMPRODUCT(($T$2:$AK$2&lt;AE$2)*($T361:$AK361))))</f>
      </c>
      <c r="AX361" s="0">
        <f>MAX(0,MIN(AF361,BX361-SUMPRODUCT(($T$2:$AK$2&lt;AF$2)*($T361:$AK361))))</f>
      </c>
      <c r="AY361" s="0">
        <f>MAX(0,MIN(AG361,BX361-SUMPRODUCT(($T$2:$AK$2&lt;AG$2)*($T361:$AK361))))</f>
      </c>
      <c r="AZ361" s="0">
        <f>MAX(0,MIN(AH361,BX361-SUMPRODUCT(($T$2:$AK$2&lt;AH$2)*($T361:$AK361))))</f>
      </c>
      <c r="BA361" s="0">
        <f>MAX(0,MIN(AI361,BX361-SUMPRODUCT(($T$2:$AK$2&lt;AI$2)*($T361:$AK361))))</f>
      </c>
      <c r="BB361" s="0">
        <f>MAX(0,MIN(AJ361,BX361-SUMPRODUCT(($T$2:$AK$2&lt;AJ$2)*($T361:$AK361))))</f>
      </c>
      <c r="BC361" s="0">
        <f>MAX(0,MIN(AK361,BX361-SUMPRODUCT(($T$2:$AK$2&lt;AK$2)*($T361:$AK361))))</f>
      </c>
      <c r="BD361" s="0">
        <f>T361-AL361</f>
      </c>
      <c r="BE361" s="0">
        <f>U361-AM361</f>
      </c>
      <c r="BF361" s="0">
        <f>V361-AN361</f>
      </c>
      <c r="BG361" s="0">
        <f>W361-AO361</f>
      </c>
      <c r="BH361" s="0">
        <f>X361-AP361</f>
      </c>
      <c r="BI361" s="0">
        <f>Y361-AQ361</f>
      </c>
      <c r="BJ361" s="0">
        <f>Z361-AR361</f>
      </c>
      <c r="BK361" s="0">
        <f>AA361-AS361</f>
      </c>
      <c r="BL361" s="0">
        <f>AB361-AT361</f>
      </c>
      <c r="BM361" s="0">
        <f>AC361-AU361</f>
      </c>
      <c r="BN361" s="0">
        <f>AD361-AV361</f>
      </c>
      <c r="BO361" s="0">
        <f>AE361-AW361</f>
      </c>
      <c r="BP361" s="0">
        <f>AF361-AX361</f>
      </c>
      <c r="BQ361" s="0">
        <f>AG361-AY361</f>
      </c>
      <c r="BR361" s="0">
        <f>AH361-AZ361</f>
      </c>
      <c r="BS361" s="0">
        <f>AI361-BA361</f>
      </c>
      <c r="BT361" s="0">
        <f>AJ361-BB361</f>
      </c>
      <c r="BU361" s="0">
        <f>AK361-BC361</f>
      </c>
      <c r="BV361" s="0">
        <f>SUM(B361:S361)</f>
      </c>
      <c r="BW361" s="0">
        <f>SUM(T361:AK361)</f>
      </c>
      <c r="BX361" s="0">
        <f>MAX(0,(SUM(Calculator!$E$11:$E$28)+Calculator!$C$6)-BV361+BW361)</f>
      </c>
      <c r="BY361" s="0">
        <f>SUM(BD361:BU361)</f>
      </c>
      <c r="BZ361" s="0">
        <f>BV361-BY360</f>
      </c>
      <c r="CA361" s="0">
        <f>IF(A361&lt;=IF($CD$1=0,999,$CD$1),BY361,NA())</f>
      </c>
      <c r="CB361" s="0">
        <f>IF(A361&lt;=IF($CD$1=0,999,$CD$1),A361,NA())</f>
      </c>
    </row>
    <row r="362">
      <c r="A362" s="0">
        <v>359</v>
      </c>
      <c r="B362" s="0">
        <f>BD361*(1+Calculator!$D$11/100/12)</f>
      </c>
      <c r="C362" s="0">
        <f>BE361*(1+Calculator!$D$12/100/12)</f>
      </c>
      <c r="D362" s="0">
        <f>BF361*(1+Calculator!$D$13/100/12)</f>
      </c>
      <c r="E362" s="0">
        <f>BG361*(1+Calculator!$D$14/100/12)</f>
      </c>
      <c r="F362" s="0">
        <f>BH361*(1+Calculator!$D$15/100/12)</f>
      </c>
      <c r="G362" s="0">
        <f>BI361*(1+Calculator!$D$16/100/12)</f>
      </c>
      <c r="H362" s="0">
        <f>BJ361*(1+Calculator!$D$17/100/12)</f>
      </c>
      <c r="I362" s="0">
        <f>BK361*(1+Calculator!$D$18/100/12)</f>
      </c>
      <c r="J362" s="0">
        <f>BL361*(1+Calculator!$D$19/100/12)</f>
      </c>
      <c r="K362" s="0">
        <f>BM361*(1+Calculator!$D$20/100/12)</f>
      </c>
      <c r="L362" s="0">
        <f>BN361*(1+Calculator!$D$21/100/12)</f>
      </c>
      <c r="M362" s="0">
        <f>BO361*(1+Calculator!$D$22/100/12)</f>
      </c>
      <c r="N362" s="0">
        <f>BP361*(1+Calculator!$D$23/100/12)</f>
      </c>
      <c r="O362" s="0">
        <f>BQ361*(1+Calculator!$D$24/100/12)</f>
      </c>
      <c r="P362" s="0">
        <f>BR361*(1+Calculator!$D$25/100/12)</f>
      </c>
      <c r="Q362" s="0">
        <f>BS361*(1+Calculator!$D$26/100/12)</f>
      </c>
      <c r="R362" s="0">
        <f>BT361*(1+Calculator!$D$27/100/12)</f>
      </c>
      <c r="S362" s="0">
        <f>BU361*(1+Calculator!$D$28/100/12)</f>
      </c>
      <c r="T362" s="0">
        <f>MAX(0,B362-Calculator!$E$11)</f>
      </c>
      <c r="U362" s="0">
        <f>MAX(0,C362-Calculator!$E$12)</f>
      </c>
      <c r="V362" s="0">
        <f>MAX(0,D362-Calculator!$E$13)</f>
      </c>
      <c r="W362" s="0">
        <f>MAX(0,E362-Calculator!$E$14)</f>
      </c>
      <c r="X362" s="0">
        <f>MAX(0,F362-Calculator!$E$15)</f>
      </c>
      <c r="Y362" s="0">
        <f>MAX(0,G362-Calculator!$E$16)</f>
      </c>
      <c r="Z362" s="0">
        <f>MAX(0,H362-Calculator!$E$17)</f>
      </c>
      <c r="AA362" s="0">
        <f>MAX(0,I362-Calculator!$E$18)</f>
      </c>
      <c r="AB362" s="0">
        <f>MAX(0,J362-Calculator!$E$19)</f>
      </c>
      <c r="AC362" s="0">
        <f>MAX(0,K362-Calculator!$E$20)</f>
      </c>
      <c r="AD362" s="0">
        <f>MAX(0,L362-Calculator!$E$21)</f>
      </c>
      <c r="AE362" s="0">
        <f>MAX(0,M362-Calculator!$E$22)</f>
      </c>
      <c r="AF362" s="0">
        <f>MAX(0,N362-Calculator!$E$23)</f>
      </c>
      <c r="AG362" s="0">
        <f>MAX(0,O362-Calculator!$E$24)</f>
      </c>
      <c r="AH362" s="0">
        <f>MAX(0,P362-Calculator!$E$25)</f>
      </c>
      <c r="AI362" s="0">
        <f>MAX(0,Q362-Calculator!$E$26)</f>
      </c>
      <c r="AJ362" s="0">
        <f>MAX(0,R362-Calculator!$E$27)</f>
      </c>
      <c r="AK362" s="0">
        <f>MAX(0,S362-Calculator!$E$28)</f>
      </c>
      <c r="AL362" s="0">
        <f>MAX(0,MIN(T362,BX362-SUMPRODUCT(($T$2:$AK$2&lt;T$2)*($T362:$AK362))))</f>
      </c>
      <c r="AM362" s="0">
        <f>MAX(0,MIN(U362,BX362-SUMPRODUCT(($T$2:$AK$2&lt;U$2)*($T362:$AK362))))</f>
      </c>
      <c r="AN362" s="0">
        <f>MAX(0,MIN(V362,BX362-SUMPRODUCT(($T$2:$AK$2&lt;V$2)*($T362:$AK362))))</f>
      </c>
      <c r="AO362" s="0">
        <f>MAX(0,MIN(W362,BX362-SUMPRODUCT(($T$2:$AK$2&lt;W$2)*($T362:$AK362))))</f>
      </c>
      <c r="AP362" s="0">
        <f>MAX(0,MIN(X362,BX362-SUMPRODUCT(($T$2:$AK$2&lt;X$2)*($T362:$AK362))))</f>
      </c>
      <c r="AQ362" s="0">
        <f>MAX(0,MIN(Y362,BX362-SUMPRODUCT(($T$2:$AK$2&lt;Y$2)*($T362:$AK362))))</f>
      </c>
      <c r="AR362" s="0">
        <f>MAX(0,MIN(Z362,BX362-SUMPRODUCT(($T$2:$AK$2&lt;Z$2)*($T362:$AK362))))</f>
      </c>
      <c r="AS362" s="0">
        <f>MAX(0,MIN(AA362,BX362-SUMPRODUCT(($T$2:$AK$2&lt;AA$2)*($T362:$AK362))))</f>
      </c>
      <c r="AT362" s="0">
        <f>MAX(0,MIN(AB362,BX362-SUMPRODUCT(($T$2:$AK$2&lt;AB$2)*($T362:$AK362))))</f>
      </c>
      <c r="AU362" s="0">
        <f>MAX(0,MIN(AC362,BX362-SUMPRODUCT(($T$2:$AK$2&lt;AC$2)*($T362:$AK362))))</f>
      </c>
      <c r="AV362" s="0">
        <f>MAX(0,MIN(AD362,BX362-SUMPRODUCT(($T$2:$AK$2&lt;AD$2)*($T362:$AK362))))</f>
      </c>
      <c r="AW362" s="0">
        <f>MAX(0,MIN(AE362,BX362-SUMPRODUCT(($T$2:$AK$2&lt;AE$2)*($T362:$AK362))))</f>
      </c>
      <c r="AX362" s="0">
        <f>MAX(0,MIN(AF362,BX362-SUMPRODUCT(($T$2:$AK$2&lt;AF$2)*($T362:$AK362))))</f>
      </c>
      <c r="AY362" s="0">
        <f>MAX(0,MIN(AG362,BX362-SUMPRODUCT(($T$2:$AK$2&lt;AG$2)*($T362:$AK362))))</f>
      </c>
      <c r="AZ362" s="0">
        <f>MAX(0,MIN(AH362,BX362-SUMPRODUCT(($T$2:$AK$2&lt;AH$2)*($T362:$AK362))))</f>
      </c>
      <c r="BA362" s="0">
        <f>MAX(0,MIN(AI362,BX362-SUMPRODUCT(($T$2:$AK$2&lt;AI$2)*($T362:$AK362))))</f>
      </c>
      <c r="BB362" s="0">
        <f>MAX(0,MIN(AJ362,BX362-SUMPRODUCT(($T$2:$AK$2&lt;AJ$2)*($T362:$AK362))))</f>
      </c>
      <c r="BC362" s="0">
        <f>MAX(0,MIN(AK362,BX362-SUMPRODUCT(($T$2:$AK$2&lt;AK$2)*($T362:$AK362))))</f>
      </c>
      <c r="BD362" s="0">
        <f>T362-AL362</f>
      </c>
      <c r="BE362" s="0">
        <f>U362-AM362</f>
      </c>
      <c r="BF362" s="0">
        <f>V362-AN362</f>
      </c>
      <c r="BG362" s="0">
        <f>W362-AO362</f>
      </c>
      <c r="BH362" s="0">
        <f>X362-AP362</f>
      </c>
      <c r="BI362" s="0">
        <f>Y362-AQ362</f>
      </c>
      <c r="BJ362" s="0">
        <f>Z362-AR362</f>
      </c>
      <c r="BK362" s="0">
        <f>AA362-AS362</f>
      </c>
      <c r="BL362" s="0">
        <f>AB362-AT362</f>
      </c>
      <c r="BM362" s="0">
        <f>AC362-AU362</f>
      </c>
      <c r="BN362" s="0">
        <f>AD362-AV362</f>
      </c>
      <c r="BO362" s="0">
        <f>AE362-AW362</f>
      </c>
      <c r="BP362" s="0">
        <f>AF362-AX362</f>
      </c>
      <c r="BQ362" s="0">
        <f>AG362-AY362</f>
      </c>
      <c r="BR362" s="0">
        <f>AH362-AZ362</f>
      </c>
      <c r="BS362" s="0">
        <f>AI362-BA362</f>
      </c>
      <c r="BT362" s="0">
        <f>AJ362-BB362</f>
      </c>
      <c r="BU362" s="0">
        <f>AK362-BC362</f>
      </c>
      <c r="BV362" s="0">
        <f>SUM(B362:S362)</f>
      </c>
      <c r="BW362" s="0">
        <f>SUM(T362:AK362)</f>
      </c>
      <c r="BX362" s="0">
        <f>MAX(0,(SUM(Calculator!$E$11:$E$28)+Calculator!$C$6)-BV362+BW362)</f>
      </c>
      <c r="BY362" s="0">
        <f>SUM(BD362:BU362)</f>
      </c>
      <c r="BZ362" s="0">
        <f>BV362-BY361</f>
      </c>
      <c r="CA362" s="0">
        <f>IF(A362&lt;=IF($CD$1=0,999,$CD$1),BY362,NA())</f>
      </c>
      <c r="CB362" s="0">
        <f>IF(A362&lt;=IF($CD$1=0,999,$CD$1),A362,NA())</f>
      </c>
    </row>
    <row r="363">
      <c r="A363" s="0">
        <v>360</v>
      </c>
      <c r="B363" s="0">
        <f>BD362*(1+Calculator!$D$11/100/12)</f>
      </c>
      <c r="C363" s="0">
        <f>BE362*(1+Calculator!$D$12/100/12)</f>
      </c>
      <c r="D363" s="0">
        <f>BF362*(1+Calculator!$D$13/100/12)</f>
      </c>
      <c r="E363" s="0">
        <f>BG362*(1+Calculator!$D$14/100/12)</f>
      </c>
      <c r="F363" s="0">
        <f>BH362*(1+Calculator!$D$15/100/12)</f>
      </c>
      <c r="G363" s="0">
        <f>BI362*(1+Calculator!$D$16/100/12)</f>
      </c>
      <c r="H363" s="0">
        <f>BJ362*(1+Calculator!$D$17/100/12)</f>
      </c>
      <c r="I363" s="0">
        <f>BK362*(1+Calculator!$D$18/100/12)</f>
      </c>
      <c r="J363" s="0">
        <f>BL362*(1+Calculator!$D$19/100/12)</f>
      </c>
      <c r="K363" s="0">
        <f>BM362*(1+Calculator!$D$20/100/12)</f>
      </c>
      <c r="L363" s="0">
        <f>BN362*(1+Calculator!$D$21/100/12)</f>
      </c>
      <c r="M363" s="0">
        <f>BO362*(1+Calculator!$D$22/100/12)</f>
      </c>
      <c r="N363" s="0">
        <f>BP362*(1+Calculator!$D$23/100/12)</f>
      </c>
      <c r="O363" s="0">
        <f>BQ362*(1+Calculator!$D$24/100/12)</f>
      </c>
      <c r="P363" s="0">
        <f>BR362*(1+Calculator!$D$25/100/12)</f>
      </c>
      <c r="Q363" s="0">
        <f>BS362*(1+Calculator!$D$26/100/12)</f>
      </c>
      <c r="R363" s="0">
        <f>BT362*(1+Calculator!$D$27/100/12)</f>
      </c>
      <c r="S363" s="0">
        <f>BU362*(1+Calculator!$D$28/100/12)</f>
      </c>
      <c r="T363" s="0">
        <f>MAX(0,B363-Calculator!$E$11)</f>
      </c>
      <c r="U363" s="0">
        <f>MAX(0,C363-Calculator!$E$12)</f>
      </c>
      <c r="V363" s="0">
        <f>MAX(0,D363-Calculator!$E$13)</f>
      </c>
      <c r="W363" s="0">
        <f>MAX(0,E363-Calculator!$E$14)</f>
      </c>
      <c r="X363" s="0">
        <f>MAX(0,F363-Calculator!$E$15)</f>
      </c>
      <c r="Y363" s="0">
        <f>MAX(0,G363-Calculator!$E$16)</f>
      </c>
      <c r="Z363" s="0">
        <f>MAX(0,H363-Calculator!$E$17)</f>
      </c>
      <c r="AA363" s="0">
        <f>MAX(0,I363-Calculator!$E$18)</f>
      </c>
      <c r="AB363" s="0">
        <f>MAX(0,J363-Calculator!$E$19)</f>
      </c>
      <c r="AC363" s="0">
        <f>MAX(0,K363-Calculator!$E$20)</f>
      </c>
      <c r="AD363" s="0">
        <f>MAX(0,L363-Calculator!$E$21)</f>
      </c>
      <c r="AE363" s="0">
        <f>MAX(0,M363-Calculator!$E$22)</f>
      </c>
      <c r="AF363" s="0">
        <f>MAX(0,N363-Calculator!$E$23)</f>
      </c>
      <c r="AG363" s="0">
        <f>MAX(0,O363-Calculator!$E$24)</f>
      </c>
      <c r="AH363" s="0">
        <f>MAX(0,P363-Calculator!$E$25)</f>
      </c>
      <c r="AI363" s="0">
        <f>MAX(0,Q363-Calculator!$E$26)</f>
      </c>
      <c r="AJ363" s="0">
        <f>MAX(0,R363-Calculator!$E$27)</f>
      </c>
      <c r="AK363" s="0">
        <f>MAX(0,S363-Calculator!$E$28)</f>
      </c>
      <c r="AL363" s="0">
        <f>MAX(0,MIN(T363,BX363-SUMPRODUCT(($T$2:$AK$2&lt;T$2)*($T363:$AK363))))</f>
      </c>
      <c r="AM363" s="0">
        <f>MAX(0,MIN(U363,BX363-SUMPRODUCT(($T$2:$AK$2&lt;U$2)*($T363:$AK363))))</f>
      </c>
      <c r="AN363" s="0">
        <f>MAX(0,MIN(V363,BX363-SUMPRODUCT(($T$2:$AK$2&lt;V$2)*($T363:$AK363))))</f>
      </c>
      <c r="AO363" s="0">
        <f>MAX(0,MIN(W363,BX363-SUMPRODUCT(($T$2:$AK$2&lt;W$2)*($T363:$AK363))))</f>
      </c>
      <c r="AP363" s="0">
        <f>MAX(0,MIN(X363,BX363-SUMPRODUCT(($T$2:$AK$2&lt;X$2)*($T363:$AK363))))</f>
      </c>
      <c r="AQ363" s="0">
        <f>MAX(0,MIN(Y363,BX363-SUMPRODUCT(($T$2:$AK$2&lt;Y$2)*($T363:$AK363))))</f>
      </c>
      <c r="AR363" s="0">
        <f>MAX(0,MIN(Z363,BX363-SUMPRODUCT(($T$2:$AK$2&lt;Z$2)*($T363:$AK363))))</f>
      </c>
      <c r="AS363" s="0">
        <f>MAX(0,MIN(AA363,BX363-SUMPRODUCT(($T$2:$AK$2&lt;AA$2)*($T363:$AK363))))</f>
      </c>
      <c r="AT363" s="0">
        <f>MAX(0,MIN(AB363,BX363-SUMPRODUCT(($T$2:$AK$2&lt;AB$2)*($T363:$AK363))))</f>
      </c>
      <c r="AU363" s="0">
        <f>MAX(0,MIN(AC363,BX363-SUMPRODUCT(($T$2:$AK$2&lt;AC$2)*($T363:$AK363))))</f>
      </c>
      <c r="AV363" s="0">
        <f>MAX(0,MIN(AD363,BX363-SUMPRODUCT(($T$2:$AK$2&lt;AD$2)*($T363:$AK363))))</f>
      </c>
      <c r="AW363" s="0">
        <f>MAX(0,MIN(AE363,BX363-SUMPRODUCT(($T$2:$AK$2&lt;AE$2)*($T363:$AK363))))</f>
      </c>
      <c r="AX363" s="0">
        <f>MAX(0,MIN(AF363,BX363-SUMPRODUCT(($T$2:$AK$2&lt;AF$2)*($T363:$AK363))))</f>
      </c>
      <c r="AY363" s="0">
        <f>MAX(0,MIN(AG363,BX363-SUMPRODUCT(($T$2:$AK$2&lt;AG$2)*($T363:$AK363))))</f>
      </c>
      <c r="AZ363" s="0">
        <f>MAX(0,MIN(AH363,BX363-SUMPRODUCT(($T$2:$AK$2&lt;AH$2)*($T363:$AK363))))</f>
      </c>
      <c r="BA363" s="0">
        <f>MAX(0,MIN(AI363,BX363-SUMPRODUCT(($T$2:$AK$2&lt;AI$2)*($T363:$AK363))))</f>
      </c>
      <c r="BB363" s="0">
        <f>MAX(0,MIN(AJ363,BX363-SUMPRODUCT(($T$2:$AK$2&lt;AJ$2)*($T363:$AK363))))</f>
      </c>
      <c r="BC363" s="0">
        <f>MAX(0,MIN(AK363,BX363-SUMPRODUCT(($T$2:$AK$2&lt;AK$2)*($T363:$AK363))))</f>
      </c>
      <c r="BD363" s="0">
        <f>T363-AL363</f>
      </c>
      <c r="BE363" s="0">
        <f>U363-AM363</f>
      </c>
      <c r="BF363" s="0">
        <f>V363-AN363</f>
      </c>
      <c r="BG363" s="0">
        <f>W363-AO363</f>
      </c>
      <c r="BH363" s="0">
        <f>X363-AP363</f>
      </c>
      <c r="BI363" s="0">
        <f>Y363-AQ363</f>
      </c>
      <c r="BJ363" s="0">
        <f>Z363-AR363</f>
      </c>
      <c r="BK363" s="0">
        <f>AA363-AS363</f>
      </c>
      <c r="BL363" s="0">
        <f>AB363-AT363</f>
      </c>
      <c r="BM363" s="0">
        <f>AC363-AU363</f>
      </c>
      <c r="BN363" s="0">
        <f>AD363-AV363</f>
      </c>
      <c r="BO363" s="0">
        <f>AE363-AW363</f>
      </c>
      <c r="BP363" s="0">
        <f>AF363-AX363</f>
      </c>
      <c r="BQ363" s="0">
        <f>AG363-AY363</f>
      </c>
      <c r="BR363" s="0">
        <f>AH363-AZ363</f>
      </c>
      <c r="BS363" s="0">
        <f>AI363-BA363</f>
      </c>
      <c r="BT363" s="0">
        <f>AJ363-BB363</f>
      </c>
      <c r="BU363" s="0">
        <f>AK363-BC363</f>
      </c>
      <c r="BV363" s="0">
        <f>SUM(B363:S363)</f>
      </c>
      <c r="BW363" s="0">
        <f>SUM(T363:AK363)</f>
      </c>
      <c r="BX363" s="0">
        <f>MAX(0,(SUM(Calculator!$E$11:$E$28)+Calculator!$C$6)-BV363+BW363)</f>
      </c>
      <c r="BY363" s="0">
        <f>SUM(BD363:BU363)</f>
      </c>
      <c r="BZ363" s="0">
        <f>BV363-BY362</f>
      </c>
      <c r="CA363" s="0">
        <f>IF(A363&lt;=IF($CD$1=0,999,$CD$1),BY363,NA())</f>
      </c>
      <c r="CB363" s="0">
        <f>IF(A363&lt;=IF($CD$1=0,999,$CD$1),A363,NA())</f>
      </c>
    </row>
  </sheetData>
  <headerFooter/>
</worksheet>
</file>