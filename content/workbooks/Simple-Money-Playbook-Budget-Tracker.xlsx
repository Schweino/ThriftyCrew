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ad Me" sheetId="1" r:id="rId1"/>
    <sheet name="Monthly Budget" sheetId="2" r:id="rId3"/>
    <sheet name="Paycheck Planner" sheetId="3" r:id="rId4"/>
    <sheet name="Debt Payoff Tracker" sheetId="4" r:id="rId5"/>
  </sheets>
  <calcPr fullCalcOnLoad="1"/>
</workbook>
</file>

<file path=xl/sharedStrings.xml><?xml version="1.0" encoding="utf-8"?>
<sst xmlns="http://schemas.openxmlformats.org/spreadsheetml/2006/main" count="76" uniqueCount="76">
  <si>
    <t>Simple Money Playbook</t>
  </si>
  <si>
    <t>Budget Tracker</t>
  </si>
  <si>
    <t>Make this yours first</t>
  </si>
  <si>
    <t>This copy is view-only. Go to File -&gt; Make a copy to save your own editable version -- then fill in your own numbers.</t>
  </si>
  <si>
    <t>What's inside</t>
  </si>
  <si>
    <t>Monthly Budget -- see where the money actually goes, split into Needs and Wants, and how big your 'gap' is (income minus expenses -- the number that actually matters).</t>
  </si>
  <si>
    <t>Paycheck Planner -- list every bill once with its due day, and it automatically sorts each one into whichever paycheck should cover it.</t>
  </si>
  <si>
    <t>Debt Payoff Tracker -- list what you owe in one place, see the total, and get a suggested order to attack it (highest interest rate first).</t>
  </si>
  <si>
    <t>How to use it</t>
  </si>
  <si>
    <t>1. Make your own copy (File -&gt; Make a copy).</t>
  </si>
  <si>
    <t>2. Fill in the blue cells -- those are yours to edit. Everything else calculates itself.</t>
  </si>
  <si>
    <t>3. Revisit it once a month. That's it -- the goal is awareness, not perfection.</t>
  </si>
  <si>
    <t>One idea to keep in mind</t>
  </si>
  <si>
    <t>The goal isn't a perfect budget. It's seeing the gap between what comes in and what goes out, and making that gap a little bigger every month -- on purpose.</t>
  </si>
  <si>
    <t>This isn't financial advice -- it's a starting point for organizing your own numbers. For decisions about your own money, talk to a qualified professional.</t>
  </si>
  <si>
    <t>More free lessons + recipes: simplemoneyplaybook.com</t>
  </si>
  <si>
    <t>Monthly Budget</t>
  </si>
  <si>
    <t>Month:</t>
  </si>
  <si>
    <t>Income</t>
  </si>
  <si>
    <t>The Bottom Line</t>
  </si>
  <si>
    <t>Paycheck 1</t>
  </si>
  <si>
    <t>Total Income</t>
  </si>
  <si>
    <t>Paycheck 2</t>
  </si>
  <si>
    <t>Total Expenses (Needs + Wants)</t>
  </si>
  <si>
    <t>Side income</t>
  </si>
  <si>
    <t>Other income</t>
  </si>
  <si>
    <t>The Gap</t>
  </si>
  <si>
    <t>Income minus expenses -- the number that actually matters.</t>
  </si>
  <si>
    <t>Needs (the must-pays)</t>
  </si>
  <si>
    <t>Housing / rent</t>
  </si>
  <si>
    <t>Pay Yourself First</t>
  </si>
  <si>
    <t>Utilities</t>
  </si>
  <si>
    <t>Target % of income to save</t>
  </si>
  <si>
    <t>Groceries</t>
  </si>
  <si>
    <t>Suggested amount to move to savings</t>
  </si>
  <si>
    <t>Transportation</t>
  </si>
  <si>
    <t>Insurance</t>
  </si>
  <si>
    <t>Needs vs. Wants Split</t>
  </si>
  <si>
    <t>Debt minimum payments</t>
  </si>
  <si>
    <t>Needs as % of income</t>
  </si>
  <si>
    <t>Other needs</t>
  </si>
  <si>
    <t>Wants as % of income</t>
  </si>
  <si>
    <t>Total Needs</t>
  </si>
  <si>
    <t>A common target is roughly 50% needs / 30% wants / 20% savings -- a guide, not a rule.</t>
  </si>
  <si>
    <t>Wants (the nice-to-haves)</t>
  </si>
  <si>
    <t>Dining out / takeout</t>
  </si>
  <si>
    <t>Subscriptions</t>
  </si>
  <si>
    <t>Entertainment</t>
  </si>
  <si>
    <t>Shopping</t>
  </si>
  <si>
    <t>Other wants</t>
  </si>
  <si>
    <t>Total Wants</t>
  </si>
  <si>
    <t>Paycheck Planner</t>
  </si>
  <si>
    <t>List every bill once on the left with its due day. Set your two pay-days below -- every bill sorts itself into the paycheck that covers it.</t>
  </si>
  <si>
    <t>Paycheck 1 pay-day (day of month)</t>
  </si>
  <si>
    <t>Paycheck 2 pay-day (day of month)</t>
  </si>
  <si>
    <t>Bills due on/after Paycheck 1's day (and before Paycheck 2's day) go with Paycheck 1 -- everything else goes with Paycheck 2. Paid once a month? Set the two pay-days to how you split the month (for example the 1st and the 15th).</t>
  </si>
  <si>
    <t>All Obligations</t>
  </si>
  <si>
    <t>Obligation</t>
  </si>
  <si>
    <t>Amount</t>
  </si>
  <si>
    <t>Due Day</t>
  </si>
  <si>
    <t>Goes With</t>
  </si>
  <si>
    <t>Income this paycheck</t>
  </si>
  <si>
    <t>Total bills</t>
  </si>
  <si>
    <t>Left Over</t>
  </si>
  <si>
    <t>Bill</t>
  </si>
  <si>
    <t>Total</t>
  </si>
  <si>
    <t>Change either pay-day above and every bill + both totals re-sort automatically. Built for Google Sheets (FILTER works natively there).</t>
  </si>
  <si>
    <t>Debt Payoff Tracker</t>
  </si>
  <si>
    <t>List every debt below. 'Attack order' ranks them by interest rate -- highest first (the 'avalanche' method, usually the fastest path out).</t>
  </si>
  <si>
    <t>Debt Name</t>
  </si>
  <si>
    <t>Balance</t>
  </si>
  <si>
    <t>Min. Payment</t>
  </si>
  <si>
    <t>Interest Rate (%)</t>
  </si>
  <si>
    <t>Extra Payment</t>
  </si>
  <si>
    <t>Attack Order</t>
  </si>
  <si>
    <t>Prefer quick wins instead? Ignore the Attack Order column and pay off your smallest balance first (the 'snowball' method) -- either way works if you stick with it.</t>
  </si>
</sst>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&quot;%&quot;;-0.0&quot;%&quot;;&quot;-&quot;"/>
    <numFmt numFmtId="166" formatCode="0.0%;(0.0%);&quot;-&quot;"/>
  </numFmts>
  <fonts count="13">
    <font>
      <sz val="11"/>
      <name val="Calibri"/>
    </font>
    <font>
      <b/>
      <sz val="20"/>
      <color rgb="FF16263F" tint="0"/>
      <name val="Calibri"/>
    </font>
    <font>
      <b/>
      <sz val="13"/>
      <color rgb="FF8A6D1F" tint="0"/>
      <name val="Calibri"/>
    </font>
    <font>
      <b/>
      <sz val="13"/>
      <color rgb="FF16263F" tint="0"/>
      <name val="Calibri"/>
    </font>
    <font>
      <sz val="11"/>
      <color rgb="FF2D3748" tint="0"/>
      <name val="Calibri"/>
    </font>
    <font>
      <i/>
      <sz val="10"/>
      <color rgb="FF5A6572" tint="0"/>
      <name val="Calibri"/>
    </font>
    <font>
      <b/>
      <sz val="18"/>
      <color rgb="FFFFFFFF" tint="0"/>
      <name val="Calibri"/>
    </font>
    <font>
      <b/>
      <sz val="11"/>
      <color rgb="FF1A202C" tint="0"/>
      <name val="Calibri"/>
    </font>
    <font>
      <b/>
      <sz val="11"/>
      <color rgb="FFFFFFFF" tint="0"/>
      <name val="Calibri"/>
    </font>
    <font>
      <b/>
      <sz val="12"/>
      <color rgb="FFFFFFFF" tint="0"/>
      <name val="Calibri"/>
    </font>
    <font>
      <sz val="11"/>
      <color rgb="FF1A202C" tint="0"/>
      <name val="Calibri"/>
    </font>
    <font>
      <b/>
      <sz val="14"/>
      <color rgb="FF16263F" tint="0"/>
      <name val="Calibri"/>
    </font>
    <font>
      <b/>
      <sz val="11"/>
      <color rgb="FF16263F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6263F" tint="0"/>
      </patternFill>
    </fill>
    <fill>
      <patternFill patternType="solid">
        <fgColor rgb="FF2F6BB0" tint="0"/>
      </patternFill>
    </fill>
    <fill>
      <patternFill patternType="solid">
        <fgColor rgb="FFE2A43C" tint="0"/>
      </patternFill>
    </fill>
    <fill>
      <patternFill patternType="solid">
        <fgColor rgb="FFF7F9FC" tint="0"/>
      </patternFill>
    </fill>
  </fills>
  <borders count="4">
    <border>
      <left/>
      <right/>
      <top/>
      <bottom/>
      <diagonal/>
    </border>
    <border>
      <left style="thin">
        <color rgb="FF255488" tint="0"/>
      </left>
      <right style="thin">
        <color rgb="FF255488" tint="0"/>
      </right>
      <top style="thin">
        <color rgb="FF255488" tint="0"/>
      </top>
      <bottom style="thin">
        <color rgb="FF255488" tint="0"/>
      </bottom>
      <diagonal/>
    </border>
    <border>
      <left/>
      <right/>
      <top/>
      <bottom style="thin">
        <color rgb="FFE2E8F0" tint="0"/>
      </bottom>
      <diagonal/>
    </border>
    <border>
      <left style="thin">
        <color rgb="FFE2E8F0" tint="0"/>
      </left>
      <right style="thin">
        <color rgb="FFE2E8F0" tint="0"/>
      </right>
      <top style="thin">
        <color rgb="FFE2E8F0" tint="0"/>
      </top>
      <bottom style="thin">
        <color rgb="FFE2E8F0" tint="0"/>
      </bottom>
      <diagonal/>
    </border>
  </borders>
  <cellStyleXfs count="1">
    <xf numFmtId="0" fontId="0"/>
  </cellStyleXfs>
  <cellXfs count="30">
    <xf numFmtId="0" applyNumberFormat="1" fontId="0" applyFont="1" xfId="0" applyProtection="1"/>
    <xf numFmtId="0" applyNumberFormat="1" fontId="1" applyFont="1" xfId="0" applyProtection="1" applyAlignment="1">
      <alignment vertical="center"/>
    </xf>
    <xf numFmtId="0" applyNumberFormat="1" fontId="2" applyFont="1" xfId="0" applyProtection="1"/>
    <xf numFmtId="0" applyNumberFormat="1" fontId="3" applyFont="1" xfId="0" applyProtection="1" applyAlignment="1">
      <alignment vertical="top"/>
    </xf>
    <xf numFmtId="0" applyNumberFormat="1" fontId="4" applyFont="1" xfId="0" applyProtection="1" applyAlignment="1">
      <alignment vertical="top" wrapText="1"/>
    </xf>
    <xf numFmtId="0" applyNumberFormat="1" fontId="5" applyFont="1" xfId="0" applyProtection="1">
      <alignment wrapText="1"/>
    </xf>
    <xf numFmtId="0" applyNumberFormat="1" fontId="5" applyFont="1" xfId="0" applyProtection="1" applyAlignment="1">
      <alignment vertical="top" wrapText="1"/>
    </xf>
    <xf numFmtId="0" applyNumberFormat="1" fontId="6" applyFont="1" fillId="2" applyFill="1" xfId="0" applyProtection="1" applyAlignment="1">
      <alignment vertical="center" indent="1"/>
    </xf>
    <xf numFmtId="0" applyNumberFormat="1" fontId="7" applyFont="1" xfId="0" applyProtection="1"/>
    <xf numFmtId="0" applyNumberFormat="1" fontId="8" applyFont="1" fillId="3" applyFill="1" borderId="1" applyBorder="1" xfId="0" applyProtection="1"/>
    <xf numFmtId="0" applyNumberFormat="1" fontId="8" applyFont="1" fillId="3" applyFill="1" borderId="1" applyBorder="1" xfId="0" applyProtection="1" applyAlignment="1">
      <alignment horizontal="center"/>
    </xf>
    <xf numFmtId="0" applyNumberFormat="1" fontId="9" applyFont="1" fillId="4" applyFill="1" xfId="0" applyProtection="1" applyAlignment="1">
      <alignment vertical="center" indent="1"/>
    </xf>
    <xf numFmtId="0" applyNumberFormat="1" fontId="10" applyFont="1" xfId="0" applyProtection="1"/>
    <xf numFmtId="164" applyNumberFormat="1" fontId="8" applyFont="1" fillId="3" applyFill="1" borderId="1" applyBorder="1" xfId="0" applyProtection="1"/>
    <xf numFmtId="164" applyNumberFormat="1" fontId="7" applyFont="1" xfId="0" applyProtection="1"/>
    <xf numFmtId="164" applyNumberFormat="1" fontId="7" applyFont="1" borderId="2" applyBorder="1" xfId="0" applyProtection="1"/>
    <xf numFmtId="0" applyNumberFormat="1" fontId="9" applyFont="1" fillId="2" applyFill="1" xfId="0" applyProtection="1" applyAlignment="1">
      <alignment vertical="center" indent="1"/>
    </xf>
    <xf numFmtId="0" applyNumberFormat="1" fontId="11" applyFont="1" fillId="5" applyFill="1" xfId="0" applyProtection="1"/>
    <xf numFmtId="164" applyNumberFormat="1" fontId="11" applyFont="1" fillId="5" applyFill="1" xfId="0" applyProtection="1"/>
    <xf numFmtId="0" applyNumberFormat="1" fontId="12" applyFont="1" xfId="0" applyProtection="1">
      <alignment wrapText="1"/>
    </xf>
    <xf numFmtId="0" applyNumberFormat="1" fontId="0" applyFont="1" xfId="0" applyProtection="1">
      <alignment wrapText="1"/>
    </xf>
    <xf numFmtId="165" applyNumberFormat="1" fontId="8" applyFont="1" fillId="3" applyFill="1" borderId="1" applyBorder="1" xfId="0" applyProtection="1" applyAlignment="1">
      <alignment horizontal="center"/>
    </xf>
    <xf numFmtId="166" applyNumberFormat="1" fontId="7" applyFont="1" xfId="0" applyProtection="1"/>
    <xf numFmtId="0" applyNumberFormat="1" fontId="8" applyFont="1" fillId="2" applyFill="1" xfId="0" applyProtection="1" applyAlignment="1">
      <alignment horizontal="center" wrapText="1"/>
    </xf>
    <xf numFmtId="0" applyNumberFormat="1" fontId="7" applyFont="1" borderId="3" applyBorder="1" xfId="0" applyProtection="1" applyAlignment="1">
      <alignment horizontal="center"/>
    </xf>
    <xf numFmtId="0" applyNumberFormat="1" fontId="7" applyFont="1" borderId="2" applyBorder="1" xfId="0" applyProtection="1"/>
    <xf numFmtId="0" applyNumberFormat="1" fontId="0" applyFont="1" borderId="2" applyBorder="1" xfId="0" applyProtection="1"/>
    <xf numFmtId="0" applyNumberFormat="1" fontId="8" applyFont="1" fillId="4" applyFill="1" xfId="0" applyProtection="1" applyAlignment="1">
      <alignment horizontal="center"/>
    </xf>
    <xf numFmtId="164" applyNumberFormat="1" fontId="0" applyFont="1" xfId="0" applyProtection="1"/>
    <xf numFmtId="0" applyNumberFormat="1" fontId="9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2">
    <d:dxf xmlns:d="http://schemas.openxmlformats.org/spreadsheetml/2006/main">
      <font>
        <color rgb="ff1e7f3c"/>
      </font>
    </d:dxf>
    <d:dxf xmlns:d="http://schemas.openxmlformats.org/spreadsheetml/2006/main">
      <font>
        <color rgb="ffc0392b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26"/>
  <sheetViews>
    <sheetView workbookViewId="0" showGridLines="0"/>
  </sheetViews>
  <sheetFormatPr defaultRowHeight="15"/>
  <cols>
    <col min="1" max="1" width="3" customWidth="1"/>
    <col min="2" max="2" width="30" customWidth="1"/>
    <col min="3" max="3" width="18" customWidth="1"/>
    <col min="4" max="4" width="18" customWidth="1"/>
    <col min="5" max="5" width="18" customWidth="1"/>
    <col min="6" max="6" width="18" customWidth="1"/>
    <col min="7" max="7" width="3" customWidth="1"/>
  </cols>
  <sheetData>
    <row r="2">
      <c r="B2" s="1" t="s">
        <v>0</v>
      </c>
      <c r="C2" s="1"/>
      <c r="D2" s="1"/>
      <c r="E2" s="1"/>
      <c r="F2" s="1"/>
    </row>
    <row r="3">
      <c r="B3" s="1"/>
      <c r="C3" s="1"/>
      <c r="D3" s="1"/>
      <c r="E3" s="1"/>
      <c r="F3" s="1"/>
    </row>
    <row r="4">
      <c r="B4" s="2" t="s">
        <v>1</v>
      </c>
      <c r="C4" s="2"/>
      <c r="D4" s="2"/>
      <c r="E4" s="2"/>
      <c r="F4" s="2"/>
    </row>
    <row r="6" ht="20" customHeight="1">
      <c r="B6" s="3" t="s">
        <v>2</v>
      </c>
      <c r="C6" s="3"/>
      <c r="D6" s="3"/>
      <c r="E6" s="3"/>
      <c r="F6" s="3"/>
    </row>
    <row r="7" ht="34" customHeight="1">
      <c r="B7" s="4" t="s">
        <v>3</v>
      </c>
      <c r="C7" s="4"/>
      <c r="D7" s="4"/>
      <c r="E7" s="4"/>
      <c r="F7" s="4"/>
    </row>
    <row r="9" ht="20" customHeight="1">
      <c r="B9" s="3" t="s">
        <v>4</v>
      </c>
      <c r="C9" s="3"/>
      <c r="D9" s="3"/>
      <c r="E9" s="3"/>
      <c r="F9" s="3"/>
    </row>
    <row r="10" ht="34" customHeight="1">
      <c r="B10" s="4" t="s">
        <v>5</v>
      </c>
      <c r="C10" s="4"/>
      <c r="D10" s="4"/>
      <c r="E10" s="4"/>
      <c r="F10" s="4"/>
    </row>
    <row r="12" ht="34" customHeight="1">
      <c r="B12" s="4" t="s">
        <v>6</v>
      </c>
      <c r="C12" s="4"/>
      <c r="D12" s="4"/>
      <c r="E12" s="4"/>
      <c r="F12" s="4"/>
    </row>
    <row r="14" ht="34" customHeight="1">
      <c r="B14" s="4" t="s">
        <v>7</v>
      </c>
      <c r="C14" s="4"/>
      <c r="D14" s="4"/>
      <c r="E14" s="4"/>
      <c r="F14" s="4"/>
    </row>
    <row r="16" ht="20" customHeight="1">
      <c r="B16" s="3" t="s">
        <v>8</v>
      </c>
      <c r="C16" s="3"/>
      <c r="D16" s="3"/>
      <c r="E16" s="3"/>
      <c r="F16" s="3"/>
    </row>
    <row r="17" ht="34" customHeight="1">
      <c r="B17" s="4" t="s">
        <v>9</v>
      </c>
      <c r="C17" s="4"/>
      <c r="D17" s="4"/>
      <c r="E17" s="4"/>
      <c r="F17" s="4"/>
    </row>
    <row r="18" ht="34" customHeight="1">
      <c r="B18" s="4" t="s">
        <v>10</v>
      </c>
      <c r="C18" s="4"/>
      <c r="D18" s="4"/>
      <c r="E18" s="4"/>
      <c r="F18" s="4"/>
    </row>
    <row r="19" ht="34" customHeight="1">
      <c r="B19" s="4" t="s">
        <v>11</v>
      </c>
      <c r="C19" s="4"/>
      <c r="D19" s="4"/>
      <c r="E19" s="4"/>
      <c r="F19" s="4"/>
    </row>
    <row r="21" ht="20" customHeight="1">
      <c r="B21" s="3" t="s">
        <v>12</v>
      </c>
      <c r="C21" s="3"/>
      <c r="D21" s="3"/>
      <c r="E21" s="3"/>
      <c r="F21" s="3"/>
    </row>
    <row r="22" ht="34" customHeight="1">
      <c r="B22" s="4" t="s">
        <v>13</v>
      </c>
      <c r="C22" s="4"/>
      <c r="D22" s="4"/>
      <c r="E22" s="4"/>
      <c r="F22" s="4"/>
    </row>
    <row r="24" ht="30" customHeight="1">
      <c r="B24" s="6" t="s">
        <v>14</v>
      </c>
      <c r="C24" s="6"/>
      <c r="D24" s="6"/>
      <c r="E24" s="6"/>
      <c r="F24" s="6"/>
    </row>
    <row r="26" ht="30" customHeight="1">
      <c r="B26" s="6" t="s">
        <v>15</v>
      </c>
      <c r="C26" s="6"/>
      <c r="D26" s="6"/>
      <c r="E26" s="6"/>
      <c r="F26" s="6"/>
    </row>
  </sheetData>
  <mergeCells>
    <mergeCell ref="B2:F3"/>
    <mergeCell ref="B4:F4"/>
    <mergeCell ref="B6:F6"/>
    <mergeCell ref="B7:F7"/>
    <mergeCell ref="B9:F9"/>
    <mergeCell ref="B10:F10"/>
    <mergeCell ref="B12:F12"/>
    <mergeCell ref="B14:F14"/>
    <mergeCell ref="B16:F16"/>
    <mergeCell ref="B17:F17"/>
    <mergeCell ref="B18:F18"/>
    <mergeCell ref="B19:F19"/>
    <mergeCell ref="B21:F21"/>
    <mergeCell ref="B22:F22"/>
    <mergeCell ref="B24:F24"/>
    <mergeCell ref="B26:F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27"/>
  <sheetViews>
    <sheetView workbookViewId="0" showGridLines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3" customWidth="1"/>
    <col min="2" max="2" width="30" customWidth="1"/>
    <col min="3" max="3" width="18" customWidth="1"/>
    <col min="4" max="4" width="4" customWidth="1"/>
    <col min="5" max="5" width="30" customWidth="1"/>
    <col min="6" max="6" width="18" customWidth="1"/>
    <col min="7" max="7" width="3" customWidth="1"/>
  </cols>
  <sheetData>
    <row r="1" ht="32" customHeight="1">
      <c r="B1" s="7" t="s">
        <v>16</v>
      </c>
      <c r="C1" s="7"/>
      <c r="D1" s="7"/>
      <c r="E1" s="7"/>
      <c r="F1" s="7"/>
    </row>
    <row r="2">
      <c r="B2" s="8" t="s">
        <v>17</v>
      </c>
      <c r="C2" s="10"/>
    </row>
    <row r="4" ht="22" customHeight="1">
      <c r="B4" s="11" t="s">
        <v>18</v>
      </c>
      <c r="C4" s="11"/>
      <c r="E4" s="11" t="s">
        <v>19</v>
      </c>
      <c r="F4" s="11"/>
    </row>
    <row r="5">
      <c r="B5" s="12" t="s">
        <v>20</v>
      </c>
      <c r="C5" s="13"/>
      <c r="E5" s="12" t="s">
        <v>21</v>
      </c>
      <c r="F5" s="14">
        <f>C9</f>
      </c>
    </row>
    <row r="6">
      <c r="B6" s="12" t="s">
        <v>22</v>
      </c>
      <c r="C6" s="13"/>
      <c r="E6" s="12" t="s">
        <v>23</v>
      </c>
      <c r="F6" s="14">
        <f>C19+C27</f>
      </c>
    </row>
    <row r="7">
      <c r="B7" s="12" t="s">
        <v>24</v>
      </c>
      <c r="C7" s="13"/>
    </row>
    <row r="8">
      <c r="B8" s="12" t="s">
        <v>25</v>
      </c>
      <c r="C8" s="13"/>
      <c r="E8" s="17" t="s">
        <v>26</v>
      </c>
      <c r="F8" s="18">
        <f>C9-F6</f>
      </c>
    </row>
    <row r="9" ht="34" customHeight="1">
      <c r="B9" s="8" t="s">
        <v>21</v>
      </c>
      <c r="C9" s="15">
        <f>SUM(C5:C8)</f>
      </c>
      <c r="E9" s="19">
        <f>IF(C9=0,"Enter your income and expenses above to see where you stand.",IF(F8&gt;0,"You have $"&amp;TEXT(F8,"#,##0")&amp;" left over each month. Put it to work: save or invest it.",IF(F8=0,"You are breaking even. Trim one want and turn it into savings.","You are $"&amp;TEXT(-F8,"#,##0")&amp;" over each month. Trim a want to close the gap.")))</f>
      </c>
      <c r="F9" s="20"/>
    </row>
    <row r="10" ht="22" customHeight="1">
      <c r="E10" s="5" t="s">
        <v>27</v>
      </c>
      <c r="F10" s="5"/>
    </row>
    <row r="11" ht="22" customHeight="1">
      <c r="B11" s="16" t="s">
        <v>28</v>
      </c>
      <c r="C11" s="16"/>
    </row>
    <row r="12" ht="22" customHeight="1">
      <c r="B12" s="12" t="s">
        <v>29</v>
      </c>
      <c r="C12" s="13"/>
      <c r="E12" s="16" t="s">
        <v>30</v>
      </c>
      <c r="F12" s="16"/>
    </row>
    <row r="13">
      <c r="B13" s="12" t="s">
        <v>31</v>
      </c>
      <c r="C13" s="13"/>
      <c r="E13" s="12" t="s">
        <v>32</v>
      </c>
      <c r="F13" s="21">
        <v>10</v>
      </c>
    </row>
    <row r="14">
      <c r="B14" s="12" t="s">
        <v>33</v>
      </c>
      <c r="C14" s="13"/>
      <c r="E14" s="8" t="s">
        <v>34</v>
      </c>
      <c r="F14" s="15">
        <f>C9*F13/100</f>
      </c>
    </row>
    <row r="15">
      <c r="B15" s="12" t="s">
        <v>35</v>
      </c>
      <c r="C15" s="13"/>
    </row>
    <row r="16" ht="22" customHeight="1">
      <c r="B16" s="12" t="s">
        <v>36</v>
      </c>
      <c r="C16" s="13"/>
      <c r="E16" s="11" t="s">
        <v>37</v>
      </c>
      <c r="F16" s="11"/>
    </row>
    <row r="17">
      <c r="B17" s="12" t="s">
        <v>38</v>
      </c>
      <c r="C17" s="13"/>
      <c r="E17" s="12" t="s">
        <v>39</v>
      </c>
      <c r="F17" s="22">
        <f>IF(C9=0,0,C19/C9)</f>
      </c>
    </row>
    <row r="18">
      <c r="B18" s="12" t="s">
        <v>40</v>
      </c>
      <c r="C18" s="13"/>
      <c r="E18" s="12" t="s">
        <v>41</v>
      </c>
      <c r="F18" s="22">
        <f>IF(C9=0,0,C27/C9)</f>
      </c>
    </row>
    <row r="19">
      <c r="B19" s="8" t="s">
        <v>42</v>
      </c>
      <c r="C19" s="15">
        <f>SUM(C12:C18)</f>
      </c>
    </row>
    <row r="20" ht="26" customHeight="1">
      <c r="E20" s="5" t="s">
        <v>43</v>
      </c>
      <c r="F20" s="5"/>
    </row>
    <row r="21" ht="22" customHeight="1">
      <c r="B21" s="16" t="s">
        <v>44</v>
      </c>
      <c r="C21" s="16"/>
    </row>
    <row r="22">
      <c r="B22" s="12" t="s">
        <v>45</v>
      </c>
      <c r="C22" s="13"/>
    </row>
    <row r="23">
      <c r="B23" s="12" t="s">
        <v>46</v>
      </c>
      <c r="C23" s="13"/>
    </row>
    <row r="24">
      <c r="B24" s="12" t="s">
        <v>47</v>
      </c>
      <c r="C24" s="13"/>
    </row>
    <row r="25">
      <c r="B25" s="12" t="s">
        <v>48</v>
      </c>
      <c r="C25" s="13"/>
    </row>
    <row r="26">
      <c r="B26" s="12" t="s">
        <v>49</v>
      </c>
      <c r="C26" s="13"/>
    </row>
    <row r="27">
      <c r="B27" s="8" t="s">
        <v>50</v>
      </c>
      <c r="C27" s="15">
        <f>SUM(C22:C26)</f>
      </c>
    </row>
  </sheetData>
  <mergeCells>
    <mergeCell ref="B1:F1"/>
    <mergeCell ref="B4:C4"/>
    <mergeCell ref="B11:C11"/>
    <mergeCell ref="B21:C21"/>
    <mergeCell ref="E4:F4"/>
    <mergeCell ref="E9:F9"/>
    <mergeCell ref="E10:F10"/>
    <mergeCell ref="E12:F12"/>
    <mergeCell ref="E16:F16"/>
    <mergeCell ref="E20:F20"/>
  </mergeCells>
  <conditionalFormatting sqref="F8">
    <cfRule priority="1" type="cellIs" operator="greaterThan" dxfId="0">
      <formula>0</formula>
    </cfRule>
    <cfRule priority="2" type="cellIs" operator="lessThan" dxfId="1">
      <formula>0</formula>
    </cfRule>
  </conditionalFormatting>
  <conditionalFormatting sqref="E9:F9">
    <cfRule priority="3" type="expression" dxfId="0">
      <formula>$F$8&gt;0</formula>
    </cfRule>
    <cfRule priority="4" type="expression" dxfId="1">
      <formula>$F$8&lt;0</formula>
    </cfRule>
  </conditionalFormatting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35"/>
  <sheetViews>
    <sheetView workbookViewId="0" showGridLines="0">
      <pane xSplit="1" ySplit="2" topLeftCell="B3" state="frozen" activePane="bottomRight"/>
      <selection pane="topRight" activeCell="B1" sqref="B1"/>
      <selection pane="bottomLeft" activeCell="A3" sqref="A3"/>
      <selection pane="bottomRight" activeCell="A1" sqref="A1"/>
    </sheetView>
  </sheetViews>
  <sheetFormatPr defaultRowHeight="15"/>
  <cols>
    <col min="1" max="1" width="3" customWidth="1"/>
    <col min="2" max="2" width="22" customWidth="1"/>
    <col min="3" max="3" width="13" customWidth="1"/>
    <col min="4" max="4" width="11" customWidth="1"/>
    <col min="5" max="5" width="13" customWidth="1"/>
    <col min="6" max="6" width="3" customWidth="1"/>
    <col min="7" max="7" width="20" customWidth="1"/>
    <col min="8" max="8" width="13" customWidth="1"/>
    <col min="9" max="9" width="3" customWidth="1"/>
    <col min="10" max="10" width="20" customWidth="1"/>
    <col min="11" max="11" width="13" customWidth="1"/>
    <col min="12" max="12" width="3" customWidth="1"/>
  </cols>
  <sheetData>
    <row r="1" ht="32" customHeight="1">
      <c r="B1" s="7" t="s">
        <v>51</v>
      </c>
      <c r="C1" s="7"/>
      <c r="D1" s="7"/>
      <c r="E1" s="7"/>
      <c r="F1" s="7"/>
      <c r="G1" s="7"/>
      <c r="H1" s="7"/>
      <c r="I1" s="7"/>
      <c r="J1" s="7"/>
      <c r="K1" s="7"/>
    </row>
    <row r="2" ht="26" customHeight="1">
      <c r="B2" s="5" t="s">
        <v>52</v>
      </c>
      <c r="C2" s="5"/>
      <c r="D2" s="5"/>
      <c r="E2" s="5"/>
      <c r="F2" s="5"/>
      <c r="G2" s="5"/>
      <c r="H2" s="5"/>
      <c r="I2" s="5"/>
      <c r="J2" s="5"/>
      <c r="K2" s="5"/>
    </row>
    <row r="4">
      <c r="B4" s="8" t="s">
        <v>53</v>
      </c>
      <c r="C4" s="10">
        <v>1</v>
      </c>
    </row>
    <row r="5">
      <c r="B5" s="8" t="s">
        <v>54</v>
      </c>
      <c r="C5" s="10">
        <v>15</v>
      </c>
    </row>
    <row r="6" ht="44" customHeight="1">
      <c r="B6" s="5" t="s">
        <v>55</v>
      </c>
      <c r="C6" s="5"/>
      <c r="D6" s="5"/>
      <c r="E6" s="5"/>
    </row>
    <row r="8" ht="22" customHeight="1">
      <c r="B8" s="11" t="s">
        <v>56</v>
      </c>
      <c r="C8" s="11"/>
      <c r="D8" s="11"/>
      <c r="E8" s="11"/>
      <c r="G8" s="16" t="s">
        <v>20</v>
      </c>
      <c r="H8" s="16"/>
      <c r="J8" s="16" t="s">
        <v>22</v>
      </c>
      <c r="K8" s="16"/>
    </row>
    <row r="9" ht="26" customHeight="1">
      <c r="B9" s="23" t="s">
        <v>57</v>
      </c>
      <c r="C9" s="23" t="s">
        <v>58</v>
      </c>
      <c r="D9" s="23" t="s">
        <v>59</v>
      </c>
      <c r="E9" s="23" t="s">
        <v>60</v>
      </c>
      <c r="G9" s="12" t="s">
        <v>61</v>
      </c>
      <c r="H9" s="13"/>
      <c r="J9" s="12" t="s">
        <v>61</v>
      </c>
      <c r="K9" s="13"/>
    </row>
    <row r="10">
      <c r="B10" s="9"/>
      <c r="C10" s="13"/>
      <c r="D10" s="10"/>
      <c r="E10" s="24">
        <f>IF(B10="","",IF(AND(D10&gt;=$C$4,D10&lt;$C$5),"Paycheck 1","Paycheck 2"))</f>
      </c>
      <c r="G10" s="12" t="s">
        <v>62</v>
      </c>
      <c r="H10" s="14">
        <f>SUMIF($E$10:$E$29,"Paycheck 1",$C$10:$C$29)</f>
      </c>
      <c r="J10" s="12" t="s">
        <v>62</v>
      </c>
      <c r="K10" s="14">
        <f>SUMIF($E$10:$E$29,"Paycheck 2",$C$10:$C$29)</f>
      </c>
    </row>
    <row r="11">
      <c r="B11" s="9"/>
      <c r="C11" s="13"/>
      <c r="D11" s="10"/>
      <c r="E11" s="24">
        <f>IF(B11="","",IF(AND(D11&gt;=$C$4,D11&lt;$C$5),"Paycheck 1","Paycheck 2"))</f>
      </c>
      <c r="G11" s="17" t="s">
        <v>63</v>
      </c>
      <c r="H11" s="18">
        <f>H9-H10</f>
      </c>
      <c r="J11" s="17" t="s">
        <v>63</v>
      </c>
      <c r="K11" s="18">
        <f>K9-K10</f>
      </c>
    </row>
    <row r="12">
      <c r="B12" s="9"/>
      <c r="C12" s="13"/>
      <c r="D12" s="10"/>
      <c r="E12" s="24">
        <f>IF(B12="","",IF(AND(D12&gt;=$C$4,D12&lt;$C$5),"Paycheck 1","Paycheck 2"))</f>
      </c>
    </row>
    <row r="13">
      <c r="B13" s="9"/>
      <c r="C13" s="13"/>
      <c r="D13" s="10"/>
      <c r="E13" s="24">
        <f>IF(B13="","",IF(AND(D13&gt;=$C$4,D13&lt;$C$5),"Paycheck 1","Paycheck 2"))</f>
      </c>
      <c r="G13" s="27" t="s">
        <v>64</v>
      </c>
      <c r="H13" s="27" t="s">
        <v>58</v>
      </c>
      <c r="J13" s="27" t="s">
        <v>64</v>
      </c>
      <c r="K13" s="27" t="s">
        <v>58</v>
      </c>
    </row>
    <row r="14">
      <c r="B14" s="9"/>
      <c r="C14" s="13"/>
      <c r="D14" s="10"/>
      <c r="E14" s="24">
        <f>IF(B14="","",IF(AND(D14&gt;=$C$4,D14&lt;$C$5),"Paycheck 1","Paycheck 2"))</f>
      </c>
      <c r="G14" s="12">
        <f>IFERROR(FILTER(B10:C29,E10:E29="Paycheck 1"),"")</f>
      </c>
      <c r="H14" s="28"/>
      <c r="J14" s="12">
        <f>IFERROR(FILTER(B10:C29,E10:E29="Paycheck 2"),"")</f>
      </c>
      <c r="K14" s="28"/>
    </row>
    <row r="15">
      <c r="B15" s="9"/>
      <c r="C15" s="13"/>
      <c r="D15" s="10"/>
      <c r="E15" s="24">
        <f>IF(B15="","",IF(AND(D15&gt;=$C$4,D15&lt;$C$5),"Paycheck 1","Paycheck 2"))</f>
      </c>
      <c r="H15" s="28"/>
      <c r="K15" s="28"/>
    </row>
    <row r="16">
      <c r="B16" s="9"/>
      <c r="C16" s="13"/>
      <c r="D16" s="10"/>
      <c r="E16" s="24">
        <f>IF(B16="","",IF(AND(D16&gt;=$C$4,D16&lt;$C$5),"Paycheck 1","Paycheck 2"))</f>
      </c>
      <c r="H16" s="28"/>
      <c r="K16" s="28"/>
    </row>
    <row r="17">
      <c r="B17" s="9"/>
      <c r="C17" s="13"/>
      <c r="D17" s="10"/>
      <c r="E17" s="24">
        <f>IF(B17="","",IF(AND(D17&gt;=$C$4,D17&lt;$C$5),"Paycheck 1","Paycheck 2"))</f>
      </c>
      <c r="H17" s="28"/>
      <c r="K17" s="28"/>
    </row>
    <row r="18">
      <c r="B18" s="9"/>
      <c r="C18" s="13"/>
      <c r="D18" s="10"/>
      <c r="E18" s="24">
        <f>IF(B18="","",IF(AND(D18&gt;=$C$4,D18&lt;$C$5),"Paycheck 1","Paycheck 2"))</f>
      </c>
      <c r="H18" s="28"/>
      <c r="K18" s="28"/>
    </row>
    <row r="19">
      <c r="B19" s="9"/>
      <c r="C19" s="13"/>
      <c r="D19" s="10"/>
      <c r="E19" s="24">
        <f>IF(B19="","",IF(AND(D19&gt;=$C$4,D19&lt;$C$5),"Paycheck 1","Paycheck 2"))</f>
      </c>
      <c r="H19" s="28"/>
      <c r="K19" s="28"/>
    </row>
    <row r="20">
      <c r="B20" s="9"/>
      <c r="C20" s="13"/>
      <c r="D20" s="10"/>
      <c r="E20" s="24">
        <f>IF(B20="","",IF(AND(D20&gt;=$C$4,D20&lt;$C$5),"Paycheck 1","Paycheck 2"))</f>
      </c>
      <c r="H20" s="28"/>
      <c r="K20" s="28"/>
    </row>
    <row r="21">
      <c r="B21" s="9"/>
      <c r="C21" s="13"/>
      <c r="D21" s="10"/>
      <c r="E21" s="24">
        <f>IF(B21="","",IF(AND(D21&gt;=$C$4,D21&lt;$C$5),"Paycheck 1","Paycheck 2"))</f>
      </c>
      <c r="H21" s="28"/>
      <c r="K21" s="28"/>
    </row>
    <row r="22">
      <c r="B22" s="9"/>
      <c r="C22" s="13"/>
      <c r="D22" s="10"/>
      <c r="E22" s="24">
        <f>IF(B22="","",IF(AND(D22&gt;=$C$4,D22&lt;$C$5),"Paycheck 1","Paycheck 2"))</f>
      </c>
      <c r="H22" s="28"/>
      <c r="K22" s="28"/>
    </row>
    <row r="23">
      <c r="B23" s="9"/>
      <c r="C23" s="13"/>
      <c r="D23" s="10"/>
      <c r="E23" s="24">
        <f>IF(B23="","",IF(AND(D23&gt;=$C$4,D23&lt;$C$5),"Paycheck 1","Paycheck 2"))</f>
      </c>
      <c r="H23" s="28"/>
      <c r="K23" s="28"/>
    </row>
    <row r="24">
      <c r="B24" s="9"/>
      <c r="C24" s="13"/>
      <c r="D24" s="10"/>
      <c r="E24" s="24">
        <f>IF(B24="","",IF(AND(D24&gt;=$C$4,D24&lt;$C$5),"Paycheck 1","Paycheck 2"))</f>
      </c>
      <c r="H24" s="28"/>
      <c r="K24" s="28"/>
    </row>
    <row r="25">
      <c r="B25" s="9"/>
      <c r="C25" s="13"/>
      <c r="D25" s="10"/>
      <c r="E25" s="24">
        <f>IF(B25="","",IF(AND(D25&gt;=$C$4,D25&lt;$C$5),"Paycheck 1","Paycheck 2"))</f>
      </c>
      <c r="H25" s="28"/>
      <c r="K25" s="28"/>
    </row>
    <row r="26">
      <c r="B26" s="9"/>
      <c r="C26" s="13"/>
      <c r="D26" s="10"/>
      <c r="E26" s="24">
        <f>IF(B26="","",IF(AND(D26&gt;=$C$4,D26&lt;$C$5),"Paycheck 1","Paycheck 2"))</f>
      </c>
      <c r="H26" s="28"/>
      <c r="K26" s="28"/>
    </row>
    <row r="27">
      <c r="B27" s="9"/>
      <c r="C27" s="13"/>
      <c r="D27" s="10"/>
      <c r="E27" s="24">
        <f>IF(B27="","",IF(AND(D27&gt;=$C$4,D27&lt;$C$5),"Paycheck 1","Paycheck 2"))</f>
      </c>
      <c r="H27" s="28"/>
      <c r="K27" s="28"/>
    </row>
    <row r="28">
      <c r="B28" s="9"/>
      <c r="C28" s="13"/>
      <c r="D28" s="10"/>
      <c r="E28" s="24">
        <f>IF(B28="","",IF(AND(D28&gt;=$C$4,D28&lt;$C$5),"Paycheck 1","Paycheck 2"))</f>
      </c>
      <c r="H28" s="28"/>
      <c r="K28" s="28"/>
    </row>
    <row r="29">
      <c r="B29" s="9"/>
      <c r="C29" s="13"/>
      <c r="D29" s="10"/>
      <c r="E29" s="24">
        <f>IF(B29="","",IF(AND(D29&gt;=$C$4,D29&lt;$C$5),"Paycheck 1","Paycheck 2"))</f>
      </c>
      <c r="H29" s="28"/>
      <c r="K29" s="28"/>
    </row>
    <row r="30">
      <c r="B30" s="25" t="s">
        <v>65</v>
      </c>
      <c r="C30" s="15">
        <f>SUM(C10:C29)</f>
      </c>
      <c r="D30" s="26"/>
      <c r="E30" s="26"/>
      <c r="H30" s="28"/>
      <c r="K30" s="28"/>
    </row>
    <row r="31">
      <c r="H31" s="28"/>
      <c r="K31" s="28"/>
    </row>
    <row r="32">
      <c r="H32" s="28"/>
      <c r="K32" s="28"/>
    </row>
    <row r="33">
      <c r="H33" s="28"/>
      <c r="K33" s="28"/>
    </row>
    <row r="35" ht="26" customHeight="1">
      <c r="B35" s="5" t="s">
        <v>66</v>
      </c>
      <c r="C35" s="5"/>
      <c r="D35" s="5"/>
      <c r="E35" s="5"/>
      <c r="F35" s="5"/>
      <c r="G35" s="5"/>
      <c r="H35" s="5"/>
      <c r="I35" s="5"/>
      <c r="J35" s="5"/>
      <c r="K35" s="5"/>
    </row>
  </sheetData>
  <mergeCells>
    <mergeCell ref="B1:K1"/>
    <mergeCell ref="B2:K2"/>
    <mergeCell ref="B6:E6"/>
    <mergeCell ref="B8:E8"/>
    <mergeCell ref="G8:H8"/>
    <mergeCell ref="J8:K8"/>
    <mergeCell ref="B35:K35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>
      <pane xSplit="1" ySplit="4" topLeftCell="B5" state="frozen" activePane="bottomRight"/>
      <selection pane="topRight" activeCell="B1" sqref="B1"/>
      <selection pane="bottomLeft" activeCell="A5" sqref="A5"/>
      <selection pane="bottomRight" activeCell="A1" sqref="A1"/>
    </sheetView>
  </sheetViews>
  <sheetFormatPr defaultRowHeight="15"/>
  <cols>
    <col min="1" max="1" width="3" customWidth="1"/>
    <col min="2" max="2" width="26" customWidth="1"/>
    <col min="3" max="3" width="16" customWidth="1"/>
    <col min="4" max="4" width="16" customWidth="1"/>
    <col min="5" max="5" width="16" customWidth="1"/>
    <col min="6" max="6" width="16" customWidth="1"/>
    <col min="7" max="7" width="14" customWidth="1"/>
    <col min="8" max="8" width="3" customWidth="1"/>
  </cols>
  <sheetData>
    <row r="1" ht="32" customHeight="1">
      <c r="B1" s="7" t="s">
        <v>67</v>
      </c>
      <c r="C1" s="7"/>
      <c r="D1" s="7"/>
      <c r="E1" s="7"/>
      <c r="F1" s="7"/>
      <c r="G1" s="7"/>
    </row>
    <row r="2" ht="26" customHeight="1">
      <c r="B2" s="5" t="s">
        <v>68</v>
      </c>
      <c r="C2" s="5"/>
      <c r="D2" s="5"/>
      <c r="E2" s="5"/>
      <c r="F2" s="5"/>
      <c r="G2" s="5"/>
    </row>
    <row r="4" ht="30" customHeight="1">
      <c r="B4" s="29" t="s">
        <v>69</v>
      </c>
      <c r="C4" s="29" t="s">
        <v>70</v>
      </c>
      <c r="D4" s="29" t="s">
        <v>71</v>
      </c>
      <c r="E4" s="29" t="s">
        <v>72</v>
      </c>
      <c r="F4" s="29" t="s">
        <v>73</v>
      </c>
      <c r="G4" s="29" t="s">
        <v>74</v>
      </c>
    </row>
    <row r="5">
      <c r="B5" s="9"/>
      <c r="C5" s="13"/>
      <c r="D5" s="13"/>
      <c r="E5" s="21"/>
      <c r="F5" s="13"/>
      <c r="G5" s="24">
        <f>IF(B5="","",RANK(E5,$E$5:$E$19))</f>
      </c>
    </row>
    <row r="6">
      <c r="B6" s="9"/>
      <c r="C6" s="13"/>
      <c r="D6" s="13"/>
      <c r="E6" s="21"/>
      <c r="F6" s="13"/>
      <c r="G6" s="24">
        <f>IF(B6="","",RANK(E6,$E$5:$E$19))</f>
      </c>
    </row>
    <row r="7">
      <c r="B7" s="9"/>
      <c r="C7" s="13"/>
      <c r="D7" s="13"/>
      <c r="E7" s="21"/>
      <c r="F7" s="13"/>
      <c r="G7" s="24">
        <f>IF(B7="","",RANK(E7,$E$5:$E$19))</f>
      </c>
    </row>
    <row r="8">
      <c r="B8" s="9"/>
      <c r="C8" s="13"/>
      <c r="D8" s="13"/>
      <c r="E8" s="21"/>
      <c r="F8" s="13"/>
      <c r="G8" s="24">
        <f>IF(B8="","",RANK(E8,$E$5:$E$19))</f>
      </c>
    </row>
    <row r="9">
      <c r="B9" s="9"/>
      <c r="C9" s="13"/>
      <c r="D9" s="13"/>
      <c r="E9" s="21"/>
      <c r="F9" s="13"/>
      <c r="G9" s="24">
        <f>IF(B9="","",RANK(E9,$E$5:$E$19))</f>
      </c>
    </row>
    <row r="10">
      <c r="B10" s="9"/>
      <c r="C10" s="13"/>
      <c r="D10" s="13"/>
      <c r="E10" s="21"/>
      <c r="F10" s="13"/>
      <c r="G10" s="24">
        <f>IF(B10="","",RANK(E10,$E$5:$E$19))</f>
      </c>
    </row>
    <row r="11">
      <c r="B11" s="9"/>
      <c r="C11" s="13"/>
      <c r="D11" s="13"/>
      <c r="E11" s="21"/>
      <c r="F11" s="13"/>
      <c r="G11" s="24">
        <f>IF(B11="","",RANK(E11,$E$5:$E$19))</f>
      </c>
    </row>
    <row r="12">
      <c r="B12" s="9"/>
      <c r="C12" s="13"/>
      <c r="D12" s="13"/>
      <c r="E12" s="21"/>
      <c r="F12" s="13"/>
      <c r="G12" s="24">
        <f>IF(B12="","",RANK(E12,$E$5:$E$19))</f>
      </c>
    </row>
    <row r="13">
      <c r="B13" s="9"/>
      <c r="C13" s="13"/>
      <c r="D13" s="13"/>
      <c r="E13" s="21"/>
      <c r="F13" s="13"/>
      <c r="G13" s="24">
        <f>IF(B13="","",RANK(E13,$E$5:$E$19))</f>
      </c>
    </row>
    <row r="14">
      <c r="B14" s="9"/>
      <c r="C14" s="13"/>
      <c r="D14" s="13"/>
      <c r="E14" s="21"/>
      <c r="F14" s="13"/>
      <c r="G14" s="24">
        <f>IF(B14="","",RANK(E14,$E$5:$E$19))</f>
      </c>
    </row>
    <row r="15">
      <c r="B15" s="9"/>
      <c r="C15" s="13"/>
      <c r="D15" s="13"/>
      <c r="E15" s="21"/>
      <c r="F15" s="13"/>
      <c r="G15" s="24">
        <f>IF(B15="","",RANK(E15,$E$5:$E$19))</f>
      </c>
    </row>
    <row r="16">
      <c r="B16" s="9"/>
      <c r="C16" s="13"/>
      <c r="D16" s="13"/>
      <c r="E16" s="21"/>
      <c r="F16" s="13"/>
      <c r="G16" s="24">
        <f>IF(B16="","",RANK(E16,$E$5:$E$19))</f>
      </c>
    </row>
    <row r="17">
      <c r="B17" s="9"/>
      <c r="C17" s="13"/>
      <c r="D17" s="13"/>
      <c r="E17" s="21"/>
      <c r="F17" s="13"/>
      <c r="G17" s="24">
        <f>IF(B17="","",RANK(E17,$E$5:$E$19))</f>
      </c>
    </row>
    <row r="18">
      <c r="B18" s="9"/>
      <c r="C18" s="13"/>
      <c r="D18" s="13"/>
      <c r="E18" s="21"/>
      <c r="F18" s="13"/>
      <c r="G18" s="24">
        <f>IF(B18="","",RANK(E18,$E$5:$E$19))</f>
      </c>
    </row>
    <row r="19">
      <c r="B19" s="9"/>
      <c r="C19" s="13"/>
      <c r="D19" s="13"/>
      <c r="E19" s="21"/>
      <c r="F19" s="13"/>
      <c r="G19" s="24">
        <f>IF(B19="","",RANK(E19,$E$5:$E$19))</f>
      </c>
    </row>
    <row r="20">
      <c r="B20" s="25" t="s">
        <v>65</v>
      </c>
      <c r="C20" s="15">
        <f>SUM(C5:C19)</f>
      </c>
      <c r="D20" s="15">
        <f>SUM(D5:D19)</f>
      </c>
      <c r="E20" s="26"/>
      <c r="F20" s="15">
        <f>SUM(F5:F19)</f>
      </c>
      <c r="G20" s="26"/>
    </row>
    <row r="22" ht="26" customHeight="1">
      <c r="B22" s="5" t="s">
        <v>75</v>
      </c>
      <c r="C22" s="5"/>
      <c r="D22" s="5"/>
      <c r="E22" s="5"/>
      <c r="F22" s="5"/>
      <c r="G22" s="5"/>
    </row>
  </sheetData>
  <mergeCells>
    <mergeCell ref="B1:G1"/>
    <mergeCell ref="B2:G2"/>
    <mergeCell ref="B22:G22"/>
  </mergeCells>
  <headerFooter/>
</worksheet>
</file>